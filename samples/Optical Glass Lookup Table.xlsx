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GitHubRepositories\OpticsPrescriptionMatcher\"/>
    </mc:Choice>
  </mc:AlternateContent>
  <xr:revisionPtr revIDLastSave="0" documentId="13_ncr:1_{ABD801E7-B9FB-45D2-BD3D-DD6BCF22605B}" xr6:coauthVersionLast="47" xr6:coauthVersionMax="47" xr10:uidLastSave="{00000000-0000-0000-0000-000000000000}"/>
  <bookViews>
    <workbookView xWindow="-103" yWindow="-103" windowWidth="33120" windowHeight="18000" xr2:uid="{752C60E2-7951-484C-B1FF-AF8670147633}"/>
  </bookViews>
  <sheets>
    <sheet name="Typecode Reference" sheetId="1" r:id="rId1"/>
    <sheet name="Addendum" sheetId="2" r:id="rId2"/>
  </sheets>
  <definedNames>
    <definedName name="_xlnm._FilterDatabase" localSheetId="1" hidden="1">Addendum!$A$2:$E$112</definedName>
    <definedName name="_xlnm._FilterDatabase" localSheetId="0" hidden="1">'Typecode Reference'!$A$2:$AE$1196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91" i="1" l="1" a="1"/>
  <c r="G1191" i="1" s="1"/>
  <c r="H1191" i="1" a="1"/>
  <c r="H1191" i="1" s="1"/>
  <c r="I1191" i="1" a="1"/>
  <c r="I1191" i="1" s="1"/>
  <c r="J1191" i="1" a="1"/>
  <c r="J1191" i="1" s="1"/>
  <c r="K1191" i="1" a="1"/>
  <c r="K1191" i="1" s="1"/>
  <c r="L1191" i="1" a="1"/>
  <c r="L1191" i="1" s="1"/>
  <c r="I752" i="1" a="1"/>
  <c r="I752" i="1" s="1"/>
  <c r="J752" i="1" a="1"/>
  <c r="J752" i="1" s="1"/>
  <c r="K752" i="1" a="1"/>
  <c r="K752" i="1" s="1"/>
  <c r="L752" i="1" a="1"/>
  <c r="L752" i="1" s="1"/>
  <c r="G4" i="1" a="1"/>
  <c r="G4" i="1" s="1"/>
  <c r="H4" i="1" a="1"/>
  <c r="H4" i="1" s="1"/>
  <c r="I4" i="1" a="1"/>
  <c r="I4" i="1" s="1"/>
  <c r="J4" i="1" a="1"/>
  <c r="J4" i="1" s="1"/>
  <c r="K4" i="1" a="1"/>
  <c r="K4" i="1" s="1"/>
  <c r="L4" i="1" a="1"/>
  <c r="L4" i="1" s="1"/>
  <c r="G5" i="1" a="1"/>
  <c r="G5" i="1" s="1"/>
  <c r="H5" i="1" a="1"/>
  <c r="H5" i="1" s="1"/>
  <c r="I5" i="1" a="1"/>
  <c r="I5" i="1" s="1"/>
  <c r="J5" i="1" a="1"/>
  <c r="J5" i="1" s="1"/>
  <c r="K5" i="1" a="1"/>
  <c r="K5" i="1" s="1"/>
  <c r="L5" i="1" a="1"/>
  <c r="L5" i="1" s="1"/>
  <c r="G6" i="1" a="1"/>
  <c r="G6" i="1" s="1"/>
  <c r="H6" i="1" a="1"/>
  <c r="H6" i="1" s="1"/>
  <c r="I6" i="1" a="1"/>
  <c r="I6" i="1" s="1"/>
  <c r="J6" i="1" a="1"/>
  <c r="J6" i="1" s="1"/>
  <c r="K6" i="1" a="1"/>
  <c r="K6" i="1" s="1"/>
  <c r="L6" i="1" a="1"/>
  <c r="L6" i="1" s="1"/>
  <c r="G7" i="1" a="1"/>
  <c r="G7" i="1" s="1"/>
  <c r="H7" i="1" a="1"/>
  <c r="H7" i="1" s="1"/>
  <c r="I7" i="1" a="1"/>
  <c r="I7" i="1" s="1"/>
  <c r="J7" i="1" a="1"/>
  <c r="J7" i="1" s="1"/>
  <c r="K7" i="1" a="1"/>
  <c r="K7" i="1" s="1"/>
  <c r="L7" i="1" a="1"/>
  <c r="L7" i="1" s="1"/>
  <c r="G8" i="1" a="1"/>
  <c r="G8" i="1" s="1"/>
  <c r="H8" i="1" a="1"/>
  <c r="H8" i="1" s="1"/>
  <c r="I8" i="1" a="1"/>
  <c r="I8" i="1" s="1"/>
  <c r="J8" i="1" a="1"/>
  <c r="J8" i="1" s="1"/>
  <c r="K8" i="1" a="1"/>
  <c r="K8" i="1" s="1"/>
  <c r="L8" i="1" a="1"/>
  <c r="L8" i="1" s="1"/>
  <c r="G9" i="1" a="1"/>
  <c r="G9" i="1" s="1"/>
  <c r="H9" i="1" a="1"/>
  <c r="H9" i="1" s="1"/>
  <c r="I9" i="1" a="1"/>
  <c r="I9" i="1" s="1"/>
  <c r="J9" i="1" a="1"/>
  <c r="J9" i="1" s="1"/>
  <c r="K9" i="1" a="1"/>
  <c r="K9" i="1" s="1"/>
  <c r="L9" i="1" a="1"/>
  <c r="L9" i="1" s="1"/>
  <c r="G10" i="1" a="1"/>
  <c r="G10" i="1" s="1"/>
  <c r="H10" i="1" a="1"/>
  <c r="H10" i="1" s="1"/>
  <c r="I10" i="1" a="1"/>
  <c r="I10" i="1" s="1"/>
  <c r="J10" i="1" a="1"/>
  <c r="J10" i="1" s="1"/>
  <c r="K10" i="1" a="1"/>
  <c r="K10" i="1" s="1"/>
  <c r="L10" i="1" a="1"/>
  <c r="L10" i="1" s="1"/>
  <c r="G11" i="1" a="1"/>
  <c r="G11" i="1" s="1"/>
  <c r="H11" i="1" a="1"/>
  <c r="H11" i="1" s="1"/>
  <c r="I11" i="1" a="1"/>
  <c r="I11" i="1" s="1"/>
  <c r="J11" i="1" a="1"/>
  <c r="J11" i="1" s="1"/>
  <c r="K11" i="1" a="1"/>
  <c r="K11" i="1" s="1"/>
  <c r="L11" i="1" a="1"/>
  <c r="L11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G15" i="1" a="1"/>
  <c r="G15" i="1" s="1"/>
  <c r="H15" i="1" a="1"/>
  <c r="H15" i="1" s="1"/>
  <c r="I15" i="1" a="1"/>
  <c r="I15" i="1" s="1"/>
  <c r="J15" i="1" a="1"/>
  <c r="J15" i="1" s="1"/>
  <c r="K15" i="1" a="1"/>
  <c r="K15" i="1" s="1"/>
  <c r="L15" i="1" a="1"/>
  <c r="L15" i="1" s="1"/>
  <c r="G16" i="1" a="1"/>
  <c r="G16" i="1" s="1"/>
  <c r="H16" i="1" a="1"/>
  <c r="H16" i="1" s="1"/>
  <c r="I16" i="1" a="1"/>
  <c r="I16" i="1" s="1"/>
  <c r="J16" i="1" a="1"/>
  <c r="J16" i="1" s="1"/>
  <c r="K16" i="1" a="1"/>
  <c r="K16" i="1" s="1"/>
  <c r="L16" i="1" a="1"/>
  <c r="L16" i="1" s="1"/>
  <c r="G17" i="1" a="1"/>
  <c r="G17" i="1" s="1"/>
  <c r="H17" i="1" a="1"/>
  <c r="H17" i="1" s="1"/>
  <c r="I17" i="1" a="1"/>
  <c r="I17" i="1" s="1"/>
  <c r="J17" i="1" a="1"/>
  <c r="J17" i="1" s="1"/>
  <c r="K17" i="1" a="1"/>
  <c r="K17" i="1" s="1"/>
  <c r="L17" i="1" a="1"/>
  <c r="L17" i="1" s="1"/>
  <c r="G18" i="1" a="1"/>
  <c r="G18" i="1" s="1"/>
  <c r="H18" i="1" a="1"/>
  <c r="H18" i="1" s="1"/>
  <c r="I18" i="1" a="1"/>
  <c r="I18" i="1" s="1"/>
  <c r="J18" i="1" a="1"/>
  <c r="J18" i="1" s="1"/>
  <c r="K18" i="1" a="1"/>
  <c r="K18" i="1" s="1"/>
  <c r="L18" i="1" a="1"/>
  <c r="L18" i="1" s="1"/>
  <c r="G19" i="1" a="1"/>
  <c r="G19" i="1" s="1"/>
  <c r="H19" i="1" a="1"/>
  <c r="H19" i="1" s="1"/>
  <c r="I19" i="1" a="1"/>
  <c r="I19" i="1" s="1"/>
  <c r="J19" i="1" a="1"/>
  <c r="J19" i="1" s="1"/>
  <c r="K19" i="1" a="1"/>
  <c r="K19" i="1" s="1"/>
  <c r="L19" i="1" a="1"/>
  <c r="L19" i="1" s="1"/>
  <c r="G20" i="1" a="1"/>
  <c r="G20" i="1" s="1"/>
  <c r="H20" i="1" a="1"/>
  <c r="H20" i="1" s="1"/>
  <c r="I20" i="1" a="1"/>
  <c r="I20" i="1" s="1"/>
  <c r="J20" i="1" a="1"/>
  <c r="J20" i="1" s="1"/>
  <c r="K20" i="1" a="1"/>
  <c r="K20" i="1" s="1"/>
  <c r="L20" i="1" a="1"/>
  <c r="L20" i="1" s="1"/>
  <c r="G21" i="1" a="1"/>
  <c r="G21" i="1" s="1"/>
  <c r="H21" i="1" a="1"/>
  <c r="H21" i="1" s="1"/>
  <c r="I21" i="1" a="1"/>
  <c r="I21" i="1" s="1"/>
  <c r="J21" i="1" a="1"/>
  <c r="J21" i="1" s="1"/>
  <c r="K21" i="1" a="1"/>
  <c r="K21" i="1" s="1"/>
  <c r="L21" i="1" a="1"/>
  <c r="L21" i="1" s="1"/>
  <c r="G22" i="1" a="1"/>
  <c r="G22" i="1" s="1"/>
  <c r="H22" i="1" a="1"/>
  <c r="H22" i="1" s="1"/>
  <c r="I22" i="1" a="1"/>
  <c r="I22" i="1" s="1"/>
  <c r="J22" i="1" a="1"/>
  <c r="J22" i="1" s="1"/>
  <c r="K22" i="1" a="1"/>
  <c r="K22" i="1" s="1"/>
  <c r="L22" i="1" a="1"/>
  <c r="L22" i="1" s="1"/>
  <c r="G23" i="1" a="1"/>
  <c r="G23" i="1" s="1"/>
  <c r="H23" i="1" a="1"/>
  <c r="H23" i="1" s="1"/>
  <c r="I23" i="1" a="1"/>
  <c r="I23" i="1" s="1"/>
  <c r="J23" i="1" a="1"/>
  <c r="J23" i="1" s="1"/>
  <c r="K23" i="1" a="1"/>
  <c r="K23" i="1" s="1"/>
  <c r="L23" i="1" a="1"/>
  <c r="L23" i="1" s="1"/>
  <c r="G24" i="1" a="1"/>
  <c r="G24" i="1" s="1"/>
  <c r="H24" i="1" a="1"/>
  <c r="H24" i="1" s="1"/>
  <c r="I24" i="1" a="1"/>
  <c r="I24" i="1" s="1"/>
  <c r="J24" i="1" a="1"/>
  <c r="J24" i="1" s="1"/>
  <c r="K24" i="1" a="1"/>
  <c r="K24" i="1" s="1"/>
  <c r="L24" i="1" a="1"/>
  <c r="L24" i="1" s="1"/>
  <c r="G25" i="1" a="1"/>
  <c r="G25" i="1" s="1"/>
  <c r="H25" i="1" a="1"/>
  <c r="H25" i="1" s="1"/>
  <c r="I25" i="1" a="1"/>
  <c r="I25" i="1" s="1"/>
  <c r="J25" i="1" a="1"/>
  <c r="J25" i="1" s="1"/>
  <c r="K25" i="1" a="1"/>
  <c r="K25" i="1" s="1"/>
  <c r="L25" i="1" a="1"/>
  <c r="L25" i="1" s="1"/>
  <c r="G26" i="1" a="1"/>
  <c r="G26" i="1" s="1"/>
  <c r="H26" i="1" a="1"/>
  <c r="H26" i="1" s="1"/>
  <c r="I26" i="1" a="1"/>
  <c r="I26" i="1" s="1"/>
  <c r="J26" i="1" a="1"/>
  <c r="J26" i="1" s="1"/>
  <c r="K26" i="1" a="1"/>
  <c r="K26" i="1" s="1"/>
  <c r="L26" i="1" a="1"/>
  <c r="L26" i="1" s="1"/>
  <c r="G27" i="1" a="1"/>
  <c r="G27" i="1" s="1"/>
  <c r="H27" i="1" a="1"/>
  <c r="H27" i="1" s="1"/>
  <c r="I27" i="1" a="1"/>
  <c r="I27" i="1" s="1"/>
  <c r="J27" i="1" a="1"/>
  <c r="J27" i="1" s="1"/>
  <c r="K27" i="1" a="1"/>
  <c r="K27" i="1" s="1"/>
  <c r="L27" i="1" a="1"/>
  <c r="L27" i="1" s="1"/>
  <c r="G28" i="1" a="1"/>
  <c r="G28" i="1" s="1"/>
  <c r="H28" i="1" a="1"/>
  <c r="H28" i="1" s="1"/>
  <c r="I28" i="1" a="1"/>
  <c r="I28" i="1" s="1"/>
  <c r="J28" i="1" a="1"/>
  <c r="J28" i="1" s="1"/>
  <c r="K28" i="1" a="1"/>
  <c r="K28" i="1" s="1"/>
  <c r="L28" i="1" a="1"/>
  <c r="L28" i="1" s="1"/>
  <c r="G29" i="1" a="1"/>
  <c r="G29" i="1" s="1"/>
  <c r="H29" i="1" a="1"/>
  <c r="H29" i="1" s="1"/>
  <c r="I29" i="1" a="1"/>
  <c r="I29" i="1" s="1"/>
  <c r="J29" i="1" a="1"/>
  <c r="J29" i="1" s="1"/>
  <c r="K29" i="1" a="1"/>
  <c r="K29" i="1" s="1"/>
  <c r="L29" i="1" a="1"/>
  <c r="L29" i="1" s="1"/>
  <c r="G30" i="1" a="1"/>
  <c r="G30" i="1" s="1"/>
  <c r="H30" i="1" a="1"/>
  <c r="H30" i="1" s="1"/>
  <c r="I30" i="1" a="1"/>
  <c r="I30" i="1" s="1"/>
  <c r="J30" i="1" a="1"/>
  <c r="J30" i="1" s="1"/>
  <c r="K30" i="1" a="1"/>
  <c r="K30" i="1" s="1"/>
  <c r="L30" i="1" a="1"/>
  <c r="L30" i="1" s="1"/>
  <c r="G31" i="1" a="1"/>
  <c r="G31" i="1" s="1"/>
  <c r="H31" i="1" a="1"/>
  <c r="H31" i="1" s="1"/>
  <c r="I31" i="1" a="1"/>
  <c r="I31" i="1" s="1"/>
  <c r="J31" i="1" a="1"/>
  <c r="J31" i="1" s="1"/>
  <c r="K31" i="1" a="1"/>
  <c r="K31" i="1" s="1"/>
  <c r="L31" i="1" a="1"/>
  <c r="L31" i="1" s="1"/>
  <c r="G32" i="1" a="1"/>
  <c r="G32" i="1" s="1"/>
  <c r="H32" i="1" a="1"/>
  <c r="H32" i="1" s="1"/>
  <c r="I32" i="1" a="1"/>
  <c r="I32" i="1" s="1"/>
  <c r="J32" i="1" a="1"/>
  <c r="J32" i="1" s="1"/>
  <c r="K32" i="1" a="1"/>
  <c r="K32" i="1" s="1"/>
  <c r="L32" i="1" a="1"/>
  <c r="L32" i="1" s="1"/>
  <c r="G33" i="1" a="1"/>
  <c r="G33" i="1" s="1"/>
  <c r="H33" i="1" a="1"/>
  <c r="H33" i="1" s="1"/>
  <c r="I33" i="1" a="1"/>
  <c r="I33" i="1" s="1"/>
  <c r="J33" i="1" a="1"/>
  <c r="J33" i="1" s="1"/>
  <c r="K33" i="1" a="1"/>
  <c r="K33" i="1" s="1"/>
  <c r="L33" i="1" a="1"/>
  <c r="L33" i="1" s="1"/>
  <c r="G34" i="1" a="1"/>
  <c r="G34" i="1" s="1"/>
  <c r="H34" i="1" a="1"/>
  <c r="H34" i="1" s="1"/>
  <c r="I34" i="1" a="1"/>
  <c r="I34" i="1" s="1"/>
  <c r="J34" i="1" a="1"/>
  <c r="J34" i="1" s="1"/>
  <c r="K34" i="1" a="1"/>
  <c r="K34" i="1" s="1"/>
  <c r="L34" i="1" a="1"/>
  <c r="L34" i="1" s="1"/>
  <c r="G35" i="1" a="1"/>
  <c r="G35" i="1" s="1"/>
  <c r="H35" i="1" a="1"/>
  <c r="H35" i="1" s="1"/>
  <c r="I35" i="1" a="1"/>
  <c r="I35" i="1" s="1"/>
  <c r="J35" i="1" a="1"/>
  <c r="J35" i="1" s="1"/>
  <c r="K35" i="1" a="1"/>
  <c r="K35" i="1" s="1"/>
  <c r="L35" i="1" a="1"/>
  <c r="L35" i="1" s="1"/>
  <c r="G36" i="1" a="1"/>
  <c r="G36" i="1" s="1"/>
  <c r="H36" i="1" a="1"/>
  <c r="H36" i="1" s="1"/>
  <c r="I36" i="1" a="1"/>
  <c r="I36" i="1" s="1"/>
  <c r="J36" i="1" a="1"/>
  <c r="J36" i="1" s="1"/>
  <c r="K36" i="1" a="1"/>
  <c r="K36" i="1" s="1"/>
  <c r="L36" i="1" a="1"/>
  <c r="L36" i="1" s="1"/>
  <c r="G37" i="1" a="1"/>
  <c r="G37" i="1" s="1"/>
  <c r="H37" i="1" a="1"/>
  <c r="H37" i="1" s="1"/>
  <c r="I37" i="1" a="1"/>
  <c r="I37" i="1" s="1"/>
  <c r="J37" i="1" a="1"/>
  <c r="J37" i="1" s="1"/>
  <c r="K37" i="1" a="1"/>
  <c r="K37" i="1" s="1"/>
  <c r="L37" i="1" a="1"/>
  <c r="L37" i="1" s="1"/>
  <c r="G38" i="1" a="1"/>
  <c r="G38" i="1" s="1"/>
  <c r="H38" i="1" a="1"/>
  <c r="H38" i="1" s="1"/>
  <c r="I38" i="1" a="1"/>
  <c r="I38" i="1" s="1"/>
  <c r="J38" i="1" a="1"/>
  <c r="J38" i="1" s="1"/>
  <c r="K38" i="1" a="1"/>
  <c r="K38" i="1" s="1"/>
  <c r="L38" i="1" a="1"/>
  <c r="L38" i="1" s="1"/>
  <c r="G39" i="1" a="1"/>
  <c r="G39" i="1" s="1"/>
  <c r="H39" i="1" a="1"/>
  <c r="H39" i="1" s="1"/>
  <c r="I39" i="1" a="1"/>
  <c r="I39" i="1" s="1"/>
  <c r="J39" i="1" a="1"/>
  <c r="J39" i="1" s="1"/>
  <c r="K39" i="1" a="1"/>
  <c r="K39" i="1" s="1"/>
  <c r="L39" i="1" a="1"/>
  <c r="L39" i="1" s="1"/>
  <c r="G40" i="1" a="1"/>
  <c r="G40" i="1" s="1"/>
  <c r="H40" i="1" a="1"/>
  <c r="H40" i="1" s="1"/>
  <c r="I40" i="1" a="1"/>
  <c r="I40" i="1" s="1"/>
  <c r="J40" i="1" a="1"/>
  <c r="J40" i="1" s="1"/>
  <c r="K40" i="1" a="1"/>
  <c r="K40" i="1" s="1"/>
  <c r="L40" i="1" a="1"/>
  <c r="L40" i="1" s="1"/>
  <c r="G41" i="1" a="1"/>
  <c r="G41" i="1" s="1"/>
  <c r="H41" i="1" a="1"/>
  <c r="H41" i="1" s="1"/>
  <c r="I41" i="1" a="1"/>
  <c r="I41" i="1" s="1"/>
  <c r="J41" i="1" a="1"/>
  <c r="J41" i="1" s="1"/>
  <c r="K41" i="1" a="1"/>
  <c r="K41" i="1" s="1"/>
  <c r="L41" i="1" a="1"/>
  <c r="L41" i="1" s="1"/>
  <c r="G42" i="1" a="1"/>
  <c r="G42" i="1" s="1"/>
  <c r="H42" i="1" a="1"/>
  <c r="H42" i="1" s="1"/>
  <c r="I42" i="1" a="1"/>
  <c r="I42" i="1" s="1"/>
  <c r="J42" i="1" a="1"/>
  <c r="J42" i="1" s="1"/>
  <c r="K42" i="1" a="1"/>
  <c r="K42" i="1" s="1"/>
  <c r="L42" i="1" a="1"/>
  <c r="L42" i="1" s="1"/>
  <c r="G43" i="1" a="1"/>
  <c r="G43" i="1" s="1"/>
  <c r="H43" i="1" a="1"/>
  <c r="H43" i="1" s="1"/>
  <c r="I43" i="1" a="1"/>
  <c r="I43" i="1" s="1"/>
  <c r="J43" i="1" a="1"/>
  <c r="J43" i="1" s="1"/>
  <c r="K43" i="1" a="1"/>
  <c r="K43" i="1" s="1"/>
  <c r="L43" i="1" a="1"/>
  <c r="L43" i="1" s="1"/>
  <c r="G44" i="1" a="1"/>
  <c r="G44" i="1" s="1"/>
  <c r="H44" i="1" a="1"/>
  <c r="H44" i="1" s="1"/>
  <c r="I44" i="1" a="1"/>
  <c r="I44" i="1" s="1"/>
  <c r="J44" i="1" a="1"/>
  <c r="J44" i="1" s="1"/>
  <c r="K44" i="1" a="1"/>
  <c r="K44" i="1" s="1"/>
  <c r="L44" i="1" a="1"/>
  <c r="L44" i="1" s="1"/>
  <c r="G45" i="1" a="1"/>
  <c r="G45" i="1" s="1"/>
  <c r="H45" i="1" a="1"/>
  <c r="H45" i="1" s="1"/>
  <c r="I45" i="1" a="1"/>
  <c r="I45" i="1" s="1"/>
  <c r="J45" i="1" a="1"/>
  <c r="J45" i="1" s="1"/>
  <c r="K45" i="1" a="1"/>
  <c r="K45" i="1" s="1"/>
  <c r="L45" i="1" a="1"/>
  <c r="L45" i="1" s="1"/>
  <c r="G46" i="1" a="1"/>
  <c r="G46" i="1" s="1"/>
  <c r="H46" i="1" a="1"/>
  <c r="H46" i="1" s="1"/>
  <c r="I46" i="1" a="1"/>
  <c r="I46" i="1" s="1"/>
  <c r="J46" i="1" a="1"/>
  <c r="J46" i="1" s="1"/>
  <c r="K46" i="1" a="1"/>
  <c r="K46" i="1" s="1"/>
  <c r="L46" i="1" a="1"/>
  <c r="L46" i="1" s="1"/>
  <c r="G47" i="1" a="1"/>
  <c r="G47" i="1" s="1"/>
  <c r="H47" i="1" a="1"/>
  <c r="H47" i="1" s="1"/>
  <c r="I47" i="1" a="1"/>
  <c r="I47" i="1" s="1"/>
  <c r="J47" i="1" a="1"/>
  <c r="J47" i="1" s="1"/>
  <c r="K47" i="1" a="1"/>
  <c r="K47" i="1" s="1"/>
  <c r="L47" i="1" a="1"/>
  <c r="L47" i="1" s="1"/>
  <c r="G48" i="1" a="1"/>
  <c r="G48" i="1" s="1"/>
  <c r="H48" i="1" a="1"/>
  <c r="H48" i="1" s="1"/>
  <c r="I48" i="1" a="1"/>
  <c r="I48" i="1" s="1"/>
  <c r="J48" i="1" a="1"/>
  <c r="J48" i="1" s="1"/>
  <c r="K48" i="1" a="1"/>
  <c r="K48" i="1" s="1"/>
  <c r="L48" i="1" a="1"/>
  <c r="L48" i="1" s="1"/>
  <c r="G49" i="1" a="1"/>
  <c r="G49" i="1" s="1"/>
  <c r="H49" i="1" a="1"/>
  <c r="H49" i="1" s="1"/>
  <c r="I49" i="1" a="1"/>
  <c r="I49" i="1" s="1"/>
  <c r="J49" i="1" a="1"/>
  <c r="J49" i="1" s="1"/>
  <c r="K49" i="1" a="1"/>
  <c r="K49" i="1" s="1"/>
  <c r="L49" i="1" a="1"/>
  <c r="L49" i="1" s="1"/>
  <c r="G50" i="1" a="1"/>
  <c r="G50" i="1" s="1"/>
  <c r="H50" i="1" a="1"/>
  <c r="H50" i="1" s="1"/>
  <c r="I50" i="1" a="1"/>
  <c r="I50" i="1" s="1"/>
  <c r="J50" i="1" a="1"/>
  <c r="J50" i="1" s="1"/>
  <c r="K50" i="1" a="1"/>
  <c r="K50" i="1" s="1"/>
  <c r="L50" i="1" a="1"/>
  <c r="L50" i="1" s="1"/>
  <c r="G51" i="1" a="1"/>
  <c r="G51" i="1" s="1"/>
  <c r="H51" i="1" a="1"/>
  <c r="H51" i="1" s="1"/>
  <c r="I51" i="1" a="1"/>
  <c r="I51" i="1" s="1"/>
  <c r="J51" i="1" a="1"/>
  <c r="J51" i="1" s="1"/>
  <c r="K51" i="1" a="1"/>
  <c r="K51" i="1" s="1"/>
  <c r="L51" i="1" a="1"/>
  <c r="L51" i="1" s="1"/>
  <c r="G52" i="1" a="1"/>
  <c r="G52" i="1" s="1"/>
  <c r="H52" i="1" a="1"/>
  <c r="H52" i="1" s="1"/>
  <c r="I52" i="1" a="1"/>
  <c r="I52" i="1" s="1"/>
  <c r="J52" i="1" a="1"/>
  <c r="J52" i="1" s="1"/>
  <c r="K52" i="1" a="1"/>
  <c r="K52" i="1" s="1"/>
  <c r="L52" i="1" a="1"/>
  <c r="L52" i="1" s="1"/>
  <c r="G53" i="1" a="1"/>
  <c r="G53" i="1" s="1"/>
  <c r="H53" i="1" a="1"/>
  <c r="H53" i="1" s="1"/>
  <c r="I53" i="1" a="1"/>
  <c r="I53" i="1" s="1"/>
  <c r="J53" i="1" a="1"/>
  <c r="J53" i="1" s="1"/>
  <c r="K53" i="1" a="1"/>
  <c r="K53" i="1" s="1"/>
  <c r="L53" i="1" a="1"/>
  <c r="L53" i="1" s="1"/>
  <c r="G54" i="1" a="1"/>
  <c r="G54" i="1" s="1"/>
  <c r="H54" i="1" a="1"/>
  <c r="H54" i="1" s="1"/>
  <c r="I54" i="1" a="1"/>
  <c r="I54" i="1" s="1"/>
  <c r="J54" i="1" a="1"/>
  <c r="J54" i="1" s="1"/>
  <c r="K54" i="1" a="1"/>
  <c r="K54" i="1" s="1"/>
  <c r="L54" i="1" a="1"/>
  <c r="L54" i="1" s="1"/>
  <c r="G55" i="1" a="1"/>
  <c r="G55" i="1" s="1"/>
  <c r="H55" i="1" a="1"/>
  <c r="H55" i="1" s="1"/>
  <c r="I55" i="1" a="1"/>
  <c r="I55" i="1" s="1"/>
  <c r="J55" i="1" a="1"/>
  <c r="J55" i="1" s="1"/>
  <c r="K55" i="1" a="1"/>
  <c r="K55" i="1" s="1"/>
  <c r="L55" i="1" a="1"/>
  <c r="L55" i="1" s="1"/>
  <c r="G56" i="1" a="1"/>
  <c r="G56" i="1" s="1"/>
  <c r="H56" i="1" a="1"/>
  <c r="H56" i="1" s="1"/>
  <c r="I56" i="1" a="1"/>
  <c r="I56" i="1" s="1"/>
  <c r="J56" i="1" a="1"/>
  <c r="J56" i="1" s="1"/>
  <c r="K56" i="1" a="1"/>
  <c r="K56" i="1" s="1"/>
  <c r="L56" i="1" a="1"/>
  <c r="L56" i="1" s="1"/>
  <c r="G57" i="1" a="1"/>
  <c r="G57" i="1" s="1"/>
  <c r="H57" i="1" a="1"/>
  <c r="H57" i="1" s="1"/>
  <c r="I57" i="1" a="1"/>
  <c r="I57" i="1" s="1"/>
  <c r="J57" i="1" a="1"/>
  <c r="J57" i="1" s="1"/>
  <c r="K57" i="1" a="1"/>
  <c r="K57" i="1" s="1"/>
  <c r="L57" i="1" a="1"/>
  <c r="L57" i="1" s="1"/>
  <c r="G58" i="1" a="1"/>
  <c r="G58" i="1" s="1"/>
  <c r="H58" i="1" a="1"/>
  <c r="H58" i="1" s="1"/>
  <c r="I58" i="1" a="1"/>
  <c r="I58" i="1" s="1"/>
  <c r="J58" i="1" a="1"/>
  <c r="J58" i="1" s="1"/>
  <c r="K58" i="1" a="1"/>
  <c r="K58" i="1" s="1"/>
  <c r="L58" i="1" a="1"/>
  <c r="L58" i="1" s="1"/>
  <c r="G59" i="1" a="1"/>
  <c r="G59" i="1" s="1"/>
  <c r="H59" i="1" a="1"/>
  <c r="H59" i="1" s="1"/>
  <c r="I59" i="1" a="1"/>
  <c r="I59" i="1" s="1"/>
  <c r="J59" i="1" a="1"/>
  <c r="J59" i="1" s="1"/>
  <c r="K59" i="1" a="1"/>
  <c r="K59" i="1" s="1"/>
  <c r="L59" i="1" a="1"/>
  <c r="L59" i="1" s="1"/>
  <c r="G60" i="1" a="1"/>
  <c r="G60" i="1" s="1"/>
  <c r="H60" i="1" a="1"/>
  <c r="H60" i="1" s="1"/>
  <c r="I60" i="1" a="1"/>
  <c r="I60" i="1" s="1"/>
  <c r="J60" i="1" a="1"/>
  <c r="J60" i="1" s="1"/>
  <c r="K60" i="1" a="1"/>
  <c r="K60" i="1" s="1"/>
  <c r="L60" i="1" a="1"/>
  <c r="L60" i="1" s="1"/>
  <c r="G61" i="1" a="1"/>
  <c r="G61" i="1" s="1"/>
  <c r="H61" i="1" a="1"/>
  <c r="H61" i="1" s="1"/>
  <c r="I61" i="1" a="1"/>
  <c r="I61" i="1" s="1"/>
  <c r="J61" i="1" a="1"/>
  <c r="J61" i="1" s="1"/>
  <c r="K61" i="1" a="1"/>
  <c r="K61" i="1" s="1"/>
  <c r="L61" i="1" a="1"/>
  <c r="L61" i="1" s="1"/>
  <c r="G62" i="1" a="1"/>
  <c r="G62" i="1" s="1"/>
  <c r="H62" i="1" a="1"/>
  <c r="H62" i="1" s="1"/>
  <c r="I62" i="1" a="1"/>
  <c r="I62" i="1" s="1"/>
  <c r="J62" i="1" a="1"/>
  <c r="J62" i="1" s="1"/>
  <c r="K62" i="1" a="1"/>
  <c r="K62" i="1" s="1"/>
  <c r="L62" i="1" a="1"/>
  <c r="L62" i="1" s="1"/>
  <c r="G63" i="1" a="1"/>
  <c r="G63" i="1" s="1"/>
  <c r="H63" i="1" a="1"/>
  <c r="H63" i="1" s="1"/>
  <c r="I63" i="1" a="1"/>
  <c r="I63" i="1" s="1"/>
  <c r="J63" i="1" a="1"/>
  <c r="J63" i="1" s="1"/>
  <c r="K63" i="1" a="1"/>
  <c r="K63" i="1" s="1"/>
  <c r="L63" i="1" a="1"/>
  <c r="L63" i="1" s="1"/>
  <c r="G64" i="1" a="1"/>
  <c r="G64" i="1" s="1"/>
  <c r="H64" i="1" a="1"/>
  <c r="H64" i="1" s="1"/>
  <c r="I64" i="1" a="1"/>
  <c r="I64" i="1" s="1"/>
  <c r="J64" i="1" a="1"/>
  <c r="J64" i="1" s="1"/>
  <c r="K64" i="1" a="1"/>
  <c r="K64" i="1" s="1"/>
  <c r="L64" i="1" a="1"/>
  <c r="L64" i="1" s="1"/>
  <c r="G65" i="1" a="1"/>
  <c r="G65" i="1" s="1"/>
  <c r="H65" i="1" a="1"/>
  <c r="H65" i="1" s="1"/>
  <c r="I65" i="1" a="1"/>
  <c r="I65" i="1" s="1"/>
  <c r="J65" i="1" a="1"/>
  <c r="J65" i="1" s="1"/>
  <c r="K65" i="1" a="1"/>
  <c r="K65" i="1" s="1"/>
  <c r="L65" i="1" a="1"/>
  <c r="L65" i="1" s="1"/>
  <c r="G66" i="1" a="1"/>
  <c r="G66" i="1" s="1"/>
  <c r="H66" i="1" a="1"/>
  <c r="H66" i="1" s="1"/>
  <c r="I66" i="1" a="1"/>
  <c r="I66" i="1" s="1"/>
  <c r="J66" i="1" a="1"/>
  <c r="J66" i="1" s="1"/>
  <c r="K66" i="1" a="1"/>
  <c r="K66" i="1" s="1"/>
  <c r="L66" i="1" a="1"/>
  <c r="L66" i="1" s="1"/>
  <c r="G67" i="1" a="1"/>
  <c r="G67" i="1" s="1"/>
  <c r="H67" i="1" a="1"/>
  <c r="H67" i="1" s="1"/>
  <c r="I67" i="1" a="1"/>
  <c r="I67" i="1" s="1"/>
  <c r="J67" i="1" a="1"/>
  <c r="J67" i="1" s="1"/>
  <c r="K67" i="1" a="1"/>
  <c r="K67" i="1" s="1"/>
  <c r="L67" i="1" a="1"/>
  <c r="L67" i="1" s="1"/>
  <c r="G68" i="1" a="1"/>
  <c r="G68" i="1" s="1"/>
  <c r="H68" i="1" a="1"/>
  <c r="H68" i="1" s="1"/>
  <c r="I68" i="1" a="1"/>
  <c r="I68" i="1" s="1"/>
  <c r="J68" i="1" a="1"/>
  <c r="J68" i="1" s="1"/>
  <c r="K68" i="1" a="1"/>
  <c r="K68" i="1" s="1"/>
  <c r="L68" i="1" a="1"/>
  <c r="L68" i="1" s="1"/>
  <c r="G69" i="1" a="1"/>
  <c r="G69" i="1" s="1"/>
  <c r="H69" i="1" a="1"/>
  <c r="H69" i="1" s="1"/>
  <c r="I69" i="1" a="1"/>
  <c r="I69" i="1" s="1"/>
  <c r="J69" i="1" a="1"/>
  <c r="J69" i="1" s="1"/>
  <c r="K69" i="1" a="1"/>
  <c r="K69" i="1" s="1"/>
  <c r="L69" i="1" a="1"/>
  <c r="L69" i="1" s="1"/>
  <c r="G70" i="1" a="1"/>
  <c r="G70" i="1" s="1"/>
  <c r="H70" i="1" a="1"/>
  <c r="H70" i="1" s="1"/>
  <c r="I70" i="1" a="1"/>
  <c r="I70" i="1" s="1"/>
  <c r="J70" i="1" a="1"/>
  <c r="J70" i="1" s="1"/>
  <c r="K70" i="1" a="1"/>
  <c r="K70" i="1" s="1"/>
  <c r="L70" i="1" a="1"/>
  <c r="L70" i="1" s="1"/>
  <c r="G71" i="1" a="1"/>
  <c r="G71" i="1" s="1"/>
  <c r="H71" i="1" a="1"/>
  <c r="H71" i="1" s="1"/>
  <c r="I71" i="1" a="1"/>
  <c r="I71" i="1" s="1"/>
  <c r="J71" i="1" a="1"/>
  <c r="J71" i="1" s="1"/>
  <c r="K71" i="1" a="1"/>
  <c r="K71" i="1" s="1"/>
  <c r="L71" i="1" a="1"/>
  <c r="L71" i="1" s="1"/>
  <c r="G72" i="1" a="1"/>
  <c r="G72" i="1" s="1"/>
  <c r="H72" i="1" a="1"/>
  <c r="H72" i="1" s="1"/>
  <c r="I72" i="1" a="1"/>
  <c r="I72" i="1" s="1"/>
  <c r="J72" i="1" a="1"/>
  <c r="J72" i="1" s="1"/>
  <c r="K72" i="1" a="1"/>
  <c r="K72" i="1" s="1"/>
  <c r="L72" i="1" a="1"/>
  <c r="L72" i="1" s="1"/>
  <c r="G73" i="1" a="1"/>
  <c r="G73" i="1" s="1"/>
  <c r="H73" i="1" a="1"/>
  <c r="H73" i="1" s="1"/>
  <c r="I73" i="1" a="1"/>
  <c r="I73" i="1" s="1"/>
  <c r="J73" i="1" a="1"/>
  <c r="J73" i="1" s="1"/>
  <c r="K73" i="1" a="1"/>
  <c r="K73" i="1" s="1"/>
  <c r="L73" i="1" a="1"/>
  <c r="L73" i="1" s="1"/>
  <c r="G74" i="1" a="1"/>
  <c r="G74" i="1" s="1"/>
  <c r="H74" i="1" a="1"/>
  <c r="H74" i="1" s="1"/>
  <c r="I74" i="1" a="1"/>
  <c r="I74" i="1" s="1"/>
  <c r="J74" i="1" a="1"/>
  <c r="J74" i="1" s="1"/>
  <c r="K74" i="1" a="1"/>
  <c r="K74" i="1" s="1"/>
  <c r="L74" i="1" a="1"/>
  <c r="L74" i="1" s="1"/>
  <c r="G75" i="1" a="1"/>
  <c r="G75" i="1" s="1"/>
  <c r="H75" i="1" a="1"/>
  <c r="H75" i="1" s="1"/>
  <c r="I75" i="1" a="1"/>
  <c r="I75" i="1" s="1"/>
  <c r="J75" i="1" a="1"/>
  <c r="J75" i="1" s="1"/>
  <c r="K75" i="1" a="1"/>
  <c r="K75" i="1" s="1"/>
  <c r="L75" i="1" a="1"/>
  <c r="L75" i="1" s="1"/>
  <c r="G76" i="1" a="1"/>
  <c r="G76" i="1" s="1"/>
  <c r="H76" i="1" a="1"/>
  <c r="H76" i="1" s="1"/>
  <c r="I76" i="1" a="1"/>
  <c r="I76" i="1" s="1"/>
  <c r="J76" i="1" a="1"/>
  <c r="J76" i="1" s="1"/>
  <c r="K76" i="1" a="1"/>
  <c r="K76" i="1" s="1"/>
  <c r="L76" i="1" a="1"/>
  <c r="L76" i="1" s="1"/>
  <c r="G77" i="1" a="1"/>
  <c r="G77" i="1" s="1"/>
  <c r="H77" i="1" a="1"/>
  <c r="H77" i="1" s="1"/>
  <c r="I77" i="1" a="1"/>
  <c r="I77" i="1" s="1"/>
  <c r="J77" i="1" a="1"/>
  <c r="J77" i="1" s="1"/>
  <c r="K77" i="1" a="1"/>
  <c r="K77" i="1" s="1"/>
  <c r="L77" i="1" a="1"/>
  <c r="L77" i="1" s="1"/>
  <c r="G78" i="1" a="1"/>
  <c r="G78" i="1" s="1"/>
  <c r="H78" i="1" a="1"/>
  <c r="H78" i="1" s="1"/>
  <c r="I78" i="1" a="1"/>
  <c r="I78" i="1" s="1"/>
  <c r="J78" i="1" a="1"/>
  <c r="J78" i="1" s="1"/>
  <c r="K78" i="1" a="1"/>
  <c r="K78" i="1" s="1"/>
  <c r="L78" i="1" a="1"/>
  <c r="L78" i="1" s="1"/>
  <c r="G79" i="1" a="1"/>
  <c r="G79" i="1" s="1"/>
  <c r="H79" i="1" a="1"/>
  <c r="H79" i="1" s="1"/>
  <c r="I79" i="1" a="1"/>
  <c r="I79" i="1" s="1"/>
  <c r="J79" i="1" a="1"/>
  <c r="J79" i="1" s="1"/>
  <c r="K79" i="1" a="1"/>
  <c r="K79" i="1" s="1"/>
  <c r="L79" i="1" a="1"/>
  <c r="L79" i="1" s="1"/>
  <c r="G80" i="1" a="1"/>
  <c r="G80" i="1" s="1"/>
  <c r="H80" i="1" a="1"/>
  <c r="H80" i="1" s="1"/>
  <c r="I80" i="1" a="1"/>
  <c r="I80" i="1" s="1"/>
  <c r="J80" i="1" a="1"/>
  <c r="J80" i="1" s="1"/>
  <c r="K80" i="1" a="1"/>
  <c r="K80" i="1" s="1"/>
  <c r="L80" i="1" a="1"/>
  <c r="L80" i="1" s="1"/>
  <c r="G81" i="1" a="1"/>
  <c r="G81" i="1" s="1"/>
  <c r="H81" i="1" a="1"/>
  <c r="H81" i="1" s="1"/>
  <c r="I81" i="1" a="1"/>
  <c r="I81" i="1" s="1"/>
  <c r="J81" i="1" a="1"/>
  <c r="J81" i="1" s="1"/>
  <c r="K81" i="1" a="1"/>
  <c r="K81" i="1" s="1"/>
  <c r="L81" i="1" a="1"/>
  <c r="L81" i="1" s="1"/>
  <c r="G82" i="1" a="1"/>
  <c r="G82" i="1" s="1"/>
  <c r="H82" i="1" a="1"/>
  <c r="H82" i="1" s="1"/>
  <c r="I82" i="1" a="1"/>
  <c r="I82" i="1" s="1"/>
  <c r="J82" i="1" a="1"/>
  <c r="J82" i="1" s="1"/>
  <c r="K82" i="1" a="1"/>
  <c r="K82" i="1" s="1"/>
  <c r="L82" i="1" a="1"/>
  <c r="L82" i="1" s="1"/>
  <c r="G83" i="1" a="1"/>
  <c r="G83" i="1" s="1"/>
  <c r="H83" i="1" a="1"/>
  <c r="H83" i="1" s="1"/>
  <c r="I83" i="1" a="1"/>
  <c r="I83" i="1" s="1"/>
  <c r="J83" i="1" a="1"/>
  <c r="J83" i="1" s="1"/>
  <c r="K83" i="1" a="1"/>
  <c r="K83" i="1" s="1"/>
  <c r="L83" i="1" a="1"/>
  <c r="L83" i="1" s="1"/>
  <c r="G84" i="1" a="1"/>
  <c r="G84" i="1" s="1"/>
  <c r="H84" i="1" a="1"/>
  <c r="H84" i="1" s="1"/>
  <c r="I84" i="1" a="1"/>
  <c r="I84" i="1" s="1"/>
  <c r="J84" i="1" a="1"/>
  <c r="J84" i="1" s="1"/>
  <c r="K84" i="1" a="1"/>
  <c r="K84" i="1" s="1"/>
  <c r="L84" i="1" a="1"/>
  <c r="L84" i="1" s="1"/>
  <c r="G85" i="1" a="1"/>
  <c r="G85" i="1" s="1"/>
  <c r="H85" i="1" a="1"/>
  <c r="H85" i="1" s="1"/>
  <c r="I85" i="1" a="1"/>
  <c r="I85" i="1" s="1"/>
  <c r="J85" i="1" a="1"/>
  <c r="J85" i="1" s="1"/>
  <c r="K85" i="1" a="1"/>
  <c r="K85" i="1" s="1"/>
  <c r="L85" i="1" a="1"/>
  <c r="L85" i="1" s="1"/>
  <c r="G86" i="1" a="1"/>
  <c r="G86" i="1" s="1"/>
  <c r="H86" i="1" a="1"/>
  <c r="H86" i="1" s="1"/>
  <c r="I86" i="1" a="1"/>
  <c r="I86" i="1" s="1"/>
  <c r="J86" i="1" a="1"/>
  <c r="J86" i="1" s="1"/>
  <c r="K86" i="1" a="1"/>
  <c r="K86" i="1" s="1"/>
  <c r="L86" i="1" a="1"/>
  <c r="L86" i="1" s="1"/>
  <c r="G87" i="1" a="1"/>
  <c r="G87" i="1" s="1"/>
  <c r="H87" i="1" a="1"/>
  <c r="H87" i="1" s="1"/>
  <c r="I87" i="1" a="1"/>
  <c r="I87" i="1" s="1"/>
  <c r="J87" i="1" a="1"/>
  <c r="J87" i="1" s="1"/>
  <c r="K87" i="1" a="1"/>
  <c r="K87" i="1" s="1"/>
  <c r="L87" i="1" a="1"/>
  <c r="L87" i="1" s="1"/>
  <c r="G88" i="1" a="1"/>
  <c r="G88" i="1" s="1"/>
  <c r="H88" i="1" a="1"/>
  <c r="H88" i="1" s="1"/>
  <c r="I88" i="1" a="1"/>
  <c r="I88" i="1" s="1"/>
  <c r="J88" i="1" a="1"/>
  <c r="J88" i="1" s="1"/>
  <c r="K88" i="1" a="1"/>
  <c r="K88" i="1" s="1"/>
  <c r="L88" i="1" a="1"/>
  <c r="L88" i="1" s="1"/>
  <c r="G89" i="1" a="1"/>
  <c r="G89" i="1" s="1"/>
  <c r="H89" i="1" a="1"/>
  <c r="H89" i="1" s="1"/>
  <c r="I89" i="1" a="1"/>
  <c r="I89" i="1" s="1"/>
  <c r="J89" i="1" a="1"/>
  <c r="J89" i="1" s="1"/>
  <c r="K89" i="1" a="1"/>
  <c r="K89" i="1" s="1"/>
  <c r="L89" i="1" a="1"/>
  <c r="L89" i="1" s="1"/>
  <c r="G90" i="1" a="1"/>
  <c r="G90" i="1" s="1"/>
  <c r="H90" i="1" a="1"/>
  <c r="H90" i="1" s="1"/>
  <c r="I90" i="1" a="1"/>
  <c r="I90" i="1" s="1"/>
  <c r="J90" i="1" a="1"/>
  <c r="J90" i="1" s="1"/>
  <c r="K90" i="1" a="1"/>
  <c r="K90" i="1" s="1"/>
  <c r="L90" i="1" a="1"/>
  <c r="L90" i="1" s="1"/>
  <c r="G91" i="1" a="1"/>
  <c r="G91" i="1" s="1"/>
  <c r="H91" i="1" a="1"/>
  <c r="H91" i="1" s="1"/>
  <c r="I91" i="1" a="1"/>
  <c r="I91" i="1" s="1"/>
  <c r="J91" i="1" a="1"/>
  <c r="J91" i="1" s="1"/>
  <c r="K91" i="1" a="1"/>
  <c r="K91" i="1" s="1"/>
  <c r="L91" i="1" a="1"/>
  <c r="L91" i="1" s="1"/>
  <c r="G92" i="1" a="1"/>
  <c r="G92" i="1" s="1"/>
  <c r="H92" i="1" a="1"/>
  <c r="H92" i="1" s="1"/>
  <c r="I92" i="1" a="1"/>
  <c r="I92" i="1" s="1"/>
  <c r="J92" i="1" a="1"/>
  <c r="J92" i="1" s="1"/>
  <c r="K92" i="1" a="1"/>
  <c r="K92" i="1" s="1"/>
  <c r="L92" i="1" a="1"/>
  <c r="L92" i="1" s="1"/>
  <c r="G93" i="1" a="1"/>
  <c r="G93" i="1" s="1"/>
  <c r="H93" i="1" a="1"/>
  <c r="H93" i="1" s="1"/>
  <c r="I93" i="1" a="1"/>
  <c r="I93" i="1" s="1"/>
  <c r="J93" i="1" a="1"/>
  <c r="J93" i="1" s="1"/>
  <c r="K93" i="1" a="1"/>
  <c r="K93" i="1" s="1"/>
  <c r="L93" i="1" a="1"/>
  <c r="L93" i="1" s="1"/>
  <c r="G94" i="1" a="1"/>
  <c r="G94" i="1" s="1"/>
  <c r="H94" i="1" a="1"/>
  <c r="H94" i="1" s="1"/>
  <c r="I94" i="1" a="1"/>
  <c r="I94" i="1" s="1"/>
  <c r="J94" i="1" a="1"/>
  <c r="J94" i="1" s="1"/>
  <c r="K94" i="1" a="1"/>
  <c r="K94" i="1" s="1"/>
  <c r="L94" i="1" a="1"/>
  <c r="L94" i="1" s="1"/>
  <c r="G95" i="1" a="1"/>
  <c r="G95" i="1" s="1"/>
  <c r="H95" i="1" a="1"/>
  <c r="H95" i="1" s="1"/>
  <c r="I95" i="1" a="1"/>
  <c r="I95" i="1" s="1"/>
  <c r="J95" i="1" a="1"/>
  <c r="J95" i="1" s="1"/>
  <c r="K95" i="1" a="1"/>
  <c r="K95" i="1" s="1"/>
  <c r="L95" i="1" a="1"/>
  <c r="L95" i="1" s="1"/>
  <c r="G96" i="1" a="1"/>
  <c r="G96" i="1" s="1"/>
  <c r="H96" i="1" a="1"/>
  <c r="H96" i="1" s="1"/>
  <c r="I96" i="1" a="1"/>
  <c r="I96" i="1" s="1"/>
  <c r="J96" i="1" a="1"/>
  <c r="J96" i="1" s="1"/>
  <c r="K96" i="1" a="1"/>
  <c r="K96" i="1" s="1"/>
  <c r="L96" i="1" a="1"/>
  <c r="L96" i="1" s="1"/>
  <c r="G97" i="1" a="1"/>
  <c r="G97" i="1" s="1"/>
  <c r="H97" i="1" a="1"/>
  <c r="H97" i="1" s="1"/>
  <c r="I97" i="1" a="1"/>
  <c r="I97" i="1" s="1"/>
  <c r="J97" i="1" a="1"/>
  <c r="J97" i="1" s="1"/>
  <c r="K97" i="1" a="1"/>
  <c r="K97" i="1" s="1"/>
  <c r="L97" i="1" a="1"/>
  <c r="L97" i="1" s="1"/>
  <c r="G98" i="1" a="1"/>
  <c r="G98" i="1" s="1"/>
  <c r="H98" i="1" a="1"/>
  <c r="H98" i="1" s="1"/>
  <c r="I98" i="1" a="1"/>
  <c r="I98" i="1" s="1"/>
  <c r="J98" i="1" a="1"/>
  <c r="J98" i="1" s="1"/>
  <c r="K98" i="1" a="1"/>
  <c r="K98" i="1" s="1"/>
  <c r="L98" i="1" a="1"/>
  <c r="L98" i="1" s="1"/>
  <c r="G99" i="1" a="1"/>
  <c r="G99" i="1" s="1"/>
  <c r="H99" i="1" a="1"/>
  <c r="H99" i="1" s="1"/>
  <c r="I99" i="1" a="1"/>
  <c r="I99" i="1" s="1"/>
  <c r="J99" i="1" a="1"/>
  <c r="J99" i="1" s="1"/>
  <c r="K99" i="1" a="1"/>
  <c r="K99" i="1" s="1"/>
  <c r="L99" i="1" a="1"/>
  <c r="L99" i="1" s="1"/>
  <c r="G100" i="1" a="1"/>
  <c r="G100" i="1" s="1"/>
  <c r="H100" i="1" a="1"/>
  <c r="H100" i="1" s="1"/>
  <c r="I100" i="1" a="1"/>
  <c r="I100" i="1" s="1"/>
  <c r="J100" i="1" a="1"/>
  <c r="J100" i="1" s="1"/>
  <c r="K100" i="1" a="1"/>
  <c r="K100" i="1" s="1"/>
  <c r="L100" i="1" a="1"/>
  <c r="L100" i="1" s="1"/>
  <c r="G101" i="1" a="1"/>
  <c r="G101" i="1" s="1"/>
  <c r="H101" i="1" a="1"/>
  <c r="H101" i="1" s="1"/>
  <c r="I101" i="1" a="1"/>
  <c r="I101" i="1" s="1"/>
  <c r="J101" i="1" a="1"/>
  <c r="J101" i="1" s="1"/>
  <c r="K101" i="1" a="1"/>
  <c r="K101" i="1" s="1"/>
  <c r="L101" i="1" a="1"/>
  <c r="L101" i="1" s="1"/>
  <c r="G102" i="1" a="1"/>
  <c r="G102" i="1" s="1"/>
  <c r="H102" i="1" a="1"/>
  <c r="H102" i="1" s="1"/>
  <c r="I102" i="1" a="1"/>
  <c r="I102" i="1" s="1"/>
  <c r="J102" i="1" a="1"/>
  <c r="J102" i="1" s="1"/>
  <c r="K102" i="1" a="1"/>
  <c r="K102" i="1" s="1"/>
  <c r="L102" i="1" a="1"/>
  <c r="L102" i="1" s="1"/>
  <c r="G103" i="1" a="1"/>
  <c r="G103" i="1" s="1"/>
  <c r="H103" i="1" a="1"/>
  <c r="H103" i="1" s="1"/>
  <c r="I103" i="1" a="1"/>
  <c r="I103" i="1" s="1"/>
  <c r="J103" i="1" a="1"/>
  <c r="J103" i="1" s="1"/>
  <c r="K103" i="1" a="1"/>
  <c r="K103" i="1" s="1"/>
  <c r="L103" i="1" a="1"/>
  <c r="L103" i="1" s="1"/>
  <c r="G104" i="1" a="1"/>
  <c r="G104" i="1" s="1"/>
  <c r="H104" i="1" a="1"/>
  <c r="H104" i="1" s="1"/>
  <c r="I104" i="1" a="1"/>
  <c r="I104" i="1" s="1"/>
  <c r="J104" i="1" a="1"/>
  <c r="J104" i="1" s="1"/>
  <c r="K104" i="1" a="1"/>
  <c r="K104" i="1" s="1"/>
  <c r="L104" i="1" a="1"/>
  <c r="L104" i="1" s="1"/>
  <c r="G105" i="1" a="1"/>
  <c r="G105" i="1" s="1"/>
  <c r="H105" i="1" a="1"/>
  <c r="H105" i="1" s="1"/>
  <c r="I105" i="1" a="1"/>
  <c r="I105" i="1" s="1"/>
  <c r="J105" i="1" a="1"/>
  <c r="J105" i="1" s="1"/>
  <c r="K105" i="1" a="1"/>
  <c r="K105" i="1" s="1"/>
  <c r="L105" i="1" a="1"/>
  <c r="L105" i="1" s="1"/>
  <c r="G106" i="1" a="1"/>
  <c r="G106" i="1" s="1"/>
  <c r="H106" i="1" a="1"/>
  <c r="H106" i="1" s="1"/>
  <c r="I106" i="1" a="1"/>
  <c r="I106" i="1" s="1"/>
  <c r="J106" i="1" a="1"/>
  <c r="J106" i="1" s="1"/>
  <c r="K106" i="1" a="1"/>
  <c r="K106" i="1" s="1"/>
  <c r="L106" i="1" a="1"/>
  <c r="L106" i="1" s="1"/>
  <c r="G107" i="1" a="1"/>
  <c r="G107" i="1" s="1"/>
  <c r="H107" i="1" a="1"/>
  <c r="H107" i="1" s="1"/>
  <c r="I107" i="1" a="1"/>
  <c r="I107" i="1" s="1"/>
  <c r="J107" i="1" a="1"/>
  <c r="J107" i="1" s="1"/>
  <c r="K107" i="1" a="1"/>
  <c r="K107" i="1" s="1"/>
  <c r="L107" i="1" a="1"/>
  <c r="L107" i="1" s="1"/>
  <c r="G108" i="1" a="1"/>
  <c r="G108" i="1" s="1"/>
  <c r="H108" i="1" a="1"/>
  <c r="H108" i="1" s="1"/>
  <c r="I108" i="1" a="1"/>
  <c r="I108" i="1" s="1"/>
  <c r="J108" i="1" a="1"/>
  <c r="J108" i="1" s="1"/>
  <c r="K108" i="1" a="1"/>
  <c r="K108" i="1" s="1"/>
  <c r="L108" i="1" a="1"/>
  <c r="L108" i="1" s="1"/>
  <c r="G109" i="1" a="1"/>
  <c r="G109" i="1" s="1"/>
  <c r="H109" i="1" a="1"/>
  <c r="H109" i="1" s="1"/>
  <c r="I109" i="1" a="1"/>
  <c r="I109" i="1" s="1"/>
  <c r="J109" i="1" a="1"/>
  <c r="J109" i="1" s="1"/>
  <c r="K109" i="1" a="1"/>
  <c r="K109" i="1" s="1"/>
  <c r="L109" i="1" a="1"/>
  <c r="L109" i="1" s="1"/>
  <c r="G110" i="1" a="1"/>
  <c r="G110" i="1" s="1"/>
  <c r="H110" i="1" a="1"/>
  <c r="H110" i="1" s="1"/>
  <c r="I110" i="1" a="1"/>
  <c r="I110" i="1" s="1"/>
  <c r="J110" i="1" a="1"/>
  <c r="J110" i="1" s="1"/>
  <c r="K110" i="1" a="1"/>
  <c r="K110" i="1" s="1"/>
  <c r="L110" i="1" a="1"/>
  <c r="L110" i="1" s="1"/>
  <c r="G111" i="1" a="1"/>
  <c r="G111" i="1" s="1"/>
  <c r="H111" i="1" a="1"/>
  <c r="H111" i="1" s="1"/>
  <c r="I111" i="1" a="1"/>
  <c r="I111" i="1" s="1"/>
  <c r="J111" i="1" a="1"/>
  <c r="J111" i="1" s="1"/>
  <c r="K111" i="1" a="1"/>
  <c r="K111" i="1" s="1"/>
  <c r="L111" i="1" a="1"/>
  <c r="L111" i="1" s="1"/>
  <c r="G112" i="1" a="1"/>
  <c r="G112" i="1" s="1"/>
  <c r="H112" i="1" a="1"/>
  <c r="H112" i="1" s="1"/>
  <c r="I112" i="1" a="1"/>
  <c r="I112" i="1" s="1"/>
  <c r="J112" i="1" a="1"/>
  <c r="J112" i="1" s="1"/>
  <c r="K112" i="1" a="1"/>
  <c r="K112" i="1" s="1"/>
  <c r="L112" i="1" a="1"/>
  <c r="L112" i="1" s="1"/>
  <c r="G113" i="1" a="1"/>
  <c r="G113" i="1" s="1"/>
  <c r="H113" i="1" a="1"/>
  <c r="H113" i="1" s="1"/>
  <c r="I113" i="1" a="1"/>
  <c r="I113" i="1" s="1"/>
  <c r="J113" i="1" a="1"/>
  <c r="J113" i="1" s="1"/>
  <c r="K113" i="1" a="1"/>
  <c r="K113" i="1" s="1"/>
  <c r="L113" i="1" a="1"/>
  <c r="L113" i="1" s="1"/>
  <c r="G114" i="1" a="1"/>
  <c r="G114" i="1" s="1"/>
  <c r="H114" i="1" a="1"/>
  <c r="H114" i="1" s="1"/>
  <c r="I114" i="1" a="1"/>
  <c r="I114" i="1" s="1"/>
  <c r="J114" i="1" a="1"/>
  <c r="J114" i="1" s="1"/>
  <c r="K114" i="1" a="1"/>
  <c r="K114" i="1" s="1"/>
  <c r="L114" i="1" a="1"/>
  <c r="L114" i="1" s="1"/>
  <c r="G115" i="1" a="1"/>
  <c r="G115" i="1" s="1"/>
  <c r="H115" i="1" a="1"/>
  <c r="H115" i="1" s="1"/>
  <c r="I115" i="1" a="1"/>
  <c r="I115" i="1" s="1"/>
  <c r="J115" i="1" a="1"/>
  <c r="J115" i="1" s="1"/>
  <c r="K115" i="1" a="1"/>
  <c r="K115" i="1" s="1"/>
  <c r="L115" i="1" a="1"/>
  <c r="L115" i="1" s="1"/>
  <c r="G116" i="1" a="1"/>
  <c r="G116" i="1" s="1"/>
  <c r="H116" i="1" a="1"/>
  <c r="H116" i="1" s="1"/>
  <c r="I116" i="1" a="1"/>
  <c r="I116" i="1" s="1"/>
  <c r="J116" i="1" a="1"/>
  <c r="J116" i="1" s="1"/>
  <c r="K116" i="1" a="1"/>
  <c r="K116" i="1" s="1"/>
  <c r="L116" i="1" a="1"/>
  <c r="L116" i="1" s="1"/>
  <c r="G117" i="1" a="1"/>
  <c r="G117" i="1" s="1"/>
  <c r="H117" i="1" a="1"/>
  <c r="H117" i="1" s="1"/>
  <c r="I117" i="1" a="1"/>
  <c r="I117" i="1" s="1"/>
  <c r="J117" i="1" a="1"/>
  <c r="J117" i="1" s="1"/>
  <c r="K117" i="1" a="1"/>
  <c r="K117" i="1" s="1"/>
  <c r="L117" i="1" a="1"/>
  <c r="L117" i="1" s="1"/>
  <c r="G118" i="1" a="1"/>
  <c r="G118" i="1" s="1"/>
  <c r="H118" i="1" a="1"/>
  <c r="H118" i="1" s="1"/>
  <c r="I118" i="1" a="1"/>
  <c r="I118" i="1" s="1"/>
  <c r="J118" i="1" a="1"/>
  <c r="J118" i="1" s="1"/>
  <c r="K118" i="1" a="1"/>
  <c r="K118" i="1" s="1"/>
  <c r="L118" i="1" a="1"/>
  <c r="L118" i="1" s="1"/>
  <c r="G119" i="1" a="1"/>
  <c r="G119" i="1" s="1"/>
  <c r="H119" i="1" a="1"/>
  <c r="H119" i="1" s="1"/>
  <c r="I119" i="1" a="1"/>
  <c r="I119" i="1" s="1"/>
  <c r="J119" i="1" a="1"/>
  <c r="J119" i="1" s="1"/>
  <c r="K119" i="1" a="1"/>
  <c r="K119" i="1" s="1"/>
  <c r="L119" i="1" a="1"/>
  <c r="L119" i="1" s="1"/>
  <c r="G120" i="1" a="1"/>
  <c r="G120" i="1" s="1"/>
  <c r="H120" i="1" a="1"/>
  <c r="H120" i="1" s="1"/>
  <c r="I120" i="1" a="1"/>
  <c r="I120" i="1" s="1"/>
  <c r="J120" i="1" a="1"/>
  <c r="J120" i="1" s="1"/>
  <c r="K120" i="1" a="1"/>
  <c r="K120" i="1" s="1"/>
  <c r="L120" i="1" a="1"/>
  <c r="L120" i="1" s="1"/>
  <c r="G121" i="1" a="1"/>
  <c r="G121" i="1" s="1"/>
  <c r="H121" i="1" a="1"/>
  <c r="H121" i="1" s="1"/>
  <c r="I121" i="1" a="1"/>
  <c r="I121" i="1" s="1"/>
  <c r="J121" i="1" a="1"/>
  <c r="J121" i="1" s="1"/>
  <c r="K121" i="1" a="1"/>
  <c r="K121" i="1" s="1"/>
  <c r="L121" i="1" a="1"/>
  <c r="L121" i="1" s="1"/>
  <c r="G122" i="1" a="1"/>
  <c r="G122" i="1" s="1"/>
  <c r="H122" i="1" a="1"/>
  <c r="H122" i="1" s="1"/>
  <c r="I122" i="1" a="1"/>
  <c r="I122" i="1" s="1"/>
  <c r="J122" i="1" a="1"/>
  <c r="J122" i="1" s="1"/>
  <c r="K122" i="1" a="1"/>
  <c r="K122" i="1" s="1"/>
  <c r="L122" i="1" a="1"/>
  <c r="L122" i="1" s="1"/>
  <c r="G123" i="1" a="1"/>
  <c r="G123" i="1" s="1"/>
  <c r="H123" i="1" a="1"/>
  <c r="H123" i="1" s="1"/>
  <c r="I123" i="1" a="1"/>
  <c r="I123" i="1" s="1"/>
  <c r="J123" i="1" a="1"/>
  <c r="J123" i="1" s="1"/>
  <c r="K123" i="1" a="1"/>
  <c r="K123" i="1" s="1"/>
  <c r="L123" i="1" a="1"/>
  <c r="L123" i="1" s="1"/>
  <c r="G124" i="1" a="1"/>
  <c r="G124" i="1" s="1"/>
  <c r="H124" i="1" a="1"/>
  <c r="H124" i="1" s="1"/>
  <c r="I124" i="1" a="1"/>
  <c r="I124" i="1" s="1"/>
  <c r="J124" i="1" a="1"/>
  <c r="J124" i="1" s="1"/>
  <c r="K124" i="1" a="1"/>
  <c r="K124" i="1" s="1"/>
  <c r="L124" i="1" a="1"/>
  <c r="L124" i="1" s="1"/>
  <c r="G125" i="1" a="1"/>
  <c r="G125" i="1" s="1"/>
  <c r="H125" i="1" a="1"/>
  <c r="H125" i="1" s="1"/>
  <c r="I125" i="1" a="1"/>
  <c r="I125" i="1" s="1"/>
  <c r="J125" i="1" a="1"/>
  <c r="J125" i="1" s="1"/>
  <c r="K125" i="1" a="1"/>
  <c r="K125" i="1" s="1"/>
  <c r="L125" i="1" a="1"/>
  <c r="L125" i="1" s="1"/>
  <c r="G126" i="1" a="1"/>
  <c r="G126" i="1" s="1"/>
  <c r="H126" i="1" a="1"/>
  <c r="H126" i="1" s="1"/>
  <c r="I126" i="1" a="1"/>
  <c r="I126" i="1" s="1"/>
  <c r="J126" i="1" a="1"/>
  <c r="J126" i="1" s="1"/>
  <c r="K126" i="1" a="1"/>
  <c r="K126" i="1" s="1"/>
  <c r="L126" i="1" a="1"/>
  <c r="L126" i="1" s="1"/>
  <c r="G127" i="1" a="1"/>
  <c r="G127" i="1" s="1"/>
  <c r="H127" i="1" a="1"/>
  <c r="H127" i="1" s="1"/>
  <c r="I127" i="1" a="1"/>
  <c r="I127" i="1" s="1"/>
  <c r="J127" i="1" a="1"/>
  <c r="J127" i="1" s="1"/>
  <c r="K127" i="1" a="1"/>
  <c r="K127" i="1" s="1"/>
  <c r="L127" i="1" a="1"/>
  <c r="L127" i="1" s="1"/>
  <c r="G128" i="1" a="1"/>
  <c r="G128" i="1" s="1"/>
  <c r="H128" i="1" a="1"/>
  <c r="H128" i="1" s="1"/>
  <c r="I128" i="1" a="1"/>
  <c r="I128" i="1" s="1"/>
  <c r="J128" i="1" a="1"/>
  <c r="J128" i="1" s="1"/>
  <c r="K128" i="1" a="1"/>
  <c r="K128" i="1" s="1"/>
  <c r="L128" i="1" a="1"/>
  <c r="L128" i="1" s="1"/>
  <c r="G129" i="1" a="1"/>
  <c r="G129" i="1" s="1"/>
  <c r="H129" i="1" a="1"/>
  <c r="H129" i="1" s="1"/>
  <c r="I129" i="1" a="1"/>
  <c r="I129" i="1" s="1"/>
  <c r="J129" i="1" a="1"/>
  <c r="J129" i="1" s="1"/>
  <c r="K129" i="1" a="1"/>
  <c r="K129" i="1" s="1"/>
  <c r="L129" i="1" a="1"/>
  <c r="L129" i="1" s="1"/>
  <c r="G130" i="1" a="1"/>
  <c r="G130" i="1" s="1"/>
  <c r="H130" i="1" a="1"/>
  <c r="H130" i="1" s="1"/>
  <c r="I130" i="1" a="1"/>
  <c r="I130" i="1" s="1"/>
  <c r="J130" i="1" a="1"/>
  <c r="J130" i="1" s="1"/>
  <c r="K130" i="1" a="1"/>
  <c r="K130" i="1" s="1"/>
  <c r="L130" i="1" a="1"/>
  <c r="L130" i="1" s="1"/>
  <c r="G131" i="1" a="1"/>
  <c r="G131" i="1" s="1"/>
  <c r="H131" i="1" a="1"/>
  <c r="H131" i="1" s="1"/>
  <c r="I131" i="1" a="1"/>
  <c r="I131" i="1" s="1"/>
  <c r="J131" i="1" a="1"/>
  <c r="J131" i="1" s="1"/>
  <c r="K131" i="1" a="1"/>
  <c r="K131" i="1" s="1"/>
  <c r="L131" i="1" a="1"/>
  <c r="L131" i="1" s="1"/>
  <c r="G132" i="1" a="1"/>
  <c r="G132" i="1" s="1"/>
  <c r="H132" i="1" a="1"/>
  <c r="H132" i="1" s="1"/>
  <c r="I132" i="1" a="1"/>
  <c r="I132" i="1" s="1"/>
  <c r="J132" i="1" a="1"/>
  <c r="J132" i="1" s="1"/>
  <c r="K132" i="1" a="1"/>
  <c r="K132" i="1" s="1"/>
  <c r="L132" i="1" a="1"/>
  <c r="L132" i="1" s="1"/>
  <c r="G133" i="1" a="1"/>
  <c r="G133" i="1" s="1"/>
  <c r="H133" i="1" a="1"/>
  <c r="H133" i="1" s="1"/>
  <c r="I133" i="1" a="1"/>
  <c r="I133" i="1" s="1"/>
  <c r="J133" i="1" a="1"/>
  <c r="J133" i="1" s="1"/>
  <c r="K133" i="1" a="1"/>
  <c r="K133" i="1" s="1"/>
  <c r="L133" i="1" a="1"/>
  <c r="L133" i="1" s="1"/>
  <c r="G134" i="1" a="1"/>
  <c r="G134" i="1" s="1"/>
  <c r="H134" i="1" a="1"/>
  <c r="H134" i="1" s="1"/>
  <c r="I134" i="1" a="1"/>
  <c r="I134" i="1" s="1"/>
  <c r="J134" i="1" a="1"/>
  <c r="J134" i="1" s="1"/>
  <c r="K134" i="1" a="1"/>
  <c r="K134" i="1" s="1"/>
  <c r="L134" i="1" a="1"/>
  <c r="L134" i="1" s="1"/>
  <c r="G135" i="1" a="1"/>
  <c r="G135" i="1" s="1"/>
  <c r="H135" i="1" a="1"/>
  <c r="H135" i="1" s="1"/>
  <c r="I135" i="1" a="1"/>
  <c r="I135" i="1" s="1"/>
  <c r="J135" i="1" a="1"/>
  <c r="J135" i="1" s="1"/>
  <c r="K135" i="1" a="1"/>
  <c r="K135" i="1" s="1"/>
  <c r="L135" i="1" a="1"/>
  <c r="L135" i="1" s="1"/>
  <c r="G136" i="1" a="1"/>
  <c r="G136" i="1" s="1"/>
  <c r="H136" i="1" a="1"/>
  <c r="H136" i="1" s="1"/>
  <c r="I136" i="1" a="1"/>
  <c r="I136" i="1" s="1"/>
  <c r="J136" i="1" a="1"/>
  <c r="J136" i="1" s="1"/>
  <c r="K136" i="1" a="1"/>
  <c r="K136" i="1" s="1"/>
  <c r="L136" i="1" a="1"/>
  <c r="L136" i="1" s="1"/>
  <c r="G137" i="1" a="1"/>
  <c r="G137" i="1" s="1"/>
  <c r="H137" i="1" a="1"/>
  <c r="H137" i="1" s="1"/>
  <c r="I137" i="1" a="1"/>
  <c r="I137" i="1" s="1"/>
  <c r="J137" i="1" a="1"/>
  <c r="J137" i="1" s="1"/>
  <c r="K137" i="1" a="1"/>
  <c r="K137" i="1" s="1"/>
  <c r="L137" i="1" a="1"/>
  <c r="L137" i="1" s="1"/>
  <c r="G138" i="1" a="1"/>
  <c r="G138" i="1" s="1"/>
  <c r="H138" i="1" a="1"/>
  <c r="H138" i="1" s="1"/>
  <c r="I138" i="1" a="1"/>
  <c r="I138" i="1" s="1"/>
  <c r="J138" i="1" a="1"/>
  <c r="J138" i="1" s="1"/>
  <c r="K138" i="1" a="1"/>
  <c r="K138" i="1" s="1"/>
  <c r="L138" i="1" a="1"/>
  <c r="L138" i="1" s="1"/>
  <c r="G139" i="1" a="1"/>
  <c r="G139" i="1" s="1"/>
  <c r="H139" i="1" a="1"/>
  <c r="H139" i="1" s="1"/>
  <c r="I139" i="1" a="1"/>
  <c r="I139" i="1" s="1"/>
  <c r="J139" i="1" a="1"/>
  <c r="J139" i="1" s="1"/>
  <c r="K139" i="1" a="1"/>
  <c r="K139" i="1" s="1"/>
  <c r="L139" i="1" a="1"/>
  <c r="L139" i="1" s="1"/>
  <c r="G140" i="1" a="1"/>
  <c r="G140" i="1" s="1"/>
  <c r="H140" i="1" a="1"/>
  <c r="H140" i="1" s="1"/>
  <c r="I140" i="1" a="1"/>
  <c r="I140" i="1" s="1"/>
  <c r="J140" i="1" a="1"/>
  <c r="J140" i="1" s="1"/>
  <c r="K140" i="1" a="1"/>
  <c r="K140" i="1" s="1"/>
  <c r="L140" i="1" a="1"/>
  <c r="L140" i="1" s="1"/>
  <c r="G141" i="1" a="1"/>
  <c r="G141" i="1" s="1"/>
  <c r="H141" i="1" a="1"/>
  <c r="H141" i="1" s="1"/>
  <c r="I141" i="1" a="1"/>
  <c r="I141" i="1" s="1"/>
  <c r="J141" i="1" a="1"/>
  <c r="J141" i="1" s="1"/>
  <c r="K141" i="1" a="1"/>
  <c r="K141" i="1" s="1"/>
  <c r="L141" i="1" a="1"/>
  <c r="L141" i="1" s="1"/>
  <c r="G142" i="1" a="1"/>
  <c r="G142" i="1" s="1"/>
  <c r="H142" i="1" a="1"/>
  <c r="H142" i="1" s="1"/>
  <c r="I142" i="1" a="1"/>
  <c r="I142" i="1" s="1"/>
  <c r="J142" i="1" a="1"/>
  <c r="J142" i="1" s="1"/>
  <c r="K142" i="1" a="1"/>
  <c r="K142" i="1" s="1"/>
  <c r="L142" i="1" a="1"/>
  <c r="L142" i="1" s="1"/>
  <c r="G143" i="1" a="1"/>
  <c r="G143" i="1" s="1"/>
  <c r="H143" i="1" a="1"/>
  <c r="H143" i="1" s="1"/>
  <c r="I143" i="1" a="1"/>
  <c r="I143" i="1" s="1"/>
  <c r="J143" i="1" a="1"/>
  <c r="J143" i="1" s="1"/>
  <c r="K143" i="1" a="1"/>
  <c r="K143" i="1" s="1"/>
  <c r="L143" i="1" a="1"/>
  <c r="L143" i="1" s="1"/>
  <c r="G144" i="1" a="1"/>
  <c r="G144" i="1" s="1"/>
  <c r="H144" i="1" a="1"/>
  <c r="H144" i="1" s="1"/>
  <c r="I144" i="1" a="1"/>
  <c r="I144" i="1" s="1"/>
  <c r="J144" i="1" a="1"/>
  <c r="J144" i="1" s="1"/>
  <c r="K144" i="1" a="1"/>
  <c r="K144" i="1" s="1"/>
  <c r="L144" i="1" a="1"/>
  <c r="L144" i="1" s="1"/>
  <c r="G145" i="1" a="1"/>
  <c r="G145" i="1" s="1"/>
  <c r="H145" i="1" a="1"/>
  <c r="H145" i="1" s="1"/>
  <c r="I145" i="1" a="1"/>
  <c r="I145" i="1" s="1"/>
  <c r="J145" i="1" a="1"/>
  <c r="J145" i="1" s="1"/>
  <c r="K145" i="1" a="1"/>
  <c r="K145" i="1" s="1"/>
  <c r="L145" i="1" a="1"/>
  <c r="L145" i="1" s="1"/>
  <c r="G146" i="1" a="1"/>
  <c r="G146" i="1" s="1"/>
  <c r="H146" i="1" a="1"/>
  <c r="H146" i="1" s="1"/>
  <c r="I146" i="1" a="1"/>
  <c r="I146" i="1" s="1"/>
  <c r="J146" i="1" a="1"/>
  <c r="J146" i="1" s="1"/>
  <c r="K146" i="1" a="1"/>
  <c r="K146" i="1" s="1"/>
  <c r="L146" i="1" a="1"/>
  <c r="L146" i="1" s="1"/>
  <c r="G147" i="1" a="1"/>
  <c r="G147" i="1" s="1"/>
  <c r="H147" i="1" a="1"/>
  <c r="H147" i="1" s="1"/>
  <c r="I147" i="1" a="1"/>
  <c r="I147" i="1" s="1"/>
  <c r="J147" i="1" a="1"/>
  <c r="J147" i="1" s="1"/>
  <c r="K147" i="1" a="1"/>
  <c r="K147" i="1" s="1"/>
  <c r="L147" i="1" a="1"/>
  <c r="L147" i="1" s="1"/>
  <c r="G148" i="1" a="1"/>
  <c r="G148" i="1" s="1"/>
  <c r="H148" i="1" a="1"/>
  <c r="H148" i="1" s="1"/>
  <c r="I148" i="1" a="1"/>
  <c r="I148" i="1" s="1"/>
  <c r="J148" i="1" a="1"/>
  <c r="J148" i="1" s="1"/>
  <c r="K148" i="1" a="1"/>
  <c r="K148" i="1" s="1"/>
  <c r="L148" i="1" a="1"/>
  <c r="L148" i="1" s="1"/>
  <c r="G149" i="1" a="1"/>
  <c r="G149" i="1" s="1"/>
  <c r="H149" i="1" a="1"/>
  <c r="H149" i="1" s="1"/>
  <c r="I149" i="1" a="1"/>
  <c r="I149" i="1" s="1"/>
  <c r="J149" i="1" a="1"/>
  <c r="J149" i="1" s="1"/>
  <c r="K149" i="1" a="1"/>
  <c r="K149" i="1" s="1"/>
  <c r="L149" i="1" a="1"/>
  <c r="L149" i="1" s="1"/>
  <c r="G150" i="1" a="1"/>
  <c r="G150" i="1" s="1"/>
  <c r="H150" i="1" a="1"/>
  <c r="H150" i="1" s="1"/>
  <c r="I150" i="1" a="1"/>
  <c r="I150" i="1" s="1"/>
  <c r="J150" i="1" a="1"/>
  <c r="J150" i="1" s="1"/>
  <c r="K150" i="1" a="1"/>
  <c r="K150" i="1" s="1"/>
  <c r="L150" i="1" a="1"/>
  <c r="L150" i="1" s="1"/>
  <c r="G151" i="1" a="1"/>
  <c r="G151" i="1" s="1"/>
  <c r="H151" i="1" a="1"/>
  <c r="H151" i="1" s="1"/>
  <c r="I151" i="1" a="1"/>
  <c r="I151" i="1" s="1"/>
  <c r="J151" i="1" a="1"/>
  <c r="J151" i="1" s="1"/>
  <c r="K151" i="1" a="1"/>
  <c r="K151" i="1" s="1"/>
  <c r="L151" i="1" a="1"/>
  <c r="L151" i="1" s="1"/>
  <c r="G152" i="1" a="1"/>
  <c r="G152" i="1" s="1"/>
  <c r="H152" i="1" a="1"/>
  <c r="H152" i="1" s="1"/>
  <c r="I152" i="1" a="1"/>
  <c r="I152" i="1" s="1"/>
  <c r="J152" i="1" a="1"/>
  <c r="J152" i="1" s="1"/>
  <c r="K152" i="1" a="1"/>
  <c r="K152" i="1" s="1"/>
  <c r="L152" i="1" a="1"/>
  <c r="L152" i="1" s="1"/>
  <c r="G153" i="1" a="1"/>
  <c r="G153" i="1" s="1"/>
  <c r="H153" i="1" a="1"/>
  <c r="H153" i="1" s="1"/>
  <c r="I153" i="1" a="1"/>
  <c r="I153" i="1" s="1"/>
  <c r="J153" i="1" a="1"/>
  <c r="J153" i="1" s="1"/>
  <c r="K153" i="1" a="1"/>
  <c r="K153" i="1" s="1"/>
  <c r="L153" i="1" a="1"/>
  <c r="L153" i="1" s="1"/>
  <c r="G154" i="1" a="1"/>
  <c r="G154" i="1" s="1"/>
  <c r="H154" i="1" a="1"/>
  <c r="H154" i="1" s="1"/>
  <c r="I154" i="1" a="1"/>
  <c r="I154" i="1" s="1"/>
  <c r="E154" i="1" s="1"/>
  <c r="J154" i="1" a="1"/>
  <c r="J154" i="1" s="1"/>
  <c r="K154" i="1" a="1"/>
  <c r="K154" i="1" s="1"/>
  <c r="L154" i="1" a="1"/>
  <c r="L154" i="1" s="1"/>
  <c r="G155" i="1" a="1"/>
  <c r="G155" i="1" s="1"/>
  <c r="H155" i="1" a="1"/>
  <c r="H155" i="1" s="1"/>
  <c r="I155" i="1" a="1"/>
  <c r="I155" i="1" s="1"/>
  <c r="J155" i="1" a="1"/>
  <c r="J155" i="1" s="1"/>
  <c r="K155" i="1" a="1"/>
  <c r="K155" i="1" s="1"/>
  <c r="L155" i="1" a="1"/>
  <c r="L155" i="1" s="1"/>
  <c r="G156" i="1" a="1"/>
  <c r="G156" i="1" s="1"/>
  <c r="H156" i="1" a="1"/>
  <c r="H156" i="1" s="1"/>
  <c r="I156" i="1" a="1"/>
  <c r="I156" i="1" s="1"/>
  <c r="J156" i="1" a="1"/>
  <c r="J156" i="1" s="1"/>
  <c r="K156" i="1" a="1"/>
  <c r="K156" i="1" s="1"/>
  <c r="L156" i="1" a="1"/>
  <c r="L156" i="1" s="1"/>
  <c r="G157" i="1" a="1"/>
  <c r="G157" i="1" s="1"/>
  <c r="H157" i="1" a="1"/>
  <c r="H157" i="1" s="1"/>
  <c r="I157" i="1" a="1"/>
  <c r="I157" i="1" s="1"/>
  <c r="J157" i="1" a="1"/>
  <c r="J157" i="1" s="1"/>
  <c r="K157" i="1" a="1"/>
  <c r="K157" i="1" s="1"/>
  <c r="L157" i="1" a="1"/>
  <c r="L157" i="1" s="1"/>
  <c r="G158" i="1" a="1"/>
  <c r="G158" i="1" s="1"/>
  <c r="H158" i="1" a="1"/>
  <c r="H158" i="1" s="1"/>
  <c r="I158" i="1" a="1"/>
  <c r="I158" i="1" s="1"/>
  <c r="J158" i="1" a="1"/>
  <c r="J158" i="1" s="1"/>
  <c r="K158" i="1" a="1"/>
  <c r="K158" i="1" s="1"/>
  <c r="L158" i="1" a="1"/>
  <c r="L158" i="1" s="1"/>
  <c r="G159" i="1" a="1"/>
  <c r="G159" i="1" s="1"/>
  <c r="H159" i="1" a="1"/>
  <c r="H159" i="1" s="1"/>
  <c r="I159" i="1" a="1"/>
  <c r="I159" i="1" s="1"/>
  <c r="J159" i="1" a="1"/>
  <c r="J159" i="1" s="1"/>
  <c r="K159" i="1" a="1"/>
  <c r="K159" i="1" s="1"/>
  <c r="L159" i="1" a="1"/>
  <c r="L159" i="1" s="1"/>
  <c r="G160" i="1" a="1"/>
  <c r="G160" i="1" s="1"/>
  <c r="H160" i="1" a="1"/>
  <c r="H160" i="1" s="1"/>
  <c r="I160" i="1" a="1"/>
  <c r="I160" i="1" s="1"/>
  <c r="J160" i="1" a="1"/>
  <c r="J160" i="1" s="1"/>
  <c r="K160" i="1" a="1"/>
  <c r="K160" i="1" s="1"/>
  <c r="L160" i="1" a="1"/>
  <c r="L160" i="1" s="1"/>
  <c r="G161" i="1" a="1"/>
  <c r="G161" i="1" s="1"/>
  <c r="H161" i="1" a="1"/>
  <c r="H161" i="1" s="1"/>
  <c r="I161" i="1" a="1"/>
  <c r="I161" i="1" s="1"/>
  <c r="E161" i="1" s="1"/>
  <c r="J161" i="1" a="1"/>
  <c r="J161" i="1" s="1"/>
  <c r="K161" i="1" a="1"/>
  <c r="K161" i="1" s="1"/>
  <c r="L161" i="1" a="1"/>
  <c r="L161" i="1" s="1"/>
  <c r="G162" i="1" a="1"/>
  <c r="G162" i="1" s="1"/>
  <c r="H162" i="1" a="1"/>
  <c r="H162" i="1" s="1"/>
  <c r="I162" i="1" a="1"/>
  <c r="I162" i="1" s="1"/>
  <c r="J162" i="1" a="1"/>
  <c r="J162" i="1" s="1"/>
  <c r="K162" i="1" a="1"/>
  <c r="K162" i="1" s="1"/>
  <c r="L162" i="1" a="1"/>
  <c r="L162" i="1" s="1"/>
  <c r="G163" i="1" a="1"/>
  <c r="G163" i="1" s="1"/>
  <c r="H163" i="1" a="1"/>
  <c r="H163" i="1" s="1"/>
  <c r="I163" i="1" a="1"/>
  <c r="I163" i="1" s="1"/>
  <c r="J163" i="1" a="1"/>
  <c r="J163" i="1" s="1"/>
  <c r="K163" i="1" a="1"/>
  <c r="K163" i="1" s="1"/>
  <c r="L163" i="1" a="1"/>
  <c r="L163" i="1" s="1"/>
  <c r="G164" i="1" a="1"/>
  <c r="G164" i="1" s="1"/>
  <c r="H164" i="1" a="1"/>
  <c r="H164" i="1" s="1"/>
  <c r="I164" i="1" a="1"/>
  <c r="I164" i="1" s="1"/>
  <c r="J164" i="1" a="1"/>
  <c r="J164" i="1" s="1"/>
  <c r="K164" i="1" a="1"/>
  <c r="K164" i="1" s="1"/>
  <c r="L164" i="1" a="1"/>
  <c r="L164" i="1" s="1"/>
  <c r="G165" i="1" a="1"/>
  <c r="G165" i="1" s="1"/>
  <c r="H165" i="1" a="1"/>
  <c r="H165" i="1" s="1"/>
  <c r="I165" i="1" a="1"/>
  <c r="I165" i="1" s="1"/>
  <c r="E165" i="1" s="1"/>
  <c r="J165" i="1" a="1"/>
  <c r="J165" i="1" s="1"/>
  <c r="K165" i="1" a="1"/>
  <c r="K165" i="1" s="1"/>
  <c r="L165" i="1" a="1"/>
  <c r="L165" i="1" s="1"/>
  <c r="G166" i="1" a="1"/>
  <c r="G166" i="1" s="1"/>
  <c r="H166" i="1" a="1"/>
  <c r="H166" i="1" s="1"/>
  <c r="I166" i="1" a="1"/>
  <c r="I166" i="1" s="1"/>
  <c r="J166" i="1" a="1"/>
  <c r="J166" i="1" s="1"/>
  <c r="K166" i="1" a="1"/>
  <c r="K166" i="1" s="1"/>
  <c r="L166" i="1" a="1"/>
  <c r="L166" i="1" s="1"/>
  <c r="G167" i="1" a="1"/>
  <c r="G167" i="1" s="1"/>
  <c r="H167" i="1" a="1"/>
  <c r="H167" i="1" s="1"/>
  <c r="I167" i="1" a="1"/>
  <c r="I167" i="1" s="1"/>
  <c r="J167" i="1" a="1"/>
  <c r="J167" i="1" s="1"/>
  <c r="K167" i="1" a="1"/>
  <c r="K167" i="1" s="1"/>
  <c r="L167" i="1" a="1"/>
  <c r="L167" i="1" s="1"/>
  <c r="G168" i="1" a="1"/>
  <c r="G168" i="1" s="1"/>
  <c r="H168" i="1" a="1"/>
  <c r="H168" i="1" s="1"/>
  <c r="I168" i="1" a="1"/>
  <c r="I168" i="1" s="1"/>
  <c r="J168" i="1" a="1"/>
  <c r="J168" i="1" s="1"/>
  <c r="K168" i="1" a="1"/>
  <c r="K168" i="1" s="1"/>
  <c r="L168" i="1" a="1"/>
  <c r="L168" i="1" s="1"/>
  <c r="G169" i="1" a="1"/>
  <c r="G169" i="1" s="1"/>
  <c r="H169" i="1" a="1"/>
  <c r="H169" i="1" s="1"/>
  <c r="I169" i="1" a="1"/>
  <c r="I169" i="1" s="1"/>
  <c r="J169" i="1" a="1"/>
  <c r="J169" i="1" s="1"/>
  <c r="K169" i="1" a="1"/>
  <c r="K169" i="1" s="1"/>
  <c r="L169" i="1" a="1"/>
  <c r="L169" i="1" s="1"/>
  <c r="G170" i="1" a="1"/>
  <c r="G170" i="1" s="1"/>
  <c r="H170" i="1" a="1"/>
  <c r="H170" i="1" s="1"/>
  <c r="I170" i="1" a="1"/>
  <c r="I170" i="1" s="1"/>
  <c r="J170" i="1" a="1"/>
  <c r="J170" i="1" s="1"/>
  <c r="K170" i="1" a="1"/>
  <c r="K170" i="1" s="1"/>
  <c r="L170" i="1" a="1"/>
  <c r="L170" i="1" s="1"/>
  <c r="G171" i="1" a="1"/>
  <c r="G171" i="1" s="1"/>
  <c r="H171" i="1" a="1"/>
  <c r="H171" i="1" s="1"/>
  <c r="I171" i="1" a="1"/>
  <c r="I171" i="1" s="1"/>
  <c r="J171" i="1" a="1"/>
  <c r="J171" i="1" s="1"/>
  <c r="K171" i="1" a="1"/>
  <c r="K171" i="1" s="1"/>
  <c r="L171" i="1" a="1"/>
  <c r="L171" i="1" s="1"/>
  <c r="G172" i="1" a="1"/>
  <c r="G172" i="1" s="1"/>
  <c r="H172" i="1" a="1"/>
  <c r="H172" i="1" s="1"/>
  <c r="I172" i="1" a="1"/>
  <c r="I172" i="1" s="1"/>
  <c r="J172" i="1" a="1"/>
  <c r="J172" i="1" s="1"/>
  <c r="K172" i="1" a="1"/>
  <c r="K172" i="1" s="1"/>
  <c r="L172" i="1" a="1"/>
  <c r="L172" i="1" s="1"/>
  <c r="G173" i="1" a="1"/>
  <c r="G173" i="1" s="1"/>
  <c r="H173" i="1" a="1"/>
  <c r="H173" i="1" s="1"/>
  <c r="I173" i="1" a="1"/>
  <c r="I173" i="1" s="1"/>
  <c r="J173" i="1" a="1"/>
  <c r="J173" i="1" s="1"/>
  <c r="K173" i="1" a="1"/>
  <c r="K173" i="1" s="1"/>
  <c r="L173" i="1" a="1"/>
  <c r="L173" i="1" s="1"/>
  <c r="G174" i="1" a="1"/>
  <c r="G174" i="1" s="1"/>
  <c r="H174" i="1" a="1"/>
  <c r="H174" i="1" s="1"/>
  <c r="I174" i="1" a="1"/>
  <c r="I174" i="1" s="1"/>
  <c r="J174" i="1" a="1"/>
  <c r="J174" i="1" s="1"/>
  <c r="K174" i="1" a="1"/>
  <c r="K174" i="1" s="1"/>
  <c r="L174" i="1" a="1"/>
  <c r="L174" i="1" s="1"/>
  <c r="G175" i="1" a="1"/>
  <c r="G175" i="1" s="1"/>
  <c r="H175" i="1" a="1"/>
  <c r="H175" i="1" s="1"/>
  <c r="I175" i="1" a="1"/>
  <c r="I175" i="1" s="1"/>
  <c r="J175" i="1" a="1"/>
  <c r="J175" i="1" s="1"/>
  <c r="K175" i="1" a="1"/>
  <c r="K175" i="1" s="1"/>
  <c r="L175" i="1" a="1"/>
  <c r="L175" i="1" s="1"/>
  <c r="G176" i="1" a="1"/>
  <c r="G176" i="1" s="1"/>
  <c r="H176" i="1" a="1"/>
  <c r="H176" i="1" s="1"/>
  <c r="I176" i="1" a="1"/>
  <c r="I176" i="1" s="1"/>
  <c r="J176" i="1" a="1"/>
  <c r="J176" i="1" s="1"/>
  <c r="K176" i="1" a="1"/>
  <c r="K176" i="1" s="1"/>
  <c r="L176" i="1" a="1"/>
  <c r="L176" i="1" s="1"/>
  <c r="G177" i="1" a="1"/>
  <c r="G177" i="1" s="1"/>
  <c r="H177" i="1" a="1"/>
  <c r="H177" i="1" s="1"/>
  <c r="I177" i="1" a="1"/>
  <c r="I177" i="1" s="1"/>
  <c r="J177" i="1" a="1"/>
  <c r="J177" i="1" s="1"/>
  <c r="K177" i="1" a="1"/>
  <c r="K177" i="1" s="1"/>
  <c r="L177" i="1" a="1"/>
  <c r="L177" i="1" s="1"/>
  <c r="G178" i="1" a="1"/>
  <c r="G178" i="1" s="1"/>
  <c r="H178" i="1" a="1"/>
  <c r="H178" i="1" s="1"/>
  <c r="I178" i="1" a="1"/>
  <c r="I178" i="1" s="1"/>
  <c r="J178" i="1" a="1"/>
  <c r="J178" i="1" s="1"/>
  <c r="K178" i="1" a="1"/>
  <c r="K178" i="1" s="1"/>
  <c r="L178" i="1" a="1"/>
  <c r="L178" i="1" s="1"/>
  <c r="G179" i="1" a="1"/>
  <c r="G179" i="1" s="1"/>
  <c r="H179" i="1" a="1"/>
  <c r="H179" i="1" s="1"/>
  <c r="I179" i="1" a="1"/>
  <c r="I179" i="1" s="1"/>
  <c r="J179" i="1" a="1"/>
  <c r="J179" i="1" s="1"/>
  <c r="K179" i="1" a="1"/>
  <c r="K179" i="1" s="1"/>
  <c r="L179" i="1" a="1"/>
  <c r="L179" i="1" s="1"/>
  <c r="G180" i="1" a="1"/>
  <c r="G180" i="1" s="1"/>
  <c r="H180" i="1" a="1"/>
  <c r="H180" i="1" s="1"/>
  <c r="I180" i="1" a="1"/>
  <c r="I180" i="1" s="1"/>
  <c r="J180" i="1" a="1"/>
  <c r="J180" i="1" s="1"/>
  <c r="K180" i="1" a="1"/>
  <c r="K180" i="1" s="1"/>
  <c r="L180" i="1" a="1"/>
  <c r="L180" i="1" s="1"/>
  <c r="G181" i="1" a="1"/>
  <c r="G181" i="1" s="1"/>
  <c r="H181" i="1" a="1"/>
  <c r="H181" i="1" s="1"/>
  <c r="I181" i="1" a="1"/>
  <c r="I181" i="1" s="1"/>
  <c r="J181" i="1" a="1"/>
  <c r="J181" i="1" s="1"/>
  <c r="K181" i="1" a="1"/>
  <c r="K181" i="1" s="1"/>
  <c r="L181" i="1" a="1"/>
  <c r="L181" i="1" s="1"/>
  <c r="G182" i="1" a="1"/>
  <c r="G182" i="1" s="1"/>
  <c r="H182" i="1" a="1"/>
  <c r="H182" i="1" s="1"/>
  <c r="I182" i="1" a="1"/>
  <c r="I182" i="1" s="1"/>
  <c r="J182" i="1" a="1"/>
  <c r="J182" i="1" s="1"/>
  <c r="K182" i="1" a="1"/>
  <c r="K182" i="1" s="1"/>
  <c r="L182" i="1" a="1"/>
  <c r="L182" i="1" s="1"/>
  <c r="G183" i="1" a="1"/>
  <c r="G183" i="1" s="1"/>
  <c r="H183" i="1" a="1"/>
  <c r="H183" i="1" s="1"/>
  <c r="I183" i="1" a="1"/>
  <c r="I183" i="1" s="1"/>
  <c r="J183" i="1" a="1"/>
  <c r="J183" i="1" s="1"/>
  <c r="K183" i="1" a="1"/>
  <c r="K183" i="1" s="1"/>
  <c r="L183" i="1" a="1"/>
  <c r="L183" i="1" s="1"/>
  <c r="G184" i="1" a="1"/>
  <c r="G184" i="1" s="1"/>
  <c r="H184" i="1" a="1"/>
  <c r="H184" i="1" s="1"/>
  <c r="I184" i="1" a="1"/>
  <c r="I184" i="1" s="1"/>
  <c r="J184" i="1" a="1"/>
  <c r="J184" i="1" s="1"/>
  <c r="K184" i="1" a="1"/>
  <c r="K184" i="1" s="1"/>
  <c r="L184" i="1" a="1"/>
  <c r="L184" i="1" s="1"/>
  <c r="G185" i="1" a="1"/>
  <c r="G185" i="1" s="1"/>
  <c r="H185" i="1" a="1"/>
  <c r="H185" i="1" s="1"/>
  <c r="I185" i="1" a="1"/>
  <c r="I185" i="1" s="1"/>
  <c r="J185" i="1" a="1"/>
  <c r="J185" i="1" s="1"/>
  <c r="K185" i="1" a="1"/>
  <c r="K185" i="1" s="1"/>
  <c r="L185" i="1" a="1"/>
  <c r="L185" i="1" s="1"/>
  <c r="G186" i="1" a="1"/>
  <c r="G186" i="1" s="1"/>
  <c r="H186" i="1" a="1"/>
  <c r="H186" i="1" s="1"/>
  <c r="I186" i="1" a="1"/>
  <c r="I186" i="1" s="1"/>
  <c r="J186" i="1" a="1"/>
  <c r="J186" i="1" s="1"/>
  <c r="K186" i="1" a="1"/>
  <c r="K186" i="1" s="1"/>
  <c r="L186" i="1" a="1"/>
  <c r="L186" i="1" s="1"/>
  <c r="G187" i="1" a="1"/>
  <c r="G187" i="1" s="1"/>
  <c r="H187" i="1" a="1"/>
  <c r="H187" i="1" s="1"/>
  <c r="I187" i="1" a="1"/>
  <c r="I187" i="1" s="1"/>
  <c r="J187" i="1" a="1"/>
  <c r="J187" i="1" s="1"/>
  <c r="K187" i="1" a="1"/>
  <c r="K187" i="1" s="1"/>
  <c r="L187" i="1" a="1"/>
  <c r="L187" i="1" s="1"/>
  <c r="G188" i="1" a="1"/>
  <c r="G188" i="1" s="1"/>
  <c r="H188" i="1" a="1"/>
  <c r="H188" i="1" s="1"/>
  <c r="I188" i="1" a="1"/>
  <c r="I188" i="1" s="1"/>
  <c r="J188" i="1" a="1"/>
  <c r="J188" i="1" s="1"/>
  <c r="K188" i="1" a="1"/>
  <c r="K188" i="1" s="1"/>
  <c r="L188" i="1" a="1"/>
  <c r="L188" i="1" s="1"/>
  <c r="G189" i="1" a="1"/>
  <c r="G189" i="1" s="1"/>
  <c r="H189" i="1" a="1"/>
  <c r="H189" i="1" s="1"/>
  <c r="I189" i="1" a="1"/>
  <c r="I189" i="1" s="1"/>
  <c r="J189" i="1" a="1"/>
  <c r="J189" i="1" s="1"/>
  <c r="K189" i="1" a="1"/>
  <c r="K189" i="1" s="1"/>
  <c r="L189" i="1" a="1"/>
  <c r="L189" i="1" s="1"/>
  <c r="G190" i="1" a="1"/>
  <c r="G190" i="1" s="1"/>
  <c r="H190" i="1" a="1"/>
  <c r="H190" i="1" s="1"/>
  <c r="I190" i="1" a="1"/>
  <c r="I190" i="1" s="1"/>
  <c r="J190" i="1" a="1"/>
  <c r="J190" i="1" s="1"/>
  <c r="K190" i="1" a="1"/>
  <c r="K190" i="1" s="1"/>
  <c r="L190" i="1" a="1"/>
  <c r="L190" i="1" s="1"/>
  <c r="G191" i="1" a="1"/>
  <c r="G191" i="1" s="1"/>
  <c r="H191" i="1" a="1"/>
  <c r="H191" i="1" s="1"/>
  <c r="I191" i="1" a="1"/>
  <c r="I191" i="1" s="1"/>
  <c r="J191" i="1" a="1"/>
  <c r="J191" i="1" s="1"/>
  <c r="K191" i="1" a="1"/>
  <c r="K191" i="1" s="1"/>
  <c r="L191" i="1" a="1"/>
  <c r="L191" i="1" s="1"/>
  <c r="G192" i="1" a="1"/>
  <c r="G192" i="1" s="1"/>
  <c r="H192" i="1" a="1"/>
  <c r="H192" i="1" s="1"/>
  <c r="I192" i="1" a="1"/>
  <c r="I192" i="1" s="1"/>
  <c r="J192" i="1" a="1"/>
  <c r="J192" i="1" s="1"/>
  <c r="K192" i="1" a="1"/>
  <c r="K192" i="1" s="1"/>
  <c r="L192" i="1" a="1"/>
  <c r="L192" i="1" s="1"/>
  <c r="G193" i="1" a="1"/>
  <c r="G193" i="1" s="1"/>
  <c r="H193" i="1" a="1"/>
  <c r="H193" i="1" s="1"/>
  <c r="I193" i="1" a="1"/>
  <c r="I193" i="1" s="1"/>
  <c r="J193" i="1" a="1"/>
  <c r="J193" i="1" s="1"/>
  <c r="K193" i="1" a="1"/>
  <c r="K193" i="1" s="1"/>
  <c r="L193" i="1" a="1"/>
  <c r="L193" i="1" s="1"/>
  <c r="G194" i="1" a="1"/>
  <c r="G194" i="1" s="1"/>
  <c r="H194" i="1" a="1"/>
  <c r="H194" i="1" s="1"/>
  <c r="I194" i="1" a="1"/>
  <c r="I194" i="1" s="1"/>
  <c r="J194" i="1" a="1"/>
  <c r="J194" i="1" s="1"/>
  <c r="K194" i="1" a="1"/>
  <c r="K194" i="1" s="1"/>
  <c r="L194" i="1" a="1"/>
  <c r="L194" i="1" s="1"/>
  <c r="G195" i="1" a="1"/>
  <c r="G195" i="1" s="1"/>
  <c r="H195" i="1" a="1"/>
  <c r="H195" i="1" s="1"/>
  <c r="I195" i="1" a="1"/>
  <c r="I195" i="1" s="1"/>
  <c r="J195" i="1" a="1"/>
  <c r="J195" i="1" s="1"/>
  <c r="K195" i="1" a="1"/>
  <c r="K195" i="1" s="1"/>
  <c r="L195" i="1" a="1"/>
  <c r="L195" i="1" s="1"/>
  <c r="G196" i="1" a="1"/>
  <c r="G196" i="1" s="1"/>
  <c r="H196" i="1" a="1"/>
  <c r="H196" i="1" s="1"/>
  <c r="I196" i="1" a="1"/>
  <c r="I196" i="1" s="1"/>
  <c r="J196" i="1" a="1"/>
  <c r="J196" i="1" s="1"/>
  <c r="K196" i="1" a="1"/>
  <c r="K196" i="1" s="1"/>
  <c r="L196" i="1" a="1"/>
  <c r="L196" i="1" s="1"/>
  <c r="G197" i="1" a="1"/>
  <c r="G197" i="1" s="1"/>
  <c r="H197" i="1" a="1"/>
  <c r="H197" i="1" s="1"/>
  <c r="I197" i="1" a="1"/>
  <c r="I197" i="1" s="1"/>
  <c r="J197" i="1" a="1"/>
  <c r="J197" i="1" s="1"/>
  <c r="K197" i="1" a="1"/>
  <c r="K197" i="1" s="1"/>
  <c r="L197" i="1" a="1"/>
  <c r="L197" i="1" s="1"/>
  <c r="G198" i="1" a="1"/>
  <c r="G198" i="1" s="1"/>
  <c r="H198" i="1" a="1"/>
  <c r="H198" i="1" s="1"/>
  <c r="I198" i="1" a="1"/>
  <c r="I198" i="1" s="1"/>
  <c r="J198" i="1" a="1"/>
  <c r="J198" i="1" s="1"/>
  <c r="K198" i="1" a="1"/>
  <c r="K198" i="1" s="1"/>
  <c r="L198" i="1" a="1"/>
  <c r="L198" i="1" s="1"/>
  <c r="G199" i="1" a="1"/>
  <c r="G199" i="1" s="1"/>
  <c r="H199" i="1" a="1"/>
  <c r="H199" i="1" s="1"/>
  <c r="I199" i="1" a="1"/>
  <c r="I199" i="1" s="1"/>
  <c r="J199" i="1" a="1"/>
  <c r="J199" i="1" s="1"/>
  <c r="K199" i="1" a="1"/>
  <c r="K199" i="1" s="1"/>
  <c r="L199" i="1" a="1"/>
  <c r="L199" i="1" s="1"/>
  <c r="G200" i="1" a="1"/>
  <c r="G200" i="1" s="1"/>
  <c r="H200" i="1" a="1"/>
  <c r="H200" i="1" s="1"/>
  <c r="I200" i="1" a="1"/>
  <c r="I200" i="1" s="1"/>
  <c r="J200" i="1" a="1"/>
  <c r="J200" i="1" s="1"/>
  <c r="K200" i="1" a="1"/>
  <c r="K200" i="1" s="1"/>
  <c r="L200" i="1" a="1"/>
  <c r="L200" i="1" s="1"/>
  <c r="G201" i="1" a="1"/>
  <c r="G201" i="1" s="1"/>
  <c r="H201" i="1" a="1"/>
  <c r="H201" i="1" s="1"/>
  <c r="I201" i="1" a="1"/>
  <c r="I201" i="1" s="1"/>
  <c r="J201" i="1" a="1"/>
  <c r="J201" i="1" s="1"/>
  <c r="K201" i="1" a="1"/>
  <c r="K201" i="1" s="1"/>
  <c r="L201" i="1" a="1"/>
  <c r="L201" i="1" s="1"/>
  <c r="G202" i="1" a="1"/>
  <c r="G202" i="1" s="1"/>
  <c r="H202" i="1" a="1"/>
  <c r="H202" i="1" s="1"/>
  <c r="I202" i="1" a="1"/>
  <c r="I202" i="1" s="1"/>
  <c r="J202" i="1" a="1"/>
  <c r="J202" i="1" s="1"/>
  <c r="K202" i="1" a="1"/>
  <c r="K202" i="1" s="1"/>
  <c r="L202" i="1" a="1"/>
  <c r="L202" i="1" s="1"/>
  <c r="G203" i="1" a="1"/>
  <c r="G203" i="1" s="1"/>
  <c r="H203" i="1" a="1"/>
  <c r="H203" i="1" s="1"/>
  <c r="I203" i="1" a="1"/>
  <c r="I203" i="1" s="1"/>
  <c r="J203" i="1" a="1"/>
  <c r="J203" i="1" s="1"/>
  <c r="K203" i="1" a="1"/>
  <c r="K203" i="1" s="1"/>
  <c r="L203" i="1" a="1"/>
  <c r="L203" i="1" s="1"/>
  <c r="G204" i="1" a="1"/>
  <c r="G204" i="1" s="1"/>
  <c r="H204" i="1" a="1"/>
  <c r="H204" i="1" s="1"/>
  <c r="I204" i="1" a="1"/>
  <c r="I204" i="1" s="1"/>
  <c r="J204" i="1" a="1"/>
  <c r="J204" i="1" s="1"/>
  <c r="K204" i="1" a="1"/>
  <c r="K204" i="1" s="1"/>
  <c r="L204" i="1" a="1"/>
  <c r="L204" i="1" s="1"/>
  <c r="G205" i="1" a="1"/>
  <c r="G205" i="1" s="1"/>
  <c r="H205" i="1" a="1"/>
  <c r="H205" i="1" s="1"/>
  <c r="I205" i="1" a="1"/>
  <c r="I205" i="1" s="1"/>
  <c r="J205" i="1" a="1"/>
  <c r="J205" i="1" s="1"/>
  <c r="K205" i="1" a="1"/>
  <c r="K205" i="1" s="1"/>
  <c r="L205" i="1" a="1"/>
  <c r="L205" i="1" s="1"/>
  <c r="G206" i="1" a="1"/>
  <c r="G206" i="1" s="1"/>
  <c r="H206" i="1" a="1"/>
  <c r="H206" i="1" s="1"/>
  <c r="I206" i="1" a="1"/>
  <c r="I206" i="1" s="1"/>
  <c r="J206" i="1" a="1"/>
  <c r="J206" i="1" s="1"/>
  <c r="K206" i="1" a="1"/>
  <c r="K206" i="1" s="1"/>
  <c r="L206" i="1" a="1"/>
  <c r="L206" i="1" s="1"/>
  <c r="G207" i="1" a="1"/>
  <c r="G207" i="1" s="1"/>
  <c r="H207" i="1" a="1"/>
  <c r="H207" i="1" s="1"/>
  <c r="I207" i="1" a="1"/>
  <c r="I207" i="1" s="1"/>
  <c r="J207" i="1" a="1"/>
  <c r="J207" i="1" s="1"/>
  <c r="K207" i="1" a="1"/>
  <c r="K207" i="1" s="1"/>
  <c r="L207" i="1" a="1"/>
  <c r="L207" i="1" s="1"/>
  <c r="G208" i="1" a="1"/>
  <c r="G208" i="1" s="1"/>
  <c r="H208" i="1" a="1"/>
  <c r="H208" i="1" s="1"/>
  <c r="I208" i="1" a="1"/>
  <c r="I208" i="1" s="1"/>
  <c r="J208" i="1" a="1"/>
  <c r="J208" i="1" s="1"/>
  <c r="K208" i="1" a="1"/>
  <c r="K208" i="1" s="1"/>
  <c r="L208" i="1" a="1"/>
  <c r="L208" i="1" s="1"/>
  <c r="G209" i="1" a="1"/>
  <c r="G209" i="1" s="1"/>
  <c r="H209" i="1" a="1"/>
  <c r="H209" i="1" s="1"/>
  <c r="I209" i="1" a="1"/>
  <c r="I209" i="1" s="1"/>
  <c r="J209" i="1" a="1"/>
  <c r="J209" i="1" s="1"/>
  <c r="K209" i="1" a="1"/>
  <c r="K209" i="1" s="1"/>
  <c r="L209" i="1" a="1"/>
  <c r="L209" i="1" s="1"/>
  <c r="G210" i="1" a="1"/>
  <c r="G210" i="1" s="1"/>
  <c r="H210" i="1" a="1"/>
  <c r="H210" i="1" s="1"/>
  <c r="I210" i="1" a="1"/>
  <c r="I210" i="1" s="1"/>
  <c r="J210" i="1" a="1"/>
  <c r="J210" i="1" s="1"/>
  <c r="K210" i="1" a="1"/>
  <c r="K210" i="1" s="1"/>
  <c r="L210" i="1" a="1"/>
  <c r="L210" i="1" s="1"/>
  <c r="G211" i="1" a="1"/>
  <c r="G211" i="1" s="1"/>
  <c r="H211" i="1" a="1"/>
  <c r="H211" i="1" s="1"/>
  <c r="I211" i="1" a="1"/>
  <c r="I211" i="1" s="1"/>
  <c r="J211" i="1" a="1"/>
  <c r="J211" i="1" s="1"/>
  <c r="K211" i="1" a="1"/>
  <c r="K211" i="1" s="1"/>
  <c r="L211" i="1" a="1"/>
  <c r="L211" i="1" s="1"/>
  <c r="G212" i="1" a="1"/>
  <c r="G212" i="1" s="1"/>
  <c r="H212" i="1" a="1"/>
  <c r="H212" i="1" s="1"/>
  <c r="I212" i="1" a="1"/>
  <c r="I212" i="1" s="1"/>
  <c r="J212" i="1" a="1"/>
  <c r="J212" i="1" s="1"/>
  <c r="K212" i="1" a="1"/>
  <c r="K212" i="1" s="1"/>
  <c r="L212" i="1" a="1"/>
  <c r="L212" i="1" s="1"/>
  <c r="G213" i="1" a="1"/>
  <c r="G213" i="1" s="1"/>
  <c r="H213" i="1" a="1"/>
  <c r="H213" i="1" s="1"/>
  <c r="I213" i="1" a="1"/>
  <c r="I213" i="1" s="1"/>
  <c r="J213" i="1" a="1"/>
  <c r="J213" i="1" s="1"/>
  <c r="K213" i="1" a="1"/>
  <c r="K213" i="1" s="1"/>
  <c r="L213" i="1" a="1"/>
  <c r="L213" i="1" s="1"/>
  <c r="G214" i="1" a="1"/>
  <c r="G214" i="1" s="1"/>
  <c r="H214" i="1" a="1"/>
  <c r="H214" i="1" s="1"/>
  <c r="I214" i="1" a="1"/>
  <c r="I214" i="1" s="1"/>
  <c r="J214" i="1" a="1"/>
  <c r="J214" i="1" s="1"/>
  <c r="K214" i="1" a="1"/>
  <c r="K214" i="1" s="1"/>
  <c r="L214" i="1" a="1"/>
  <c r="L214" i="1" s="1"/>
  <c r="G215" i="1" a="1"/>
  <c r="G215" i="1" s="1"/>
  <c r="H215" i="1" a="1"/>
  <c r="H215" i="1" s="1"/>
  <c r="I215" i="1" a="1"/>
  <c r="I215" i="1" s="1"/>
  <c r="J215" i="1" a="1"/>
  <c r="J215" i="1" s="1"/>
  <c r="K215" i="1" a="1"/>
  <c r="K215" i="1" s="1"/>
  <c r="L215" i="1" a="1"/>
  <c r="L215" i="1" s="1"/>
  <c r="G216" i="1" a="1"/>
  <c r="G216" i="1" s="1"/>
  <c r="H216" i="1" a="1"/>
  <c r="H216" i="1" s="1"/>
  <c r="I216" i="1" a="1"/>
  <c r="I216" i="1" s="1"/>
  <c r="J216" i="1" a="1"/>
  <c r="J216" i="1" s="1"/>
  <c r="K216" i="1" a="1"/>
  <c r="K216" i="1" s="1"/>
  <c r="L216" i="1" a="1"/>
  <c r="L216" i="1" s="1"/>
  <c r="G217" i="1" a="1"/>
  <c r="G217" i="1" s="1"/>
  <c r="H217" i="1" a="1"/>
  <c r="H217" i="1" s="1"/>
  <c r="I217" i="1" a="1"/>
  <c r="I217" i="1" s="1"/>
  <c r="J217" i="1" a="1"/>
  <c r="J217" i="1" s="1"/>
  <c r="K217" i="1" a="1"/>
  <c r="K217" i="1" s="1"/>
  <c r="L217" i="1" a="1"/>
  <c r="L217" i="1" s="1"/>
  <c r="G218" i="1" a="1"/>
  <c r="G218" i="1" s="1"/>
  <c r="H218" i="1" a="1"/>
  <c r="H218" i="1" s="1"/>
  <c r="I218" i="1" a="1"/>
  <c r="I218" i="1" s="1"/>
  <c r="J218" i="1" a="1"/>
  <c r="J218" i="1" s="1"/>
  <c r="K218" i="1" a="1"/>
  <c r="K218" i="1" s="1"/>
  <c r="L218" i="1" a="1"/>
  <c r="L218" i="1" s="1"/>
  <c r="G219" i="1" a="1"/>
  <c r="G219" i="1" s="1"/>
  <c r="H219" i="1" a="1"/>
  <c r="H219" i="1" s="1"/>
  <c r="I219" i="1" a="1"/>
  <c r="I219" i="1" s="1"/>
  <c r="J219" i="1" a="1"/>
  <c r="J219" i="1" s="1"/>
  <c r="K219" i="1" a="1"/>
  <c r="K219" i="1" s="1"/>
  <c r="L219" i="1" a="1"/>
  <c r="L219" i="1" s="1"/>
  <c r="G220" i="1" a="1"/>
  <c r="G220" i="1" s="1"/>
  <c r="H220" i="1" a="1"/>
  <c r="H220" i="1" s="1"/>
  <c r="I220" i="1" a="1"/>
  <c r="I220" i="1" s="1"/>
  <c r="J220" i="1" a="1"/>
  <c r="J220" i="1" s="1"/>
  <c r="K220" i="1" a="1"/>
  <c r="K220" i="1" s="1"/>
  <c r="L220" i="1" a="1"/>
  <c r="L220" i="1" s="1"/>
  <c r="G221" i="1" a="1"/>
  <c r="G221" i="1" s="1"/>
  <c r="H221" i="1" a="1"/>
  <c r="H221" i="1" s="1"/>
  <c r="I221" i="1" a="1"/>
  <c r="I221" i="1" s="1"/>
  <c r="J221" i="1" a="1"/>
  <c r="J221" i="1" s="1"/>
  <c r="K221" i="1" a="1"/>
  <c r="K221" i="1" s="1"/>
  <c r="L221" i="1" a="1"/>
  <c r="L221" i="1" s="1"/>
  <c r="G222" i="1" a="1"/>
  <c r="G222" i="1" s="1"/>
  <c r="H222" i="1" a="1"/>
  <c r="H222" i="1" s="1"/>
  <c r="I222" i="1" a="1"/>
  <c r="I222" i="1" s="1"/>
  <c r="J222" i="1" a="1"/>
  <c r="J222" i="1" s="1"/>
  <c r="K222" i="1" a="1"/>
  <c r="K222" i="1" s="1"/>
  <c r="L222" i="1" a="1"/>
  <c r="L222" i="1" s="1"/>
  <c r="G223" i="1" a="1"/>
  <c r="G223" i="1" s="1"/>
  <c r="H223" i="1" a="1"/>
  <c r="H223" i="1" s="1"/>
  <c r="I223" i="1" a="1"/>
  <c r="I223" i="1" s="1"/>
  <c r="J223" i="1" a="1"/>
  <c r="J223" i="1" s="1"/>
  <c r="K223" i="1" a="1"/>
  <c r="K223" i="1" s="1"/>
  <c r="L223" i="1" a="1"/>
  <c r="L223" i="1" s="1"/>
  <c r="G224" i="1" a="1"/>
  <c r="G224" i="1" s="1"/>
  <c r="H224" i="1" a="1"/>
  <c r="H224" i="1" s="1"/>
  <c r="I224" i="1" a="1"/>
  <c r="I224" i="1" s="1"/>
  <c r="J224" i="1" a="1"/>
  <c r="J224" i="1" s="1"/>
  <c r="K224" i="1" a="1"/>
  <c r="K224" i="1" s="1"/>
  <c r="L224" i="1" a="1"/>
  <c r="L224" i="1" s="1"/>
  <c r="G225" i="1" a="1"/>
  <c r="G225" i="1" s="1"/>
  <c r="H225" i="1" a="1"/>
  <c r="H225" i="1" s="1"/>
  <c r="I225" i="1" a="1"/>
  <c r="I225" i="1" s="1"/>
  <c r="J225" i="1" a="1"/>
  <c r="J225" i="1" s="1"/>
  <c r="K225" i="1" a="1"/>
  <c r="K225" i="1" s="1"/>
  <c r="L225" i="1" a="1"/>
  <c r="L225" i="1" s="1"/>
  <c r="G226" i="1" a="1"/>
  <c r="G226" i="1" s="1"/>
  <c r="H226" i="1" a="1"/>
  <c r="H226" i="1" s="1"/>
  <c r="I226" i="1" a="1"/>
  <c r="I226" i="1" s="1"/>
  <c r="J226" i="1" a="1"/>
  <c r="J226" i="1" s="1"/>
  <c r="K226" i="1" a="1"/>
  <c r="K226" i="1" s="1"/>
  <c r="L226" i="1" a="1"/>
  <c r="L226" i="1" s="1"/>
  <c r="G227" i="1" a="1"/>
  <c r="G227" i="1" s="1"/>
  <c r="H227" i="1" a="1"/>
  <c r="H227" i="1" s="1"/>
  <c r="I227" i="1" a="1"/>
  <c r="I227" i="1" s="1"/>
  <c r="J227" i="1" a="1"/>
  <c r="J227" i="1" s="1"/>
  <c r="K227" i="1" a="1"/>
  <c r="K227" i="1" s="1"/>
  <c r="L227" i="1" a="1"/>
  <c r="L227" i="1" s="1"/>
  <c r="G228" i="1" a="1"/>
  <c r="G228" i="1" s="1"/>
  <c r="H228" i="1" a="1"/>
  <c r="H228" i="1" s="1"/>
  <c r="I228" i="1" a="1"/>
  <c r="I228" i="1" s="1"/>
  <c r="J228" i="1" a="1"/>
  <c r="J228" i="1" s="1"/>
  <c r="K228" i="1" a="1"/>
  <c r="K228" i="1" s="1"/>
  <c r="L228" i="1" a="1"/>
  <c r="L228" i="1" s="1"/>
  <c r="G229" i="1" a="1"/>
  <c r="G229" i="1" s="1"/>
  <c r="H229" i="1" a="1"/>
  <c r="H229" i="1" s="1"/>
  <c r="I229" i="1" a="1"/>
  <c r="I229" i="1" s="1"/>
  <c r="J229" i="1" a="1"/>
  <c r="J229" i="1" s="1"/>
  <c r="K229" i="1" a="1"/>
  <c r="K229" i="1" s="1"/>
  <c r="L229" i="1" a="1"/>
  <c r="L229" i="1" s="1"/>
  <c r="G230" i="1" a="1"/>
  <c r="G230" i="1" s="1"/>
  <c r="H230" i="1" a="1"/>
  <c r="H230" i="1" s="1"/>
  <c r="I230" i="1" a="1"/>
  <c r="I230" i="1" s="1"/>
  <c r="J230" i="1" a="1"/>
  <c r="J230" i="1" s="1"/>
  <c r="K230" i="1" a="1"/>
  <c r="K230" i="1" s="1"/>
  <c r="L230" i="1" a="1"/>
  <c r="L230" i="1" s="1"/>
  <c r="G231" i="1" a="1"/>
  <c r="G231" i="1" s="1"/>
  <c r="H231" i="1" a="1"/>
  <c r="H231" i="1" s="1"/>
  <c r="I231" i="1" a="1"/>
  <c r="I231" i="1" s="1"/>
  <c r="J231" i="1" a="1"/>
  <c r="J231" i="1" s="1"/>
  <c r="K231" i="1" a="1"/>
  <c r="K231" i="1" s="1"/>
  <c r="L231" i="1" a="1"/>
  <c r="L231" i="1" s="1"/>
  <c r="G232" i="1" a="1"/>
  <c r="G232" i="1" s="1"/>
  <c r="H232" i="1" a="1"/>
  <c r="H232" i="1" s="1"/>
  <c r="I232" i="1" a="1"/>
  <c r="I232" i="1" s="1"/>
  <c r="J232" i="1" a="1"/>
  <c r="J232" i="1" s="1"/>
  <c r="K232" i="1" a="1"/>
  <c r="K232" i="1" s="1"/>
  <c r="L232" i="1" a="1"/>
  <c r="L232" i="1" s="1"/>
  <c r="G233" i="1" a="1"/>
  <c r="G233" i="1" s="1"/>
  <c r="H233" i="1" a="1"/>
  <c r="H233" i="1" s="1"/>
  <c r="I233" i="1" a="1"/>
  <c r="I233" i="1" s="1"/>
  <c r="J233" i="1" a="1"/>
  <c r="J233" i="1" s="1"/>
  <c r="K233" i="1" a="1"/>
  <c r="K233" i="1" s="1"/>
  <c r="L233" i="1" a="1"/>
  <c r="L233" i="1" s="1"/>
  <c r="G234" i="1" a="1"/>
  <c r="G234" i="1" s="1"/>
  <c r="H234" i="1" a="1"/>
  <c r="H234" i="1" s="1"/>
  <c r="I234" i="1" a="1"/>
  <c r="I234" i="1" s="1"/>
  <c r="J234" i="1" a="1"/>
  <c r="J234" i="1" s="1"/>
  <c r="K234" i="1" a="1"/>
  <c r="K234" i="1" s="1"/>
  <c r="L234" i="1" a="1"/>
  <c r="L234" i="1" s="1"/>
  <c r="G235" i="1" a="1"/>
  <c r="G235" i="1" s="1"/>
  <c r="H235" i="1" a="1"/>
  <c r="H235" i="1" s="1"/>
  <c r="I235" i="1" a="1"/>
  <c r="I235" i="1" s="1"/>
  <c r="J235" i="1" a="1"/>
  <c r="J235" i="1" s="1"/>
  <c r="K235" i="1" a="1"/>
  <c r="K235" i="1" s="1"/>
  <c r="L235" i="1" a="1"/>
  <c r="L235" i="1" s="1"/>
  <c r="G236" i="1" a="1"/>
  <c r="G236" i="1" s="1"/>
  <c r="H236" i="1" a="1"/>
  <c r="H236" i="1" s="1"/>
  <c r="I236" i="1" a="1"/>
  <c r="I236" i="1" s="1"/>
  <c r="J236" i="1" a="1"/>
  <c r="J236" i="1" s="1"/>
  <c r="K236" i="1" a="1"/>
  <c r="K236" i="1" s="1"/>
  <c r="L236" i="1" a="1"/>
  <c r="L236" i="1" s="1"/>
  <c r="G237" i="1" a="1"/>
  <c r="G237" i="1" s="1"/>
  <c r="H237" i="1" a="1"/>
  <c r="H237" i="1" s="1"/>
  <c r="I237" i="1" a="1"/>
  <c r="I237" i="1" s="1"/>
  <c r="J237" i="1" a="1"/>
  <c r="J237" i="1" s="1"/>
  <c r="K237" i="1" a="1"/>
  <c r="K237" i="1" s="1"/>
  <c r="L237" i="1" a="1"/>
  <c r="L237" i="1" s="1"/>
  <c r="G238" i="1" a="1"/>
  <c r="G238" i="1" s="1"/>
  <c r="H238" i="1" a="1"/>
  <c r="H238" i="1" s="1"/>
  <c r="I238" i="1" a="1"/>
  <c r="I238" i="1" s="1"/>
  <c r="J238" i="1" a="1"/>
  <c r="J238" i="1" s="1"/>
  <c r="K238" i="1" a="1"/>
  <c r="K238" i="1" s="1"/>
  <c r="L238" i="1" a="1"/>
  <c r="L238" i="1" s="1"/>
  <c r="G239" i="1" a="1"/>
  <c r="G239" i="1" s="1"/>
  <c r="H239" i="1" a="1"/>
  <c r="H239" i="1" s="1"/>
  <c r="I239" i="1" a="1"/>
  <c r="I239" i="1" s="1"/>
  <c r="J239" i="1" a="1"/>
  <c r="J239" i="1" s="1"/>
  <c r="K239" i="1" a="1"/>
  <c r="K239" i="1" s="1"/>
  <c r="L239" i="1" a="1"/>
  <c r="L239" i="1" s="1"/>
  <c r="G240" i="1" a="1"/>
  <c r="G240" i="1" s="1"/>
  <c r="H240" i="1" a="1"/>
  <c r="H240" i="1" s="1"/>
  <c r="I240" i="1" a="1"/>
  <c r="I240" i="1" s="1"/>
  <c r="J240" i="1" a="1"/>
  <c r="J240" i="1" s="1"/>
  <c r="K240" i="1" a="1"/>
  <c r="K240" i="1" s="1"/>
  <c r="L240" i="1" a="1"/>
  <c r="L240" i="1" s="1"/>
  <c r="G241" i="1" a="1"/>
  <c r="G241" i="1" s="1"/>
  <c r="H241" i="1" a="1"/>
  <c r="H241" i="1" s="1"/>
  <c r="I241" i="1" a="1"/>
  <c r="I241" i="1" s="1"/>
  <c r="J241" i="1" a="1"/>
  <c r="J241" i="1" s="1"/>
  <c r="K241" i="1" a="1"/>
  <c r="K241" i="1" s="1"/>
  <c r="L241" i="1" a="1"/>
  <c r="L241" i="1" s="1"/>
  <c r="G242" i="1" a="1"/>
  <c r="G242" i="1" s="1"/>
  <c r="H242" i="1" a="1"/>
  <c r="H242" i="1" s="1"/>
  <c r="I242" i="1" a="1"/>
  <c r="I242" i="1" s="1"/>
  <c r="J242" i="1" a="1"/>
  <c r="J242" i="1" s="1"/>
  <c r="K242" i="1" a="1"/>
  <c r="K242" i="1" s="1"/>
  <c r="L242" i="1" a="1"/>
  <c r="L242" i="1" s="1"/>
  <c r="G243" i="1" a="1"/>
  <c r="G243" i="1" s="1"/>
  <c r="H243" i="1" a="1"/>
  <c r="H243" i="1" s="1"/>
  <c r="I243" i="1" a="1"/>
  <c r="I243" i="1" s="1"/>
  <c r="J243" i="1" a="1"/>
  <c r="J243" i="1" s="1"/>
  <c r="K243" i="1" a="1"/>
  <c r="K243" i="1" s="1"/>
  <c r="L243" i="1" a="1"/>
  <c r="L243" i="1" s="1"/>
  <c r="G244" i="1" a="1"/>
  <c r="G244" i="1" s="1"/>
  <c r="H244" i="1" a="1"/>
  <c r="H244" i="1" s="1"/>
  <c r="I244" i="1" a="1"/>
  <c r="I244" i="1" s="1"/>
  <c r="J244" i="1" a="1"/>
  <c r="J244" i="1" s="1"/>
  <c r="K244" i="1" a="1"/>
  <c r="K244" i="1" s="1"/>
  <c r="L244" i="1" a="1"/>
  <c r="L244" i="1" s="1"/>
  <c r="G245" i="1" a="1"/>
  <c r="G245" i="1" s="1"/>
  <c r="H245" i="1" a="1"/>
  <c r="H245" i="1" s="1"/>
  <c r="I245" i="1" a="1"/>
  <c r="I245" i="1" s="1"/>
  <c r="J245" i="1" a="1"/>
  <c r="J245" i="1" s="1"/>
  <c r="K245" i="1" a="1"/>
  <c r="K245" i="1" s="1"/>
  <c r="L245" i="1" a="1"/>
  <c r="L245" i="1" s="1"/>
  <c r="G246" i="1" a="1"/>
  <c r="G246" i="1" s="1"/>
  <c r="H246" i="1" a="1"/>
  <c r="H246" i="1" s="1"/>
  <c r="I246" i="1" a="1"/>
  <c r="I246" i="1" s="1"/>
  <c r="J246" i="1" a="1"/>
  <c r="J246" i="1" s="1"/>
  <c r="K246" i="1" a="1"/>
  <c r="K246" i="1" s="1"/>
  <c r="L246" i="1" a="1"/>
  <c r="L246" i="1" s="1"/>
  <c r="G247" i="1" a="1"/>
  <c r="G247" i="1" s="1"/>
  <c r="H247" i="1" a="1"/>
  <c r="H247" i="1" s="1"/>
  <c r="I247" i="1" a="1"/>
  <c r="I247" i="1" s="1"/>
  <c r="J247" i="1" a="1"/>
  <c r="J247" i="1" s="1"/>
  <c r="K247" i="1" a="1"/>
  <c r="K247" i="1" s="1"/>
  <c r="L247" i="1" a="1"/>
  <c r="L247" i="1" s="1"/>
  <c r="G248" i="1" a="1"/>
  <c r="G248" i="1" s="1"/>
  <c r="H248" i="1" a="1"/>
  <c r="H248" i="1" s="1"/>
  <c r="I248" i="1" a="1"/>
  <c r="I248" i="1" s="1"/>
  <c r="J248" i="1" a="1"/>
  <c r="J248" i="1" s="1"/>
  <c r="K248" i="1" a="1"/>
  <c r="K248" i="1" s="1"/>
  <c r="L248" i="1" a="1"/>
  <c r="L248" i="1" s="1"/>
  <c r="G249" i="1" a="1"/>
  <c r="G249" i="1" s="1"/>
  <c r="H249" i="1" a="1"/>
  <c r="H249" i="1" s="1"/>
  <c r="I249" i="1" a="1"/>
  <c r="I249" i="1" s="1"/>
  <c r="J249" i="1" a="1"/>
  <c r="J249" i="1" s="1"/>
  <c r="K249" i="1" a="1"/>
  <c r="K249" i="1" s="1"/>
  <c r="L249" i="1" a="1"/>
  <c r="L249" i="1" s="1"/>
  <c r="G250" i="1" a="1"/>
  <c r="G250" i="1" s="1"/>
  <c r="H250" i="1" a="1"/>
  <c r="H250" i="1" s="1"/>
  <c r="I250" i="1" a="1"/>
  <c r="I250" i="1" s="1"/>
  <c r="J250" i="1" a="1"/>
  <c r="J250" i="1" s="1"/>
  <c r="K250" i="1" a="1"/>
  <c r="K250" i="1" s="1"/>
  <c r="L250" i="1" a="1"/>
  <c r="L250" i="1" s="1"/>
  <c r="G251" i="1" a="1"/>
  <c r="G251" i="1" s="1"/>
  <c r="H251" i="1" a="1"/>
  <c r="H251" i="1" s="1"/>
  <c r="I251" i="1" a="1"/>
  <c r="I251" i="1" s="1"/>
  <c r="J251" i="1" a="1"/>
  <c r="J251" i="1" s="1"/>
  <c r="K251" i="1" a="1"/>
  <c r="K251" i="1" s="1"/>
  <c r="L251" i="1" a="1"/>
  <c r="L251" i="1" s="1"/>
  <c r="G252" i="1" a="1"/>
  <c r="G252" i="1" s="1"/>
  <c r="H252" i="1" a="1"/>
  <c r="H252" i="1" s="1"/>
  <c r="I252" i="1" a="1"/>
  <c r="I252" i="1" s="1"/>
  <c r="J252" i="1" a="1"/>
  <c r="J252" i="1" s="1"/>
  <c r="K252" i="1" a="1"/>
  <c r="K252" i="1" s="1"/>
  <c r="L252" i="1" a="1"/>
  <c r="L252" i="1" s="1"/>
  <c r="G253" i="1" a="1"/>
  <c r="G253" i="1" s="1"/>
  <c r="H253" i="1" a="1"/>
  <c r="H253" i="1" s="1"/>
  <c r="I253" i="1" a="1"/>
  <c r="I253" i="1" s="1"/>
  <c r="J253" i="1" a="1"/>
  <c r="J253" i="1" s="1"/>
  <c r="K253" i="1" a="1"/>
  <c r="K253" i="1" s="1"/>
  <c r="L253" i="1" a="1"/>
  <c r="L253" i="1" s="1"/>
  <c r="G254" i="1" a="1"/>
  <c r="G254" i="1" s="1"/>
  <c r="H254" i="1" a="1"/>
  <c r="H254" i="1" s="1"/>
  <c r="I254" i="1" a="1"/>
  <c r="I254" i="1" s="1"/>
  <c r="J254" i="1" a="1"/>
  <c r="J254" i="1" s="1"/>
  <c r="K254" i="1" a="1"/>
  <c r="K254" i="1" s="1"/>
  <c r="L254" i="1" a="1"/>
  <c r="L254" i="1" s="1"/>
  <c r="G255" i="1" a="1"/>
  <c r="G255" i="1" s="1"/>
  <c r="H255" i="1" a="1"/>
  <c r="H255" i="1" s="1"/>
  <c r="I255" i="1" a="1"/>
  <c r="I255" i="1" s="1"/>
  <c r="J255" i="1" a="1"/>
  <c r="J255" i="1" s="1"/>
  <c r="K255" i="1" a="1"/>
  <c r="K255" i="1" s="1"/>
  <c r="L255" i="1" a="1"/>
  <c r="L255" i="1" s="1"/>
  <c r="G256" i="1" a="1"/>
  <c r="G256" i="1" s="1"/>
  <c r="H256" i="1" a="1"/>
  <c r="H256" i="1" s="1"/>
  <c r="I256" i="1" a="1"/>
  <c r="I256" i="1" s="1"/>
  <c r="J256" i="1" a="1"/>
  <c r="J256" i="1" s="1"/>
  <c r="K256" i="1" a="1"/>
  <c r="K256" i="1" s="1"/>
  <c r="L256" i="1" a="1"/>
  <c r="L256" i="1" s="1"/>
  <c r="G257" i="1" a="1"/>
  <c r="G257" i="1" s="1"/>
  <c r="H257" i="1" a="1"/>
  <c r="H257" i="1" s="1"/>
  <c r="I257" i="1" a="1"/>
  <c r="I257" i="1" s="1"/>
  <c r="J257" i="1" a="1"/>
  <c r="J257" i="1" s="1"/>
  <c r="K257" i="1" a="1"/>
  <c r="K257" i="1" s="1"/>
  <c r="L257" i="1" a="1"/>
  <c r="L257" i="1" s="1"/>
  <c r="G258" i="1" a="1"/>
  <c r="G258" i="1" s="1"/>
  <c r="H258" i="1" a="1"/>
  <c r="H258" i="1" s="1"/>
  <c r="I258" i="1" a="1"/>
  <c r="I258" i="1" s="1"/>
  <c r="J258" i="1" a="1"/>
  <c r="J258" i="1" s="1"/>
  <c r="K258" i="1" a="1"/>
  <c r="K258" i="1" s="1"/>
  <c r="L258" i="1" a="1"/>
  <c r="L258" i="1" s="1"/>
  <c r="G259" i="1" a="1"/>
  <c r="G259" i="1" s="1"/>
  <c r="H259" i="1" a="1"/>
  <c r="H259" i="1" s="1"/>
  <c r="I259" i="1" a="1"/>
  <c r="I259" i="1" s="1"/>
  <c r="J259" i="1" a="1"/>
  <c r="J259" i="1" s="1"/>
  <c r="K259" i="1" a="1"/>
  <c r="K259" i="1" s="1"/>
  <c r="L259" i="1" a="1"/>
  <c r="L259" i="1" s="1"/>
  <c r="G260" i="1" a="1"/>
  <c r="G260" i="1" s="1"/>
  <c r="H260" i="1" a="1"/>
  <c r="H260" i="1" s="1"/>
  <c r="I260" i="1" a="1"/>
  <c r="I260" i="1" s="1"/>
  <c r="J260" i="1" a="1"/>
  <c r="J260" i="1" s="1"/>
  <c r="K260" i="1" a="1"/>
  <c r="K260" i="1" s="1"/>
  <c r="L260" i="1" a="1"/>
  <c r="L260" i="1" s="1"/>
  <c r="G261" i="1" a="1"/>
  <c r="G261" i="1" s="1"/>
  <c r="H261" i="1" a="1"/>
  <c r="H261" i="1" s="1"/>
  <c r="I261" i="1" a="1"/>
  <c r="I261" i="1" s="1"/>
  <c r="J261" i="1" a="1"/>
  <c r="J261" i="1" s="1"/>
  <c r="K261" i="1" a="1"/>
  <c r="K261" i="1" s="1"/>
  <c r="L261" i="1" a="1"/>
  <c r="L261" i="1" s="1"/>
  <c r="G262" i="1" a="1"/>
  <c r="G262" i="1" s="1"/>
  <c r="H262" i="1" a="1"/>
  <c r="H262" i="1" s="1"/>
  <c r="I262" i="1" a="1"/>
  <c r="I262" i="1" s="1"/>
  <c r="J262" i="1" a="1"/>
  <c r="J262" i="1" s="1"/>
  <c r="K262" i="1" a="1"/>
  <c r="K262" i="1" s="1"/>
  <c r="L262" i="1" a="1"/>
  <c r="L262" i="1" s="1"/>
  <c r="G263" i="1" a="1"/>
  <c r="G263" i="1" s="1"/>
  <c r="H263" i="1" a="1"/>
  <c r="H263" i="1" s="1"/>
  <c r="I263" i="1" a="1"/>
  <c r="I263" i="1" s="1"/>
  <c r="J263" i="1" a="1"/>
  <c r="J263" i="1" s="1"/>
  <c r="K263" i="1" a="1"/>
  <c r="K263" i="1" s="1"/>
  <c r="L263" i="1" a="1"/>
  <c r="L263" i="1" s="1"/>
  <c r="G264" i="1" a="1"/>
  <c r="G264" i="1" s="1"/>
  <c r="H264" i="1" a="1"/>
  <c r="H264" i="1" s="1"/>
  <c r="I264" i="1" a="1"/>
  <c r="I264" i="1" s="1"/>
  <c r="J264" i="1" a="1"/>
  <c r="J264" i="1" s="1"/>
  <c r="K264" i="1" a="1"/>
  <c r="K264" i="1" s="1"/>
  <c r="L264" i="1" a="1"/>
  <c r="L264" i="1" s="1"/>
  <c r="G265" i="1" a="1"/>
  <c r="G265" i="1" s="1"/>
  <c r="H265" i="1" a="1"/>
  <c r="H265" i="1" s="1"/>
  <c r="I265" i="1" a="1"/>
  <c r="I265" i="1" s="1"/>
  <c r="J265" i="1" a="1"/>
  <c r="J265" i="1" s="1"/>
  <c r="K265" i="1" a="1"/>
  <c r="K265" i="1" s="1"/>
  <c r="L265" i="1" a="1"/>
  <c r="L265" i="1" s="1"/>
  <c r="G266" i="1" a="1"/>
  <c r="G266" i="1" s="1"/>
  <c r="H266" i="1" a="1"/>
  <c r="H266" i="1" s="1"/>
  <c r="I266" i="1" a="1"/>
  <c r="I266" i="1" s="1"/>
  <c r="J266" i="1" a="1"/>
  <c r="J266" i="1" s="1"/>
  <c r="K266" i="1" a="1"/>
  <c r="K266" i="1" s="1"/>
  <c r="L266" i="1" a="1"/>
  <c r="L266" i="1" s="1"/>
  <c r="G267" i="1" a="1"/>
  <c r="G267" i="1" s="1"/>
  <c r="H267" i="1" a="1"/>
  <c r="H267" i="1" s="1"/>
  <c r="I267" i="1" a="1"/>
  <c r="I267" i="1" s="1"/>
  <c r="J267" i="1" a="1"/>
  <c r="J267" i="1" s="1"/>
  <c r="K267" i="1" a="1"/>
  <c r="K267" i="1" s="1"/>
  <c r="L267" i="1" a="1"/>
  <c r="L267" i="1" s="1"/>
  <c r="G268" i="1" a="1"/>
  <c r="G268" i="1" s="1"/>
  <c r="H268" i="1" a="1"/>
  <c r="H268" i="1" s="1"/>
  <c r="I268" i="1" a="1"/>
  <c r="I268" i="1" s="1"/>
  <c r="J268" i="1" a="1"/>
  <c r="J268" i="1" s="1"/>
  <c r="K268" i="1" a="1"/>
  <c r="K268" i="1" s="1"/>
  <c r="L268" i="1" a="1"/>
  <c r="L268" i="1" s="1"/>
  <c r="G269" i="1" a="1"/>
  <c r="G269" i="1" s="1"/>
  <c r="H269" i="1" a="1"/>
  <c r="H269" i="1" s="1"/>
  <c r="I269" i="1" a="1"/>
  <c r="I269" i="1" s="1"/>
  <c r="J269" i="1" a="1"/>
  <c r="J269" i="1" s="1"/>
  <c r="K269" i="1" a="1"/>
  <c r="K269" i="1" s="1"/>
  <c r="L269" i="1" a="1"/>
  <c r="L269" i="1" s="1"/>
  <c r="G270" i="1" a="1"/>
  <c r="G270" i="1" s="1"/>
  <c r="H270" i="1" a="1"/>
  <c r="H270" i="1" s="1"/>
  <c r="I270" i="1" a="1"/>
  <c r="I270" i="1" s="1"/>
  <c r="J270" i="1" a="1"/>
  <c r="J270" i="1" s="1"/>
  <c r="K270" i="1" a="1"/>
  <c r="K270" i="1" s="1"/>
  <c r="L270" i="1" a="1"/>
  <c r="L270" i="1" s="1"/>
  <c r="G271" i="1" a="1"/>
  <c r="G271" i="1" s="1"/>
  <c r="H271" i="1" a="1"/>
  <c r="H271" i="1" s="1"/>
  <c r="I271" i="1" a="1"/>
  <c r="I271" i="1" s="1"/>
  <c r="J271" i="1" a="1"/>
  <c r="J271" i="1" s="1"/>
  <c r="K271" i="1" a="1"/>
  <c r="K271" i="1" s="1"/>
  <c r="L271" i="1" a="1"/>
  <c r="L271" i="1" s="1"/>
  <c r="G272" i="1" a="1"/>
  <c r="G272" i="1" s="1"/>
  <c r="H272" i="1" a="1"/>
  <c r="H272" i="1" s="1"/>
  <c r="I272" i="1" a="1"/>
  <c r="I272" i="1" s="1"/>
  <c r="J272" i="1" a="1"/>
  <c r="J272" i="1" s="1"/>
  <c r="K272" i="1" a="1"/>
  <c r="K272" i="1" s="1"/>
  <c r="L272" i="1" a="1"/>
  <c r="L272" i="1" s="1"/>
  <c r="G273" i="1" a="1"/>
  <c r="G273" i="1" s="1"/>
  <c r="H273" i="1" a="1"/>
  <c r="H273" i="1" s="1"/>
  <c r="I273" i="1" a="1"/>
  <c r="I273" i="1" s="1"/>
  <c r="J273" i="1" a="1"/>
  <c r="J273" i="1" s="1"/>
  <c r="K273" i="1" a="1"/>
  <c r="K273" i="1" s="1"/>
  <c r="L273" i="1" a="1"/>
  <c r="L273" i="1" s="1"/>
  <c r="G274" i="1" a="1"/>
  <c r="G274" i="1" s="1"/>
  <c r="H274" i="1" a="1"/>
  <c r="H274" i="1" s="1"/>
  <c r="I274" i="1" a="1"/>
  <c r="I274" i="1" s="1"/>
  <c r="J274" i="1" a="1"/>
  <c r="J274" i="1" s="1"/>
  <c r="K274" i="1" a="1"/>
  <c r="K274" i="1" s="1"/>
  <c r="L274" i="1" a="1"/>
  <c r="L274" i="1" s="1"/>
  <c r="G275" i="1" a="1"/>
  <c r="G275" i="1" s="1"/>
  <c r="H275" i="1" a="1"/>
  <c r="H275" i="1" s="1"/>
  <c r="I275" i="1" a="1"/>
  <c r="I275" i="1" s="1"/>
  <c r="J275" i="1" a="1"/>
  <c r="J275" i="1" s="1"/>
  <c r="K275" i="1" a="1"/>
  <c r="K275" i="1" s="1"/>
  <c r="L275" i="1" a="1"/>
  <c r="L275" i="1" s="1"/>
  <c r="G276" i="1" a="1"/>
  <c r="G276" i="1" s="1"/>
  <c r="H276" i="1" a="1"/>
  <c r="H276" i="1" s="1"/>
  <c r="I276" i="1" a="1"/>
  <c r="I276" i="1" s="1"/>
  <c r="J276" i="1" a="1"/>
  <c r="J276" i="1" s="1"/>
  <c r="K276" i="1" a="1"/>
  <c r="K276" i="1" s="1"/>
  <c r="L276" i="1" a="1"/>
  <c r="L276" i="1" s="1"/>
  <c r="G277" i="1" a="1"/>
  <c r="G277" i="1" s="1"/>
  <c r="H277" i="1" a="1"/>
  <c r="H277" i="1" s="1"/>
  <c r="I277" i="1" a="1"/>
  <c r="I277" i="1" s="1"/>
  <c r="J277" i="1" a="1"/>
  <c r="J277" i="1" s="1"/>
  <c r="K277" i="1" a="1"/>
  <c r="K277" i="1" s="1"/>
  <c r="L277" i="1" a="1"/>
  <c r="L277" i="1" s="1"/>
  <c r="G278" i="1" a="1"/>
  <c r="G278" i="1" s="1"/>
  <c r="H278" i="1" a="1"/>
  <c r="H278" i="1" s="1"/>
  <c r="I278" i="1" a="1"/>
  <c r="I278" i="1" s="1"/>
  <c r="J278" i="1" a="1"/>
  <c r="J278" i="1" s="1"/>
  <c r="K278" i="1" a="1"/>
  <c r="K278" i="1" s="1"/>
  <c r="L278" i="1" a="1"/>
  <c r="L278" i="1" s="1"/>
  <c r="G279" i="1" a="1"/>
  <c r="G279" i="1" s="1"/>
  <c r="H279" i="1" a="1"/>
  <c r="H279" i="1" s="1"/>
  <c r="I279" i="1" a="1"/>
  <c r="I279" i="1" s="1"/>
  <c r="J279" i="1" a="1"/>
  <c r="J279" i="1" s="1"/>
  <c r="K279" i="1" a="1"/>
  <c r="K279" i="1" s="1"/>
  <c r="L279" i="1" a="1"/>
  <c r="L279" i="1" s="1"/>
  <c r="G280" i="1" a="1"/>
  <c r="G280" i="1" s="1"/>
  <c r="H280" i="1" a="1"/>
  <c r="H280" i="1" s="1"/>
  <c r="I280" i="1" a="1"/>
  <c r="I280" i="1" s="1"/>
  <c r="J280" i="1" a="1"/>
  <c r="J280" i="1" s="1"/>
  <c r="K280" i="1" a="1"/>
  <c r="K280" i="1" s="1"/>
  <c r="L280" i="1" a="1"/>
  <c r="L280" i="1" s="1"/>
  <c r="G281" i="1" a="1"/>
  <c r="G281" i="1" s="1"/>
  <c r="H281" i="1" a="1"/>
  <c r="H281" i="1" s="1"/>
  <c r="I281" i="1" a="1"/>
  <c r="I281" i="1" s="1"/>
  <c r="J281" i="1" a="1"/>
  <c r="J281" i="1" s="1"/>
  <c r="K281" i="1" a="1"/>
  <c r="K281" i="1" s="1"/>
  <c r="L281" i="1" a="1"/>
  <c r="L281" i="1" s="1"/>
  <c r="G282" i="1" a="1"/>
  <c r="G282" i="1" s="1"/>
  <c r="H282" i="1" a="1"/>
  <c r="H282" i="1" s="1"/>
  <c r="I282" i="1" a="1"/>
  <c r="I282" i="1" s="1"/>
  <c r="J282" i="1" a="1"/>
  <c r="J282" i="1" s="1"/>
  <c r="K282" i="1" a="1"/>
  <c r="K282" i="1" s="1"/>
  <c r="L282" i="1" a="1"/>
  <c r="L282" i="1" s="1"/>
  <c r="G283" i="1" a="1"/>
  <c r="G283" i="1" s="1"/>
  <c r="H283" i="1" a="1"/>
  <c r="H283" i="1" s="1"/>
  <c r="I283" i="1" a="1"/>
  <c r="I283" i="1" s="1"/>
  <c r="J283" i="1" a="1"/>
  <c r="J283" i="1" s="1"/>
  <c r="K283" i="1" a="1"/>
  <c r="K283" i="1" s="1"/>
  <c r="L283" i="1" a="1"/>
  <c r="L283" i="1" s="1"/>
  <c r="G284" i="1" a="1"/>
  <c r="G284" i="1" s="1"/>
  <c r="H284" i="1" a="1"/>
  <c r="H284" i="1" s="1"/>
  <c r="I284" i="1" a="1"/>
  <c r="I284" i="1" s="1"/>
  <c r="J284" i="1" a="1"/>
  <c r="J284" i="1" s="1"/>
  <c r="K284" i="1" a="1"/>
  <c r="K284" i="1" s="1"/>
  <c r="L284" i="1" a="1"/>
  <c r="L284" i="1" s="1"/>
  <c r="G285" i="1" a="1"/>
  <c r="G285" i="1" s="1"/>
  <c r="H285" i="1" a="1"/>
  <c r="H285" i="1" s="1"/>
  <c r="I285" i="1" a="1"/>
  <c r="I285" i="1" s="1"/>
  <c r="J285" i="1" a="1"/>
  <c r="J285" i="1" s="1"/>
  <c r="K285" i="1" a="1"/>
  <c r="K285" i="1" s="1"/>
  <c r="L285" i="1" a="1"/>
  <c r="L285" i="1" s="1"/>
  <c r="G286" i="1" a="1"/>
  <c r="G286" i="1" s="1"/>
  <c r="H286" i="1" a="1"/>
  <c r="H286" i="1" s="1"/>
  <c r="I286" i="1" a="1"/>
  <c r="I286" i="1" s="1"/>
  <c r="J286" i="1" a="1"/>
  <c r="J286" i="1" s="1"/>
  <c r="K286" i="1" a="1"/>
  <c r="K286" i="1" s="1"/>
  <c r="L286" i="1" a="1"/>
  <c r="L286" i="1" s="1"/>
  <c r="G287" i="1" a="1"/>
  <c r="G287" i="1" s="1"/>
  <c r="H287" i="1" a="1"/>
  <c r="H287" i="1" s="1"/>
  <c r="I287" i="1" a="1"/>
  <c r="I287" i="1" s="1"/>
  <c r="J287" i="1" a="1"/>
  <c r="J287" i="1" s="1"/>
  <c r="K287" i="1" a="1"/>
  <c r="K287" i="1" s="1"/>
  <c r="L287" i="1" a="1"/>
  <c r="L287" i="1" s="1"/>
  <c r="G288" i="1" a="1"/>
  <c r="G288" i="1" s="1"/>
  <c r="H288" i="1" a="1"/>
  <c r="H288" i="1" s="1"/>
  <c r="I288" i="1" a="1"/>
  <c r="I288" i="1" s="1"/>
  <c r="J288" i="1" a="1"/>
  <c r="J288" i="1" s="1"/>
  <c r="K288" i="1" a="1"/>
  <c r="K288" i="1" s="1"/>
  <c r="L288" i="1" a="1"/>
  <c r="L288" i="1" s="1"/>
  <c r="G289" i="1" a="1"/>
  <c r="G289" i="1" s="1"/>
  <c r="H289" i="1" a="1"/>
  <c r="H289" i="1" s="1"/>
  <c r="I289" i="1" a="1"/>
  <c r="I289" i="1" s="1"/>
  <c r="J289" i="1" a="1"/>
  <c r="J289" i="1" s="1"/>
  <c r="K289" i="1" a="1"/>
  <c r="K289" i="1" s="1"/>
  <c r="L289" i="1" a="1"/>
  <c r="L289" i="1" s="1"/>
  <c r="G290" i="1" a="1"/>
  <c r="G290" i="1" s="1"/>
  <c r="H290" i="1" a="1"/>
  <c r="H290" i="1" s="1"/>
  <c r="I290" i="1" a="1"/>
  <c r="I290" i="1" s="1"/>
  <c r="J290" i="1" a="1"/>
  <c r="J290" i="1" s="1"/>
  <c r="K290" i="1" a="1"/>
  <c r="K290" i="1" s="1"/>
  <c r="L290" i="1" a="1"/>
  <c r="L290" i="1" s="1"/>
  <c r="G291" i="1" a="1"/>
  <c r="G291" i="1" s="1"/>
  <c r="H291" i="1" a="1"/>
  <c r="H291" i="1" s="1"/>
  <c r="I291" i="1" a="1"/>
  <c r="I291" i="1" s="1"/>
  <c r="J291" i="1" a="1"/>
  <c r="J291" i="1" s="1"/>
  <c r="K291" i="1" a="1"/>
  <c r="K291" i="1" s="1"/>
  <c r="L291" i="1" a="1"/>
  <c r="L291" i="1" s="1"/>
  <c r="G292" i="1" a="1"/>
  <c r="G292" i="1" s="1"/>
  <c r="H292" i="1" a="1"/>
  <c r="H292" i="1" s="1"/>
  <c r="I292" i="1" a="1"/>
  <c r="I292" i="1" s="1"/>
  <c r="J292" i="1" a="1"/>
  <c r="J292" i="1" s="1"/>
  <c r="K292" i="1" a="1"/>
  <c r="K292" i="1" s="1"/>
  <c r="L292" i="1" a="1"/>
  <c r="L292" i="1" s="1"/>
  <c r="G293" i="1" a="1"/>
  <c r="G293" i="1" s="1"/>
  <c r="H293" i="1" a="1"/>
  <c r="H293" i="1" s="1"/>
  <c r="I293" i="1" a="1"/>
  <c r="I293" i="1" s="1"/>
  <c r="J293" i="1" a="1"/>
  <c r="J293" i="1" s="1"/>
  <c r="K293" i="1" a="1"/>
  <c r="K293" i="1" s="1"/>
  <c r="L293" i="1" a="1"/>
  <c r="L293" i="1" s="1"/>
  <c r="G294" i="1" a="1"/>
  <c r="G294" i="1" s="1"/>
  <c r="H294" i="1" a="1"/>
  <c r="H294" i="1" s="1"/>
  <c r="I294" i="1" a="1"/>
  <c r="I294" i="1" s="1"/>
  <c r="J294" i="1" a="1"/>
  <c r="J294" i="1" s="1"/>
  <c r="K294" i="1" a="1"/>
  <c r="K294" i="1" s="1"/>
  <c r="L294" i="1" a="1"/>
  <c r="L294" i="1" s="1"/>
  <c r="G295" i="1" a="1"/>
  <c r="G295" i="1" s="1"/>
  <c r="H295" i="1" a="1"/>
  <c r="H295" i="1" s="1"/>
  <c r="I295" i="1" a="1"/>
  <c r="I295" i="1" s="1"/>
  <c r="J295" i="1" a="1"/>
  <c r="J295" i="1" s="1"/>
  <c r="K295" i="1" a="1"/>
  <c r="K295" i="1" s="1"/>
  <c r="L295" i="1" a="1"/>
  <c r="L295" i="1" s="1"/>
  <c r="G296" i="1" a="1"/>
  <c r="G296" i="1" s="1"/>
  <c r="H296" i="1" a="1"/>
  <c r="H296" i="1" s="1"/>
  <c r="I296" i="1" a="1"/>
  <c r="I296" i="1" s="1"/>
  <c r="J296" i="1" a="1"/>
  <c r="J296" i="1" s="1"/>
  <c r="K296" i="1" a="1"/>
  <c r="K296" i="1" s="1"/>
  <c r="L296" i="1" a="1"/>
  <c r="L296" i="1" s="1"/>
  <c r="G297" i="1" a="1"/>
  <c r="G297" i="1" s="1"/>
  <c r="H297" i="1" a="1"/>
  <c r="H297" i="1" s="1"/>
  <c r="I297" i="1" a="1"/>
  <c r="I297" i="1" s="1"/>
  <c r="J297" i="1" a="1"/>
  <c r="J297" i="1" s="1"/>
  <c r="K297" i="1" a="1"/>
  <c r="K297" i="1" s="1"/>
  <c r="L297" i="1" a="1"/>
  <c r="L297" i="1" s="1"/>
  <c r="G298" i="1" a="1"/>
  <c r="G298" i="1" s="1"/>
  <c r="H298" i="1" a="1"/>
  <c r="H298" i="1" s="1"/>
  <c r="I298" i="1" a="1"/>
  <c r="I298" i="1" s="1"/>
  <c r="J298" i="1" a="1"/>
  <c r="J298" i="1" s="1"/>
  <c r="K298" i="1" a="1"/>
  <c r="K298" i="1" s="1"/>
  <c r="L298" i="1" a="1"/>
  <c r="L298" i="1" s="1"/>
  <c r="G299" i="1" a="1"/>
  <c r="G299" i="1" s="1"/>
  <c r="H299" i="1" a="1"/>
  <c r="H299" i="1" s="1"/>
  <c r="I299" i="1" a="1"/>
  <c r="I299" i="1" s="1"/>
  <c r="J299" i="1" a="1"/>
  <c r="J299" i="1" s="1"/>
  <c r="K299" i="1" a="1"/>
  <c r="K299" i="1" s="1"/>
  <c r="L299" i="1" a="1"/>
  <c r="L299" i="1" s="1"/>
  <c r="G300" i="1" a="1"/>
  <c r="G300" i="1" s="1"/>
  <c r="H300" i="1" a="1"/>
  <c r="H300" i="1" s="1"/>
  <c r="I300" i="1" a="1"/>
  <c r="I300" i="1" s="1"/>
  <c r="J300" i="1" a="1"/>
  <c r="J300" i="1" s="1"/>
  <c r="K300" i="1" a="1"/>
  <c r="K300" i="1" s="1"/>
  <c r="L300" i="1" a="1"/>
  <c r="L300" i="1" s="1"/>
  <c r="G301" i="1" a="1"/>
  <c r="G301" i="1" s="1"/>
  <c r="H301" i="1" a="1"/>
  <c r="H301" i="1" s="1"/>
  <c r="I301" i="1" a="1"/>
  <c r="I301" i="1" s="1"/>
  <c r="J301" i="1" a="1"/>
  <c r="J301" i="1" s="1"/>
  <c r="K301" i="1" a="1"/>
  <c r="K301" i="1" s="1"/>
  <c r="L301" i="1" a="1"/>
  <c r="L301" i="1" s="1"/>
  <c r="G302" i="1" a="1"/>
  <c r="G302" i="1" s="1"/>
  <c r="H302" i="1" a="1"/>
  <c r="H302" i="1" s="1"/>
  <c r="I302" i="1" a="1"/>
  <c r="I302" i="1" s="1"/>
  <c r="J302" i="1" a="1"/>
  <c r="J302" i="1" s="1"/>
  <c r="K302" i="1" a="1"/>
  <c r="K302" i="1" s="1"/>
  <c r="L302" i="1" a="1"/>
  <c r="L302" i="1" s="1"/>
  <c r="G303" i="1" a="1"/>
  <c r="G303" i="1" s="1"/>
  <c r="H303" i="1" a="1"/>
  <c r="H303" i="1" s="1"/>
  <c r="I303" i="1" a="1"/>
  <c r="I303" i="1" s="1"/>
  <c r="J303" i="1" a="1"/>
  <c r="J303" i="1" s="1"/>
  <c r="K303" i="1" a="1"/>
  <c r="K303" i="1" s="1"/>
  <c r="L303" i="1" a="1"/>
  <c r="L303" i="1" s="1"/>
  <c r="G304" i="1" a="1"/>
  <c r="G304" i="1" s="1"/>
  <c r="H304" i="1" a="1"/>
  <c r="H304" i="1" s="1"/>
  <c r="I304" i="1" a="1"/>
  <c r="I304" i="1" s="1"/>
  <c r="J304" i="1" a="1"/>
  <c r="J304" i="1" s="1"/>
  <c r="K304" i="1" a="1"/>
  <c r="K304" i="1" s="1"/>
  <c r="L304" i="1" a="1"/>
  <c r="L304" i="1" s="1"/>
  <c r="G305" i="1" a="1"/>
  <c r="G305" i="1" s="1"/>
  <c r="H305" i="1" a="1"/>
  <c r="H305" i="1" s="1"/>
  <c r="I305" i="1" a="1"/>
  <c r="I305" i="1" s="1"/>
  <c r="J305" i="1" a="1"/>
  <c r="J305" i="1" s="1"/>
  <c r="K305" i="1" a="1"/>
  <c r="K305" i="1" s="1"/>
  <c r="L305" i="1" a="1"/>
  <c r="L305" i="1" s="1"/>
  <c r="G306" i="1" a="1"/>
  <c r="G306" i="1" s="1"/>
  <c r="H306" i="1" a="1"/>
  <c r="H306" i="1" s="1"/>
  <c r="I306" i="1" a="1"/>
  <c r="I306" i="1" s="1"/>
  <c r="J306" i="1" a="1"/>
  <c r="J306" i="1" s="1"/>
  <c r="K306" i="1" a="1"/>
  <c r="K306" i="1" s="1"/>
  <c r="L306" i="1" a="1"/>
  <c r="L306" i="1" s="1"/>
  <c r="G307" i="1" a="1"/>
  <c r="G307" i="1" s="1"/>
  <c r="H307" i="1" a="1"/>
  <c r="H307" i="1" s="1"/>
  <c r="I307" i="1" a="1"/>
  <c r="I307" i="1" s="1"/>
  <c r="J307" i="1" a="1"/>
  <c r="J307" i="1" s="1"/>
  <c r="K307" i="1" a="1"/>
  <c r="K307" i="1" s="1"/>
  <c r="L307" i="1" a="1"/>
  <c r="L307" i="1" s="1"/>
  <c r="G308" i="1" a="1"/>
  <c r="G308" i="1" s="1"/>
  <c r="H308" i="1" a="1"/>
  <c r="H308" i="1" s="1"/>
  <c r="I308" i="1" a="1"/>
  <c r="I308" i="1" s="1"/>
  <c r="J308" i="1" a="1"/>
  <c r="J308" i="1" s="1"/>
  <c r="K308" i="1" a="1"/>
  <c r="K308" i="1" s="1"/>
  <c r="L308" i="1" a="1"/>
  <c r="L308" i="1" s="1"/>
  <c r="G309" i="1" a="1"/>
  <c r="G309" i="1" s="1"/>
  <c r="H309" i="1" a="1"/>
  <c r="H309" i="1" s="1"/>
  <c r="I309" i="1" a="1"/>
  <c r="I309" i="1" s="1"/>
  <c r="J309" i="1" a="1"/>
  <c r="J309" i="1" s="1"/>
  <c r="K309" i="1" a="1"/>
  <c r="K309" i="1" s="1"/>
  <c r="L309" i="1" a="1"/>
  <c r="L309" i="1" s="1"/>
  <c r="G310" i="1" a="1"/>
  <c r="G310" i="1" s="1"/>
  <c r="H310" i="1" a="1"/>
  <c r="H310" i="1" s="1"/>
  <c r="I310" i="1" a="1"/>
  <c r="I310" i="1" s="1"/>
  <c r="J310" i="1" a="1"/>
  <c r="J310" i="1" s="1"/>
  <c r="K310" i="1" a="1"/>
  <c r="K310" i="1" s="1"/>
  <c r="L310" i="1" a="1"/>
  <c r="L310" i="1" s="1"/>
  <c r="G311" i="1" a="1"/>
  <c r="G311" i="1" s="1"/>
  <c r="H311" i="1" a="1"/>
  <c r="H311" i="1" s="1"/>
  <c r="I311" i="1" a="1"/>
  <c r="I311" i="1" s="1"/>
  <c r="J311" i="1" a="1"/>
  <c r="J311" i="1" s="1"/>
  <c r="K311" i="1" a="1"/>
  <c r="K311" i="1" s="1"/>
  <c r="L311" i="1" a="1"/>
  <c r="L311" i="1" s="1"/>
  <c r="G312" i="1" a="1"/>
  <c r="G312" i="1" s="1"/>
  <c r="H312" i="1" a="1"/>
  <c r="H312" i="1" s="1"/>
  <c r="I312" i="1" a="1"/>
  <c r="I312" i="1" s="1"/>
  <c r="J312" i="1" a="1"/>
  <c r="J312" i="1" s="1"/>
  <c r="K312" i="1" a="1"/>
  <c r="K312" i="1" s="1"/>
  <c r="L312" i="1" a="1"/>
  <c r="L312" i="1" s="1"/>
  <c r="G313" i="1" a="1"/>
  <c r="G313" i="1" s="1"/>
  <c r="H313" i="1" a="1"/>
  <c r="H313" i="1" s="1"/>
  <c r="I313" i="1" a="1"/>
  <c r="I313" i="1" s="1"/>
  <c r="J313" i="1" a="1"/>
  <c r="J313" i="1" s="1"/>
  <c r="K313" i="1" a="1"/>
  <c r="K313" i="1" s="1"/>
  <c r="L313" i="1" a="1"/>
  <c r="L313" i="1" s="1"/>
  <c r="G314" i="1" a="1"/>
  <c r="G314" i="1" s="1"/>
  <c r="H314" i="1" a="1"/>
  <c r="H314" i="1" s="1"/>
  <c r="I314" i="1" a="1"/>
  <c r="I314" i="1" s="1"/>
  <c r="J314" i="1" a="1"/>
  <c r="J314" i="1" s="1"/>
  <c r="K314" i="1" a="1"/>
  <c r="K314" i="1" s="1"/>
  <c r="L314" i="1" a="1"/>
  <c r="L314" i="1" s="1"/>
  <c r="G315" i="1" a="1"/>
  <c r="G315" i="1" s="1"/>
  <c r="H315" i="1" a="1"/>
  <c r="H315" i="1" s="1"/>
  <c r="I315" i="1" a="1"/>
  <c r="I315" i="1" s="1"/>
  <c r="J315" i="1" a="1"/>
  <c r="J315" i="1" s="1"/>
  <c r="K315" i="1" a="1"/>
  <c r="K315" i="1" s="1"/>
  <c r="L315" i="1" a="1"/>
  <c r="L315" i="1" s="1"/>
  <c r="G316" i="1" a="1"/>
  <c r="G316" i="1" s="1"/>
  <c r="H316" i="1" a="1"/>
  <c r="H316" i="1" s="1"/>
  <c r="I316" i="1" a="1"/>
  <c r="I316" i="1" s="1"/>
  <c r="J316" i="1" a="1"/>
  <c r="J316" i="1" s="1"/>
  <c r="K316" i="1" a="1"/>
  <c r="K316" i="1" s="1"/>
  <c r="L316" i="1" a="1"/>
  <c r="L316" i="1" s="1"/>
  <c r="G317" i="1" a="1"/>
  <c r="G317" i="1" s="1"/>
  <c r="H317" i="1" a="1"/>
  <c r="H317" i="1" s="1"/>
  <c r="I317" i="1" a="1"/>
  <c r="I317" i="1" s="1"/>
  <c r="J317" i="1" a="1"/>
  <c r="J317" i="1" s="1"/>
  <c r="K317" i="1" a="1"/>
  <c r="K317" i="1" s="1"/>
  <c r="L317" i="1" a="1"/>
  <c r="L317" i="1" s="1"/>
  <c r="G318" i="1" a="1"/>
  <c r="G318" i="1" s="1"/>
  <c r="H318" i="1" a="1"/>
  <c r="H318" i="1" s="1"/>
  <c r="I318" i="1" a="1"/>
  <c r="I318" i="1" s="1"/>
  <c r="J318" i="1" a="1"/>
  <c r="J318" i="1" s="1"/>
  <c r="K318" i="1" a="1"/>
  <c r="K318" i="1" s="1"/>
  <c r="L318" i="1" a="1"/>
  <c r="L318" i="1" s="1"/>
  <c r="G319" i="1" a="1"/>
  <c r="G319" i="1" s="1"/>
  <c r="H319" i="1" a="1"/>
  <c r="H319" i="1" s="1"/>
  <c r="I319" i="1" a="1"/>
  <c r="I319" i="1" s="1"/>
  <c r="J319" i="1" a="1"/>
  <c r="J319" i="1" s="1"/>
  <c r="K319" i="1" a="1"/>
  <c r="K319" i="1" s="1"/>
  <c r="L319" i="1" a="1"/>
  <c r="L319" i="1" s="1"/>
  <c r="G320" i="1" a="1"/>
  <c r="G320" i="1" s="1"/>
  <c r="H320" i="1" a="1"/>
  <c r="H320" i="1" s="1"/>
  <c r="I320" i="1" a="1"/>
  <c r="I320" i="1" s="1"/>
  <c r="J320" i="1" a="1"/>
  <c r="J320" i="1" s="1"/>
  <c r="K320" i="1" a="1"/>
  <c r="K320" i="1" s="1"/>
  <c r="L320" i="1" a="1"/>
  <c r="L320" i="1" s="1"/>
  <c r="G321" i="1" a="1"/>
  <c r="G321" i="1" s="1"/>
  <c r="H321" i="1" a="1"/>
  <c r="H321" i="1" s="1"/>
  <c r="I321" i="1" a="1"/>
  <c r="I321" i="1" s="1"/>
  <c r="J321" i="1" a="1"/>
  <c r="J321" i="1" s="1"/>
  <c r="K321" i="1" a="1"/>
  <c r="K321" i="1" s="1"/>
  <c r="L321" i="1" a="1"/>
  <c r="L321" i="1" s="1"/>
  <c r="G322" i="1" a="1"/>
  <c r="G322" i="1" s="1"/>
  <c r="H322" i="1" a="1"/>
  <c r="H322" i="1" s="1"/>
  <c r="I322" i="1" a="1"/>
  <c r="I322" i="1" s="1"/>
  <c r="J322" i="1" a="1"/>
  <c r="J322" i="1" s="1"/>
  <c r="K322" i="1" a="1"/>
  <c r="K322" i="1" s="1"/>
  <c r="L322" i="1" a="1"/>
  <c r="L322" i="1" s="1"/>
  <c r="G323" i="1" a="1"/>
  <c r="G323" i="1" s="1"/>
  <c r="H323" i="1" a="1"/>
  <c r="H323" i="1" s="1"/>
  <c r="I323" i="1" a="1"/>
  <c r="I323" i="1" s="1"/>
  <c r="J323" i="1" a="1"/>
  <c r="J323" i="1" s="1"/>
  <c r="K323" i="1" a="1"/>
  <c r="K323" i="1" s="1"/>
  <c r="L323" i="1" a="1"/>
  <c r="L323" i="1" s="1"/>
  <c r="G324" i="1" a="1"/>
  <c r="G324" i="1" s="1"/>
  <c r="H324" i="1" a="1"/>
  <c r="H324" i="1" s="1"/>
  <c r="I324" i="1" a="1"/>
  <c r="I324" i="1" s="1"/>
  <c r="J324" i="1" a="1"/>
  <c r="J324" i="1" s="1"/>
  <c r="K324" i="1" a="1"/>
  <c r="K324" i="1" s="1"/>
  <c r="L324" i="1" a="1"/>
  <c r="L324" i="1" s="1"/>
  <c r="G325" i="1" a="1"/>
  <c r="G325" i="1" s="1"/>
  <c r="H325" i="1" a="1"/>
  <c r="H325" i="1" s="1"/>
  <c r="I325" i="1" a="1"/>
  <c r="I325" i="1" s="1"/>
  <c r="J325" i="1" a="1"/>
  <c r="J325" i="1" s="1"/>
  <c r="K325" i="1" a="1"/>
  <c r="K325" i="1" s="1"/>
  <c r="L325" i="1" a="1"/>
  <c r="L325" i="1" s="1"/>
  <c r="G326" i="1" a="1"/>
  <c r="G326" i="1" s="1"/>
  <c r="H326" i="1" a="1"/>
  <c r="H326" i="1" s="1"/>
  <c r="I326" i="1" a="1"/>
  <c r="I326" i="1" s="1"/>
  <c r="J326" i="1" a="1"/>
  <c r="J326" i="1" s="1"/>
  <c r="K326" i="1" a="1"/>
  <c r="K326" i="1" s="1"/>
  <c r="L326" i="1" a="1"/>
  <c r="L326" i="1" s="1"/>
  <c r="G327" i="1" a="1"/>
  <c r="G327" i="1" s="1"/>
  <c r="H327" i="1" a="1"/>
  <c r="H327" i="1" s="1"/>
  <c r="I327" i="1" a="1"/>
  <c r="I327" i="1" s="1"/>
  <c r="J327" i="1" a="1"/>
  <c r="J327" i="1" s="1"/>
  <c r="K327" i="1" a="1"/>
  <c r="K327" i="1" s="1"/>
  <c r="L327" i="1" a="1"/>
  <c r="L327" i="1" s="1"/>
  <c r="G328" i="1" a="1"/>
  <c r="G328" i="1" s="1"/>
  <c r="H328" i="1" a="1"/>
  <c r="H328" i="1" s="1"/>
  <c r="I328" i="1" a="1"/>
  <c r="I328" i="1" s="1"/>
  <c r="J328" i="1" a="1"/>
  <c r="J328" i="1" s="1"/>
  <c r="K328" i="1" a="1"/>
  <c r="K328" i="1" s="1"/>
  <c r="L328" i="1" a="1"/>
  <c r="L328" i="1" s="1"/>
  <c r="G329" i="1" a="1"/>
  <c r="G329" i="1" s="1"/>
  <c r="H329" i="1" a="1"/>
  <c r="H329" i="1" s="1"/>
  <c r="I329" i="1" a="1"/>
  <c r="I329" i="1" s="1"/>
  <c r="J329" i="1" a="1"/>
  <c r="J329" i="1" s="1"/>
  <c r="K329" i="1" a="1"/>
  <c r="K329" i="1" s="1"/>
  <c r="L329" i="1" a="1"/>
  <c r="L329" i="1" s="1"/>
  <c r="G330" i="1" a="1"/>
  <c r="G330" i="1" s="1"/>
  <c r="H330" i="1" a="1"/>
  <c r="H330" i="1" s="1"/>
  <c r="I330" i="1" a="1"/>
  <c r="I330" i="1" s="1"/>
  <c r="J330" i="1" a="1"/>
  <c r="J330" i="1" s="1"/>
  <c r="K330" i="1" a="1"/>
  <c r="K330" i="1" s="1"/>
  <c r="L330" i="1" a="1"/>
  <c r="L330" i="1" s="1"/>
  <c r="G331" i="1" a="1"/>
  <c r="G331" i="1" s="1"/>
  <c r="H331" i="1" a="1"/>
  <c r="H331" i="1" s="1"/>
  <c r="I331" i="1" a="1"/>
  <c r="I331" i="1" s="1"/>
  <c r="J331" i="1" a="1"/>
  <c r="J331" i="1" s="1"/>
  <c r="K331" i="1" a="1"/>
  <c r="K331" i="1" s="1"/>
  <c r="L331" i="1" a="1"/>
  <c r="L331" i="1" s="1"/>
  <c r="G332" i="1" a="1"/>
  <c r="G332" i="1" s="1"/>
  <c r="H332" i="1" a="1"/>
  <c r="H332" i="1" s="1"/>
  <c r="I332" i="1" a="1"/>
  <c r="I332" i="1" s="1"/>
  <c r="J332" i="1" a="1"/>
  <c r="J332" i="1" s="1"/>
  <c r="K332" i="1" a="1"/>
  <c r="K332" i="1" s="1"/>
  <c r="L332" i="1" a="1"/>
  <c r="L332" i="1" s="1"/>
  <c r="G333" i="1" a="1"/>
  <c r="G333" i="1" s="1"/>
  <c r="H333" i="1" a="1"/>
  <c r="H333" i="1" s="1"/>
  <c r="I333" i="1" a="1"/>
  <c r="I333" i="1" s="1"/>
  <c r="J333" i="1" a="1"/>
  <c r="J333" i="1" s="1"/>
  <c r="K333" i="1" a="1"/>
  <c r="K333" i="1" s="1"/>
  <c r="L333" i="1" a="1"/>
  <c r="L333" i="1" s="1"/>
  <c r="G334" i="1" a="1"/>
  <c r="G334" i="1" s="1"/>
  <c r="H334" i="1" a="1"/>
  <c r="H334" i="1" s="1"/>
  <c r="I334" i="1" a="1"/>
  <c r="I334" i="1" s="1"/>
  <c r="J334" i="1" a="1"/>
  <c r="J334" i="1" s="1"/>
  <c r="K334" i="1" a="1"/>
  <c r="K334" i="1" s="1"/>
  <c r="L334" i="1" a="1"/>
  <c r="L334" i="1" s="1"/>
  <c r="G335" i="1" a="1"/>
  <c r="G335" i="1" s="1"/>
  <c r="H335" i="1" a="1"/>
  <c r="H335" i="1" s="1"/>
  <c r="I335" i="1" a="1"/>
  <c r="I335" i="1" s="1"/>
  <c r="J335" i="1" a="1"/>
  <c r="J335" i="1" s="1"/>
  <c r="K335" i="1" a="1"/>
  <c r="K335" i="1" s="1"/>
  <c r="L335" i="1" a="1"/>
  <c r="L335" i="1" s="1"/>
  <c r="G336" i="1" a="1"/>
  <c r="G336" i="1" s="1"/>
  <c r="H336" i="1" a="1"/>
  <c r="H336" i="1" s="1"/>
  <c r="I336" i="1" a="1"/>
  <c r="I336" i="1" s="1"/>
  <c r="J336" i="1" a="1"/>
  <c r="J336" i="1" s="1"/>
  <c r="K336" i="1" a="1"/>
  <c r="K336" i="1" s="1"/>
  <c r="L336" i="1" a="1"/>
  <c r="L336" i="1" s="1"/>
  <c r="G337" i="1" a="1"/>
  <c r="G337" i="1" s="1"/>
  <c r="H337" i="1" a="1"/>
  <c r="H337" i="1" s="1"/>
  <c r="I337" i="1" a="1"/>
  <c r="I337" i="1" s="1"/>
  <c r="J337" i="1" a="1"/>
  <c r="J337" i="1" s="1"/>
  <c r="K337" i="1" a="1"/>
  <c r="K337" i="1" s="1"/>
  <c r="L337" i="1" a="1"/>
  <c r="L337" i="1" s="1"/>
  <c r="G338" i="1" a="1"/>
  <c r="G338" i="1" s="1"/>
  <c r="H338" i="1" a="1"/>
  <c r="H338" i="1" s="1"/>
  <c r="I338" i="1" a="1"/>
  <c r="I338" i="1" s="1"/>
  <c r="J338" i="1" a="1"/>
  <c r="J338" i="1" s="1"/>
  <c r="K338" i="1" a="1"/>
  <c r="K338" i="1" s="1"/>
  <c r="L338" i="1" a="1"/>
  <c r="L338" i="1" s="1"/>
  <c r="G339" i="1" a="1"/>
  <c r="G339" i="1" s="1"/>
  <c r="H339" i="1" a="1"/>
  <c r="H339" i="1" s="1"/>
  <c r="I339" i="1" a="1"/>
  <c r="I339" i="1" s="1"/>
  <c r="J339" i="1" a="1"/>
  <c r="J339" i="1" s="1"/>
  <c r="K339" i="1" a="1"/>
  <c r="K339" i="1" s="1"/>
  <c r="L339" i="1" a="1"/>
  <c r="L339" i="1" s="1"/>
  <c r="G340" i="1" a="1"/>
  <c r="G340" i="1" s="1"/>
  <c r="H340" i="1" a="1"/>
  <c r="H340" i="1" s="1"/>
  <c r="I340" i="1" a="1"/>
  <c r="I340" i="1" s="1"/>
  <c r="J340" i="1" a="1"/>
  <c r="J340" i="1" s="1"/>
  <c r="K340" i="1" a="1"/>
  <c r="K340" i="1" s="1"/>
  <c r="L340" i="1" a="1"/>
  <c r="L340" i="1" s="1"/>
  <c r="G341" i="1" a="1"/>
  <c r="G341" i="1" s="1"/>
  <c r="H341" i="1" a="1"/>
  <c r="H341" i="1" s="1"/>
  <c r="I341" i="1" a="1"/>
  <c r="I341" i="1" s="1"/>
  <c r="J341" i="1" a="1"/>
  <c r="J341" i="1" s="1"/>
  <c r="K341" i="1" a="1"/>
  <c r="K341" i="1" s="1"/>
  <c r="L341" i="1" a="1"/>
  <c r="L341" i="1" s="1"/>
  <c r="G342" i="1" a="1"/>
  <c r="G342" i="1" s="1"/>
  <c r="H342" i="1" a="1"/>
  <c r="H342" i="1" s="1"/>
  <c r="I342" i="1" a="1"/>
  <c r="I342" i="1" s="1"/>
  <c r="J342" i="1" a="1"/>
  <c r="J342" i="1" s="1"/>
  <c r="K342" i="1" a="1"/>
  <c r="K342" i="1" s="1"/>
  <c r="L342" i="1" a="1"/>
  <c r="L342" i="1" s="1"/>
  <c r="G343" i="1" a="1"/>
  <c r="G343" i="1" s="1"/>
  <c r="H343" i="1" a="1"/>
  <c r="H343" i="1" s="1"/>
  <c r="I343" i="1" a="1"/>
  <c r="I343" i="1" s="1"/>
  <c r="J343" i="1" a="1"/>
  <c r="J343" i="1" s="1"/>
  <c r="K343" i="1" a="1"/>
  <c r="K343" i="1" s="1"/>
  <c r="L343" i="1" a="1"/>
  <c r="L343" i="1" s="1"/>
  <c r="G344" i="1" a="1"/>
  <c r="G344" i="1" s="1"/>
  <c r="H344" i="1" a="1"/>
  <c r="H344" i="1" s="1"/>
  <c r="I344" i="1" a="1"/>
  <c r="I344" i="1" s="1"/>
  <c r="J344" i="1" a="1"/>
  <c r="J344" i="1" s="1"/>
  <c r="K344" i="1" a="1"/>
  <c r="K344" i="1" s="1"/>
  <c r="L344" i="1" a="1"/>
  <c r="L344" i="1" s="1"/>
  <c r="G345" i="1" a="1"/>
  <c r="G345" i="1" s="1"/>
  <c r="H345" i="1" a="1"/>
  <c r="H345" i="1" s="1"/>
  <c r="I345" i="1" a="1"/>
  <c r="I345" i="1" s="1"/>
  <c r="J345" i="1" a="1"/>
  <c r="J345" i="1" s="1"/>
  <c r="K345" i="1" a="1"/>
  <c r="K345" i="1" s="1"/>
  <c r="L345" i="1" a="1"/>
  <c r="L345" i="1" s="1"/>
  <c r="G346" i="1" a="1"/>
  <c r="G346" i="1" s="1"/>
  <c r="H346" i="1" a="1"/>
  <c r="H346" i="1" s="1"/>
  <c r="I346" i="1" a="1"/>
  <c r="I346" i="1" s="1"/>
  <c r="J346" i="1" a="1"/>
  <c r="J346" i="1" s="1"/>
  <c r="K346" i="1" a="1"/>
  <c r="K346" i="1" s="1"/>
  <c r="L346" i="1" a="1"/>
  <c r="L346" i="1" s="1"/>
  <c r="G347" i="1" a="1"/>
  <c r="G347" i="1" s="1"/>
  <c r="H347" i="1" a="1"/>
  <c r="H347" i="1" s="1"/>
  <c r="I347" i="1" a="1"/>
  <c r="I347" i="1" s="1"/>
  <c r="J347" i="1" a="1"/>
  <c r="J347" i="1" s="1"/>
  <c r="K347" i="1" a="1"/>
  <c r="K347" i="1" s="1"/>
  <c r="L347" i="1" a="1"/>
  <c r="L347" i="1" s="1"/>
  <c r="G348" i="1" a="1"/>
  <c r="G348" i="1" s="1"/>
  <c r="H348" i="1" a="1"/>
  <c r="H348" i="1" s="1"/>
  <c r="I348" i="1" a="1"/>
  <c r="I348" i="1" s="1"/>
  <c r="J348" i="1" a="1"/>
  <c r="J348" i="1" s="1"/>
  <c r="K348" i="1" a="1"/>
  <c r="K348" i="1" s="1"/>
  <c r="L348" i="1" a="1"/>
  <c r="L348" i="1" s="1"/>
  <c r="G349" i="1" a="1"/>
  <c r="G349" i="1" s="1"/>
  <c r="H349" i="1" a="1"/>
  <c r="H349" i="1" s="1"/>
  <c r="I349" i="1" a="1"/>
  <c r="I349" i="1" s="1"/>
  <c r="J349" i="1" a="1"/>
  <c r="J349" i="1" s="1"/>
  <c r="K349" i="1" a="1"/>
  <c r="K349" i="1" s="1"/>
  <c r="L349" i="1" a="1"/>
  <c r="L349" i="1" s="1"/>
  <c r="G350" i="1" a="1"/>
  <c r="G350" i="1" s="1"/>
  <c r="H350" i="1" a="1"/>
  <c r="H350" i="1" s="1"/>
  <c r="I350" i="1" a="1"/>
  <c r="I350" i="1" s="1"/>
  <c r="J350" i="1" a="1"/>
  <c r="J350" i="1" s="1"/>
  <c r="K350" i="1" a="1"/>
  <c r="K350" i="1" s="1"/>
  <c r="L350" i="1" a="1"/>
  <c r="L350" i="1" s="1"/>
  <c r="G351" i="1" a="1"/>
  <c r="G351" i="1" s="1"/>
  <c r="H351" i="1" a="1"/>
  <c r="H351" i="1" s="1"/>
  <c r="I351" i="1" a="1"/>
  <c r="I351" i="1" s="1"/>
  <c r="J351" i="1" a="1"/>
  <c r="J351" i="1" s="1"/>
  <c r="K351" i="1" a="1"/>
  <c r="K351" i="1" s="1"/>
  <c r="L351" i="1" a="1"/>
  <c r="L351" i="1" s="1"/>
  <c r="G352" i="1" a="1"/>
  <c r="G352" i="1" s="1"/>
  <c r="H352" i="1" a="1"/>
  <c r="H352" i="1" s="1"/>
  <c r="I352" i="1" a="1"/>
  <c r="I352" i="1" s="1"/>
  <c r="J352" i="1" a="1"/>
  <c r="J352" i="1" s="1"/>
  <c r="K352" i="1" a="1"/>
  <c r="K352" i="1" s="1"/>
  <c r="L352" i="1" a="1"/>
  <c r="L352" i="1" s="1"/>
  <c r="G353" i="1" a="1"/>
  <c r="G353" i="1" s="1"/>
  <c r="H353" i="1" a="1"/>
  <c r="H353" i="1" s="1"/>
  <c r="I353" i="1" a="1"/>
  <c r="I353" i="1" s="1"/>
  <c r="J353" i="1" a="1"/>
  <c r="J353" i="1" s="1"/>
  <c r="K353" i="1" a="1"/>
  <c r="K353" i="1" s="1"/>
  <c r="L353" i="1" a="1"/>
  <c r="L353" i="1" s="1"/>
  <c r="G354" i="1" a="1"/>
  <c r="G354" i="1" s="1"/>
  <c r="H354" i="1" a="1"/>
  <c r="H354" i="1" s="1"/>
  <c r="I354" i="1" a="1"/>
  <c r="I354" i="1" s="1"/>
  <c r="J354" i="1" a="1"/>
  <c r="J354" i="1" s="1"/>
  <c r="K354" i="1" a="1"/>
  <c r="K354" i="1" s="1"/>
  <c r="L354" i="1" a="1"/>
  <c r="L354" i="1" s="1"/>
  <c r="G355" i="1" a="1"/>
  <c r="G355" i="1" s="1"/>
  <c r="H355" i="1" a="1"/>
  <c r="H355" i="1" s="1"/>
  <c r="I355" i="1" a="1"/>
  <c r="I355" i="1" s="1"/>
  <c r="J355" i="1" a="1"/>
  <c r="J355" i="1" s="1"/>
  <c r="K355" i="1" a="1"/>
  <c r="K355" i="1" s="1"/>
  <c r="L355" i="1" a="1"/>
  <c r="L355" i="1" s="1"/>
  <c r="G356" i="1" a="1"/>
  <c r="G356" i="1" s="1"/>
  <c r="H356" i="1" a="1"/>
  <c r="H356" i="1" s="1"/>
  <c r="I356" i="1" a="1"/>
  <c r="I356" i="1" s="1"/>
  <c r="J356" i="1" a="1"/>
  <c r="J356" i="1" s="1"/>
  <c r="K356" i="1" a="1"/>
  <c r="K356" i="1" s="1"/>
  <c r="L356" i="1" a="1"/>
  <c r="L356" i="1" s="1"/>
  <c r="G357" i="1" a="1"/>
  <c r="G357" i="1" s="1"/>
  <c r="H357" i="1" a="1"/>
  <c r="H357" i="1" s="1"/>
  <c r="I357" i="1" a="1"/>
  <c r="I357" i="1" s="1"/>
  <c r="J357" i="1" a="1"/>
  <c r="J357" i="1" s="1"/>
  <c r="K357" i="1" a="1"/>
  <c r="K357" i="1" s="1"/>
  <c r="L357" i="1" a="1"/>
  <c r="L357" i="1" s="1"/>
  <c r="G358" i="1" a="1"/>
  <c r="G358" i="1" s="1"/>
  <c r="H358" i="1" a="1"/>
  <c r="H358" i="1" s="1"/>
  <c r="I358" i="1" a="1"/>
  <c r="I358" i="1" s="1"/>
  <c r="J358" i="1" a="1"/>
  <c r="J358" i="1" s="1"/>
  <c r="K358" i="1" a="1"/>
  <c r="K358" i="1" s="1"/>
  <c r="L358" i="1" a="1"/>
  <c r="L358" i="1" s="1"/>
  <c r="G359" i="1" a="1"/>
  <c r="G359" i="1" s="1"/>
  <c r="H359" i="1" a="1"/>
  <c r="H359" i="1" s="1"/>
  <c r="I359" i="1" a="1"/>
  <c r="I359" i="1" s="1"/>
  <c r="J359" i="1" a="1"/>
  <c r="J359" i="1" s="1"/>
  <c r="K359" i="1" a="1"/>
  <c r="K359" i="1" s="1"/>
  <c r="L359" i="1" a="1"/>
  <c r="L359" i="1" s="1"/>
  <c r="G360" i="1" a="1"/>
  <c r="G360" i="1" s="1"/>
  <c r="H360" i="1" a="1"/>
  <c r="H360" i="1" s="1"/>
  <c r="I360" i="1" a="1"/>
  <c r="I360" i="1" s="1"/>
  <c r="J360" i="1" a="1"/>
  <c r="J360" i="1" s="1"/>
  <c r="K360" i="1" a="1"/>
  <c r="K360" i="1" s="1"/>
  <c r="L360" i="1" a="1"/>
  <c r="L360" i="1" s="1"/>
  <c r="G361" i="1" a="1"/>
  <c r="G361" i="1" s="1"/>
  <c r="H361" i="1" a="1"/>
  <c r="H361" i="1" s="1"/>
  <c r="I361" i="1" a="1"/>
  <c r="I361" i="1" s="1"/>
  <c r="J361" i="1" a="1"/>
  <c r="J361" i="1" s="1"/>
  <c r="K361" i="1" a="1"/>
  <c r="K361" i="1" s="1"/>
  <c r="L361" i="1" a="1"/>
  <c r="L361" i="1" s="1"/>
  <c r="G362" i="1" a="1"/>
  <c r="G362" i="1" s="1"/>
  <c r="H362" i="1" a="1"/>
  <c r="H362" i="1" s="1"/>
  <c r="I362" i="1" a="1"/>
  <c r="I362" i="1" s="1"/>
  <c r="J362" i="1" a="1"/>
  <c r="J362" i="1" s="1"/>
  <c r="K362" i="1" a="1"/>
  <c r="K362" i="1" s="1"/>
  <c r="L362" i="1" a="1"/>
  <c r="L362" i="1" s="1"/>
  <c r="G363" i="1" a="1"/>
  <c r="G363" i="1" s="1"/>
  <c r="H363" i="1" a="1"/>
  <c r="H363" i="1" s="1"/>
  <c r="I363" i="1" a="1"/>
  <c r="I363" i="1" s="1"/>
  <c r="J363" i="1" a="1"/>
  <c r="J363" i="1" s="1"/>
  <c r="K363" i="1" a="1"/>
  <c r="K363" i="1" s="1"/>
  <c r="L363" i="1" a="1"/>
  <c r="L363" i="1" s="1"/>
  <c r="G364" i="1" a="1"/>
  <c r="G364" i="1" s="1"/>
  <c r="H364" i="1" a="1"/>
  <c r="H364" i="1" s="1"/>
  <c r="I364" i="1" a="1"/>
  <c r="I364" i="1" s="1"/>
  <c r="J364" i="1" a="1"/>
  <c r="J364" i="1" s="1"/>
  <c r="K364" i="1" a="1"/>
  <c r="K364" i="1" s="1"/>
  <c r="L364" i="1" a="1"/>
  <c r="L364" i="1" s="1"/>
  <c r="G365" i="1" a="1"/>
  <c r="G365" i="1" s="1"/>
  <c r="H365" i="1" a="1"/>
  <c r="H365" i="1" s="1"/>
  <c r="I365" i="1" a="1"/>
  <c r="I365" i="1" s="1"/>
  <c r="J365" i="1" a="1"/>
  <c r="J365" i="1" s="1"/>
  <c r="K365" i="1" a="1"/>
  <c r="K365" i="1" s="1"/>
  <c r="L365" i="1" a="1"/>
  <c r="L365" i="1" s="1"/>
  <c r="G366" i="1" a="1"/>
  <c r="G366" i="1" s="1"/>
  <c r="H366" i="1" a="1"/>
  <c r="H366" i="1" s="1"/>
  <c r="I366" i="1" a="1"/>
  <c r="I366" i="1" s="1"/>
  <c r="J366" i="1" a="1"/>
  <c r="J366" i="1" s="1"/>
  <c r="K366" i="1" a="1"/>
  <c r="K366" i="1" s="1"/>
  <c r="L366" i="1" a="1"/>
  <c r="L366" i="1" s="1"/>
  <c r="G367" i="1" a="1"/>
  <c r="G367" i="1" s="1"/>
  <c r="H367" i="1" a="1"/>
  <c r="H367" i="1" s="1"/>
  <c r="I367" i="1" a="1"/>
  <c r="I367" i="1" s="1"/>
  <c r="J367" i="1" a="1"/>
  <c r="J367" i="1" s="1"/>
  <c r="K367" i="1" a="1"/>
  <c r="K367" i="1" s="1"/>
  <c r="L367" i="1" a="1"/>
  <c r="L367" i="1" s="1"/>
  <c r="G368" i="1" a="1"/>
  <c r="G368" i="1" s="1"/>
  <c r="H368" i="1" a="1"/>
  <c r="H368" i="1" s="1"/>
  <c r="I368" i="1" a="1"/>
  <c r="I368" i="1" s="1"/>
  <c r="J368" i="1" a="1"/>
  <c r="J368" i="1" s="1"/>
  <c r="K368" i="1" a="1"/>
  <c r="K368" i="1" s="1"/>
  <c r="L368" i="1" a="1"/>
  <c r="L368" i="1" s="1"/>
  <c r="G369" i="1" a="1"/>
  <c r="G369" i="1" s="1"/>
  <c r="H369" i="1" a="1"/>
  <c r="H369" i="1" s="1"/>
  <c r="I369" i="1" a="1"/>
  <c r="I369" i="1" s="1"/>
  <c r="J369" i="1" a="1"/>
  <c r="J369" i="1" s="1"/>
  <c r="K369" i="1" a="1"/>
  <c r="K369" i="1" s="1"/>
  <c r="L369" i="1" a="1"/>
  <c r="L369" i="1" s="1"/>
  <c r="G370" i="1" a="1"/>
  <c r="G370" i="1" s="1"/>
  <c r="H370" i="1" a="1"/>
  <c r="H370" i="1" s="1"/>
  <c r="I370" i="1" a="1"/>
  <c r="I370" i="1" s="1"/>
  <c r="J370" i="1" a="1"/>
  <c r="J370" i="1" s="1"/>
  <c r="K370" i="1" a="1"/>
  <c r="K370" i="1" s="1"/>
  <c r="L370" i="1" a="1"/>
  <c r="L370" i="1" s="1"/>
  <c r="G371" i="1" a="1"/>
  <c r="G371" i="1" s="1"/>
  <c r="H371" i="1" a="1"/>
  <c r="H371" i="1" s="1"/>
  <c r="I371" i="1" a="1"/>
  <c r="I371" i="1" s="1"/>
  <c r="J371" i="1" a="1"/>
  <c r="J371" i="1" s="1"/>
  <c r="K371" i="1" a="1"/>
  <c r="K371" i="1" s="1"/>
  <c r="L371" i="1" a="1"/>
  <c r="L371" i="1" s="1"/>
  <c r="G372" i="1" a="1"/>
  <c r="G372" i="1" s="1"/>
  <c r="H372" i="1" a="1"/>
  <c r="H372" i="1" s="1"/>
  <c r="I372" i="1" a="1"/>
  <c r="I372" i="1" s="1"/>
  <c r="J372" i="1" a="1"/>
  <c r="J372" i="1" s="1"/>
  <c r="K372" i="1" a="1"/>
  <c r="K372" i="1" s="1"/>
  <c r="L372" i="1" a="1"/>
  <c r="L372" i="1" s="1"/>
  <c r="G373" i="1" a="1"/>
  <c r="G373" i="1" s="1"/>
  <c r="H373" i="1" a="1"/>
  <c r="H373" i="1" s="1"/>
  <c r="I373" i="1" a="1"/>
  <c r="I373" i="1" s="1"/>
  <c r="J373" i="1" a="1"/>
  <c r="J373" i="1" s="1"/>
  <c r="K373" i="1" a="1"/>
  <c r="K373" i="1" s="1"/>
  <c r="L373" i="1" a="1"/>
  <c r="L373" i="1" s="1"/>
  <c r="G374" i="1" a="1"/>
  <c r="G374" i="1" s="1"/>
  <c r="H374" i="1" a="1"/>
  <c r="H374" i="1" s="1"/>
  <c r="I374" i="1" a="1"/>
  <c r="I374" i="1" s="1"/>
  <c r="J374" i="1" a="1"/>
  <c r="J374" i="1" s="1"/>
  <c r="K374" i="1" a="1"/>
  <c r="K374" i="1" s="1"/>
  <c r="L374" i="1" a="1"/>
  <c r="L374" i="1" s="1"/>
  <c r="G375" i="1" a="1"/>
  <c r="G375" i="1" s="1"/>
  <c r="H375" i="1" a="1"/>
  <c r="H375" i="1" s="1"/>
  <c r="I375" i="1" a="1"/>
  <c r="I375" i="1" s="1"/>
  <c r="J375" i="1" a="1"/>
  <c r="J375" i="1" s="1"/>
  <c r="K375" i="1" a="1"/>
  <c r="K375" i="1" s="1"/>
  <c r="L375" i="1" a="1"/>
  <c r="L375" i="1" s="1"/>
  <c r="G376" i="1" a="1"/>
  <c r="G376" i="1" s="1"/>
  <c r="H376" i="1" a="1"/>
  <c r="H376" i="1" s="1"/>
  <c r="I376" i="1" a="1"/>
  <c r="I376" i="1" s="1"/>
  <c r="J376" i="1" a="1"/>
  <c r="J376" i="1" s="1"/>
  <c r="K376" i="1" a="1"/>
  <c r="K376" i="1" s="1"/>
  <c r="L376" i="1" a="1"/>
  <c r="L376" i="1" s="1"/>
  <c r="G377" i="1" a="1"/>
  <c r="G377" i="1" s="1"/>
  <c r="H377" i="1" a="1"/>
  <c r="H377" i="1" s="1"/>
  <c r="I377" i="1" a="1"/>
  <c r="I377" i="1" s="1"/>
  <c r="J377" i="1" a="1"/>
  <c r="J377" i="1" s="1"/>
  <c r="K377" i="1" a="1"/>
  <c r="K377" i="1" s="1"/>
  <c r="L377" i="1" a="1"/>
  <c r="L377" i="1" s="1"/>
  <c r="G378" i="1" a="1"/>
  <c r="G378" i="1" s="1"/>
  <c r="H378" i="1" a="1"/>
  <c r="H378" i="1" s="1"/>
  <c r="I378" i="1" a="1"/>
  <c r="I378" i="1" s="1"/>
  <c r="J378" i="1" a="1"/>
  <c r="J378" i="1" s="1"/>
  <c r="K378" i="1" a="1"/>
  <c r="K378" i="1" s="1"/>
  <c r="L378" i="1" a="1"/>
  <c r="L378" i="1" s="1"/>
  <c r="G379" i="1" a="1"/>
  <c r="G379" i="1" s="1"/>
  <c r="H379" i="1" a="1"/>
  <c r="H379" i="1" s="1"/>
  <c r="I379" i="1" a="1"/>
  <c r="I379" i="1" s="1"/>
  <c r="J379" i="1" a="1"/>
  <c r="J379" i="1" s="1"/>
  <c r="K379" i="1" a="1"/>
  <c r="K379" i="1" s="1"/>
  <c r="L379" i="1" a="1"/>
  <c r="L379" i="1" s="1"/>
  <c r="G380" i="1" a="1"/>
  <c r="G380" i="1" s="1"/>
  <c r="H380" i="1" a="1"/>
  <c r="H380" i="1" s="1"/>
  <c r="I380" i="1" a="1"/>
  <c r="I380" i="1" s="1"/>
  <c r="J380" i="1" a="1"/>
  <c r="J380" i="1" s="1"/>
  <c r="K380" i="1" a="1"/>
  <c r="K380" i="1" s="1"/>
  <c r="L380" i="1" a="1"/>
  <c r="L380" i="1" s="1"/>
  <c r="G381" i="1" a="1"/>
  <c r="G381" i="1" s="1"/>
  <c r="H381" i="1" a="1"/>
  <c r="H381" i="1" s="1"/>
  <c r="I381" i="1" a="1"/>
  <c r="I381" i="1" s="1"/>
  <c r="J381" i="1" a="1"/>
  <c r="J381" i="1" s="1"/>
  <c r="K381" i="1" a="1"/>
  <c r="K381" i="1" s="1"/>
  <c r="L381" i="1" a="1"/>
  <c r="L381" i="1" s="1"/>
  <c r="G382" i="1" a="1"/>
  <c r="G382" i="1" s="1"/>
  <c r="H382" i="1" a="1"/>
  <c r="H382" i="1" s="1"/>
  <c r="I382" i="1" a="1"/>
  <c r="I382" i="1" s="1"/>
  <c r="J382" i="1" a="1"/>
  <c r="J382" i="1" s="1"/>
  <c r="K382" i="1" a="1"/>
  <c r="K382" i="1" s="1"/>
  <c r="L382" i="1" a="1"/>
  <c r="L382" i="1" s="1"/>
  <c r="G383" i="1" a="1"/>
  <c r="G383" i="1" s="1"/>
  <c r="H383" i="1" a="1"/>
  <c r="H383" i="1" s="1"/>
  <c r="I383" i="1" a="1"/>
  <c r="I383" i="1" s="1"/>
  <c r="J383" i="1" a="1"/>
  <c r="J383" i="1" s="1"/>
  <c r="K383" i="1" a="1"/>
  <c r="K383" i="1" s="1"/>
  <c r="L383" i="1" a="1"/>
  <c r="L383" i="1" s="1"/>
  <c r="G384" i="1" a="1"/>
  <c r="G384" i="1" s="1"/>
  <c r="H384" i="1" a="1"/>
  <c r="H384" i="1" s="1"/>
  <c r="I384" i="1" a="1"/>
  <c r="I384" i="1" s="1"/>
  <c r="J384" i="1" a="1"/>
  <c r="J384" i="1" s="1"/>
  <c r="K384" i="1" a="1"/>
  <c r="K384" i="1" s="1"/>
  <c r="L384" i="1" a="1"/>
  <c r="L384" i="1" s="1"/>
  <c r="G385" i="1" a="1"/>
  <c r="G385" i="1" s="1"/>
  <c r="H385" i="1" a="1"/>
  <c r="H385" i="1" s="1"/>
  <c r="I385" i="1" a="1"/>
  <c r="I385" i="1" s="1"/>
  <c r="J385" i="1" a="1"/>
  <c r="J385" i="1" s="1"/>
  <c r="K385" i="1" a="1"/>
  <c r="K385" i="1" s="1"/>
  <c r="L385" i="1" a="1"/>
  <c r="L385" i="1" s="1"/>
  <c r="G386" i="1" a="1"/>
  <c r="G386" i="1" s="1"/>
  <c r="H386" i="1" a="1"/>
  <c r="H386" i="1" s="1"/>
  <c r="I386" i="1" a="1"/>
  <c r="I386" i="1" s="1"/>
  <c r="J386" i="1" a="1"/>
  <c r="J386" i="1" s="1"/>
  <c r="K386" i="1" a="1"/>
  <c r="K386" i="1" s="1"/>
  <c r="L386" i="1" a="1"/>
  <c r="L386" i="1" s="1"/>
  <c r="G387" i="1" a="1"/>
  <c r="G387" i="1" s="1"/>
  <c r="H387" i="1" a="1"/>
  <c r="H387" i="1" s="1"/>
  <c r="I387" i="1" a="1"/>
  <c r="I387" i="1" s="1"/>
  <c r="J387" i="1" a="1"/>
  <c r="J387" i="1" s="1"/>
  <c r="K387" i="1" a="1"/>
  <c r="K387" i="1" s="1"/>
  <c r="L387" i="1" a="1"/>
  <c r="L387" i="1" s="1"/>
  <c r="G388" i="1" a="1"/>
  <c r="G388" i="1" s="1"/>
  <c r="H388" i="1" a="1"/>
  <c r="H388" i="1" s="1"/>
  <c r="I388" i="1" a="1"/>
  <c r="I388" i="1" s="1"/>
  <c r="J388" i="1" a="1"/>
  <c r="J388" i="1" s="1"/>
  <c r="K388" i="1" a="1"/>
  <c r="K388" i="1" s="1"/>
  <c r="L388" i="1" a="1"/>
  <c r="L388" i="1" s="1"/>
  <c r="G389" i="1" a="1"/>
  <c r="G389" i="1" s="1"/>
  <c r="H389" i="1" a="1"/>
  <c r="H389" i="1" s="1"/>
  <c r="I389" i="1" a="1"/>
  <c r="I389" i="1" s="1"/>
  <c r="J389" i="1" a="1"/>
  <c r="J389" i="1" s="1"/>
  <c r="K389" i="1" a="1"/>
  <c r="K389" i="1" s="1"/>
  <c r="L389" i="1" a="1"/>
  <c r="L389" i="1" s="1"/>
  <c r="G390" i="1" a="1"/>
  <c r="G390" i="1" s="1"/>
  <c r="H390" i="1" a="1"/>
  <c r="H390" i="1" s="1"/>
  <c r="I390" i="1" a="1"/>
  <c r="I390" i="1" s="1"/>
  <c r="J390" i="1" a="1"/>
  <c r="J390" i="1" s="1"/>
  <c r="K390" i="1" a="1"/>
  <c r="K390" i="1" s="1"/>
  <c r="L390" i="1" a="1"/>
  <c r="L390" i="1" s="1"/>
  <c r="G391" i="1" a="1"/>
  <c r="G391" i="1" s="1"/>
  <c r="H391" i="1" a="1"/>
  <c r="H391" i="1" s="1"/>
  <c r="I391" i="1" a="1"/>
  <c r="I391" i="1" s="1"/>
  <c r="J391" i="1" a="1"/>
  <c r="J391" i="1" s="1"/>
  <c r="K391" i="1" a="1"/>
  <c r="K391" i="1" s="1"/>
  <c r="L391" i="1" a="1"/>
  <c r="L391" i="1" s="1"/>
  <c r="G392" i="1" a="1"/>
  <c r="G392" i="1" s="1"/>
  <c r="H392" i="1" a="1"/>
  <c r="H392" i="1" s="1"/>
  <c r="I392" i="1" a="1"/>
  <c r="I392" i="1" s="1"/>
  <c r="J392" i="1" a="1"/>
  <c r="J392" i="1" s="1"/>
  <c r="K392" i="1" a="1"/>
  <c r="K392" i="1" s="1"/>
  <c r="L392" i="1" a="1"/>
  <c r="L392" i="1" s="1"/>
  <c r="G393" i="1" a="1"/>
  <c r="G393" i="1" s="1"/>
  <c r="H393" i="1" a="1"/>
  <c r="H393" i="1" s="1"/>
  <c r="I393" i="1" a="1"/>
  <c r="I393" i="1" s="1"/>
  <c r="J393" i="1" a="1"/>
  <c r="J393" i="1" s="1"/>
  <c r="K393" i="1" a="1"/>
  <c r="K393" i="1" s="1"/>
  <c r="L393" i="1" a="1"/>
  <c r="L393" i="1" s="1"/>
  <c r="G394" i="1" a="1"/>
  <c r="G394" i="1" s="1"/>
  <c r="H394" i="1" a="1"/>
  <c r="H394" i="1" s="1"/>
  <c r="I394" i="1" a="1"/>
  <c r="I394" i="1" s="1"/>
  <c r="J394" i="1" a="1"/>
  <c r="J394" i="1" s="1"/>
  <c r="K394" i="1" a="1"/>
  <c r="K394" i="1" s="1"/>
  <c r="L394" i="1" a="1"/>
  <c r="L394" i="1" s="1"/>
  <c r="G395" i="1" a="1"/>
  <c r="G395" i="1" s="1"/>
  <c r="H395" i="1" a="1"/>
  <c r="H395" i="1" s="1"/>
  <c r="I395" i="1" a="1"/>
  <c r="I395" i="1" s="1"/>
  <c r="J395" i="1" a="1"/>
  <c r="J395" i="1" s="1"/>
  <c r="K395" i="1" a="1"/>
  <c r="K395" i="1" s="1"/>
  <c r="L395" i="1" a="1"/>
  <c r="L395" i="1" s="1"/>
  <c r="G396" i="1" a="1"/>
  <c r="G396" i="1" s="1"/>
  <c r="H396" i="1" a="1"/>
  <c r="H396" i="1" s="1"/>
  <c r="I396" i="1" a="1"/>
  <c r="I396" i="1" s="1"/>
  <c r="J396" i="1" a="1"/>
  <c r="J396" i="1" s="1"/>
  <c r="K396" i="1" a="1"/>
  <c r="K396" i="1" s="1"/>
  <c r="L396" i="1" a="1"/>
  <c r="L396" i="1" s="1"/>
  <c r="G397" i="1" a="1"/>
  <c r="G397" i="1" s="1"/>
  <c r="H397" i="1" a="1"/>
  <c r="H397" i="1" s="1"/>
  <c r="I397" i="1" a="1"/>
  <c r="I397" i="1" s="1"/>
  <c r="J397" i="1" a="1"/>
  <c r="J397" i="1" s="1"/>
  <c r="K397" i="1" a="1"/>
  <c r="K397" i="1" s="1"/>
  <c r="L397" i="1" a="1"/>
  <c r="L397" i="1" s="1"/>
  <c r="G398" i="1" a="1"/>
  <c r="G398" i="1" s="1"/>
  <c r="H398" i="1" a="1"/>
  <c r="H398" i="1" s="1"/>
  <c r="I398" i="1" a="1"/>
  <c r="I398" i="1" s="1"/>
  <c r="J398" i="1" a="1"/>
  <c r="J398" i="1" s="1"/>
  <c r="K398" i="1" a="1"/>
  <c r="K398" i="1" s="1"/>
  <c r="L398" i="1" a="1"/>
  <c r="L398" i="1" s="1"/>
  <c r="G399" i="1" a="1"/>
  <c r="G399" i="1" s="1"/>
  <c r="H399" i="1" a="1"/>
  <c r="H399" i="1" s="1"/>
  <c r="I399" i="1" a="1"/>
  <c r="I399" i="1" s="1"/>
  <c r="J399" i="1" a="1"/>
  <c r="J399" i="1" s="1"/>
  <c r="K399" i="1" a="1"/>
  <c r="K399" i="1" s="1"/>
  <c r="L399" i="1" a="1"/>
  <c r="L399" i="1" s="1"/>
  <c r="G400" i="1" a="1"/>
  <c r="G400" i="1" s="1"/>
  <c r="H400" i="1" a="1"/>
  <c r="H400" i="1" s="1"/>
  <c r="I400" i="1" a="1"/>
  <c r="I400" i="1" s="1"/>
  <c r="J400" i="1" a="1"/>
  <c r="J400" i="1" s="1"/>
  <c r="K400" i="1" a="1"/>
  <c r="K400" i="1" s="1"/>
  <c r="L400" i="1" a="1"/>
  <c r="L400" i="1" s="1"/>
  <c r="G401" i="1" a="1"/>
  <c r="G401" i="1" s="1"/>
  <c r="H401" i="1" a="1"/>
  <c r="H401" i="1" s="1"/>
  <c r="I401" i="1" a="1"/>
  <c r="I401" i="1" s="1"/>
  <c r="J401" i="1" a="1"/>
  <c r="J401" i="1" s="1"/>
  <c r="K401" i="1" a="1"/>
  <c r="K401" i="1" s="1"/>
  <c r="L401" i="1" a="1"/>
  <c r="L401" i="1" s="1"/>
  <c r="G402" i="1" a="1"/>
  <c r="G402" i="1" s="1"/>
  <c r="H402" i="1" a="1"/>
  <c r="H402" i="1" s="1"/>
  <c r="I402" i="1" a="1"/>
  <c r="I402" i="1" s="1"/>
  <c r="J402" i="1" a="1"/>
  <c r="J402" i="1" s="1"/>
  <c r="K402" i="1" a="1"/>
  <c r="K402" i="1" s="1"/>
  <c r="L402" i="1" a="1"/>
  <c r="L402" i="1" s="1"/>
  <c r="G403" i="1" a="1"/>
  <c r="G403" i="1" s="1"/>
  <c r="H403" i="1" a="1"/>
  <c r="H403" i="1" s="1"/>
  <c r="I403" i="1" a="1"/>
  <c r="I403" i="1" s="1"/>
  <c r="J403" i="1" a="1"/>
  <c r="J403" i="1" s="1"/>
  <c r="K403" i="1" a="1"/>
  <c r="K403" i="1" s="1"/>
  <c r="L403" i="1" a="1"/>
  <c r="L403" i="1" s="1"/>
  <c r="G404" i="1" a="1"/>
  <c r="G404" i="1" s="1"/>
  <c r="H404" i="1" a="1"/>
  <c r="H404" i="1" s="1"/>
  <c r="I404" i="1" a="1"/>
  <c r="I404" i="1" s="1"/>
  <c r="J404" i="1" a="1"/>
  <c r="J404" i="1" s="1"/>
  <c r="K404" i="1" a="1"/>
  <c r="K404" i="1" s="1"/>
  <c r="L404" i="1" a="1"/>
  <c r="L404" i="1" s="1"/>
  <c r="G405" i="1" a="1"/>
  <c r="G405" i="1" s="1"/>
  <c r="H405" i="1" a="1"/>
  <c r="H405" i="1" s="1"/>
  <c r="I405" i="1" a="1"/>
  <c r="I405" i="1" s="1"/>
  <c r="E405" i="1" s="1"/>
  <c r="J405" i="1" a="1"/>
  <c r="J405" i="1" s="1"/>
  <c r="K405" i="1" a="1"/>
  <c r="K405" i="1" s="1"/>
  <c r="L405" i="1" a="1"/>
  <c r="L405" i="1" s="1"/>
  <c r="G406" i="1" a="1"/>
  <c r="G406" i="1" s="1"/>
  <c r="H406" i="1" a="1"/>
  <c r="H406" i="1" s="1"/>
  <c r="I406" i="1" a="1"/>
  <c r="I406" i="1" s="1"/>
  <c r="E406" i="1" s="1"/>
  <c r="J406" i="1" a="1"/>
  <c r="J406" i="1" s="1"/>
  <c r="K406" i="1" a="1"/>
  <c r="K406" i="1" s="1"/>
  <c r="L406" i="1" a="1"/>
  <c r="L406" i="1" s="1"/>
  <c r="G407" i="1" a="1"/>
  <c r="G407" i="1" s="1"/>
  <c r="H407" i="1" a="1"/>
  <c r="H407" i="1" s="1"/>
  <c r="I407" i="1" a="1"/>
  <c r="I407" i="1" s="1"/>
  <c r="E407" i="1" s="1"/>
  <c r="J407" i="1" a="1"/>
  <c r="J407" i="1" s="1"/>
  <c r="K407" i="1" a="1"/>
  <c r="K407" i="1" s="1"/>
  <c r="L407" i="1" a="1"/>
  <c r="L407" i="1" s="1"/>
  <c r="G408" i="1" a="1"/>
  <c r="G408" i="1" s="1"/>
  <c r="H408" i="1" a="1"/>
  <c r="H408" i="1" s="1"/>
  <c r="I408" i="1" a="1"/>
  <c r="I408" i="1" s="1"/>
  <c r="J408" i="1" a="1"/>
  <c r="J408" i="1" s="1"/>
  <c r="K408" i="1" a="1"/>
  <c r="K408" i="1" s="1"/>
  <c r="L408" i="1" a="1"/>
  <c r="L408" i="1" s="1"/>
  <c r="G409" i="1" a="1"/>
  <c r="G409" i="1" s="1"/>
  <c r="H409" i="1" a="1"/>
  <c r="H409" i="1" s="1"/>
  <c r="I409" i="1" a="1"/>
  <c r="I409" i="1" s="1"/>
  <c r="E409" i="1" s="1"/>
  <c r="J409" i="1" a="1"/>
  <c r="J409" i="1" s="1"/>
  <c r="K409" i="1" a="1"/>
  <c r="K409" i="1" s="1"/>
  <c r="L409" i="1" a="1"/>
  <c r="L409" i="1" s="1"/>
  <c r="G410" i="1" a="1"/>
  <c r="G410" i="1" s="1"/>
  <c r="H410" i="1" a="1"/>
  <c r="H410" i="1" s="1"/>
  <c r="I410" i="1" a="1"/>
  <c r="I410" i="1" s="1"/>
  <c r="J410" i="1" a="1"/>
  <c r="J410" i="1" s="1"/>
  <c r="K410" i="1" a="1"/>
  <c r="K410" i="1" s="1"/>
  <c r="L410" i="1" a="1"/>
  <c r="L410" i="1" s="1"/>
  <c r="G411" i="1" a="1"/>
  <c r="G411" i="1" s="1"/>
  <c r="H411" i="1" a="1"/>
  <c r="H411" i="1" s="1"/>
  <c r="I411" i="1" a="1"/>
  <c r="I411" i="1" s="1"/>
  <c r="E411" i="1" s="1"/>
  <c r="J411" i="1" a="1"/>
  <c r="J411" i="1" s="1"/>
  <c r="K411" i="1" a="1"/>
  <c r="K411" i="1" s="1"/>
  <c r="L411" i="1" a="1"/>
  <c r="L411" i="1" s="1"/>
  <c r="G412" i="1" a="1"/>
  <c r="G412" i="1" s="1"/>
  <c r="H412" i="1" a="1"/>
  <c r="H412" i="1" s="1"/>
  <c r="I412" i="1" a="1"/>
  <c r="I412" i="1" s="1"/>
  <c r="J412" i="1" a="1"/>
  <c r="J412" i="1" s="1"/>
  <c r="K412" i="1" a="1"/>
  <c r="K412" i="1" s="1"/>
  <c r="L412" i="1" a="1"/>
  <c r="L412" i="1" s="1"/>
  <c r="G413" i="1" a="1"/>
  <c r="G413" i="1" s="1"/>
  <c r="H413" i="1" a="1"/>
  <c r="H413" i="1" s="1"/>
  <c r="I413" i="1" a="1"/>
  <c r="I413" i="1" s="1"/>
  <c r="J413" i="1" a="1"/>
  <c r="J413" i="1" s="1"/>
  <c r="K413" i="1" a="1"/>
  <c r="K413" i="1" s="1"/>
  <c r="L413" i="1" a="1"/>
  <c r="L413" i="1" s="1"/>
  <c r="G414" i="1" a="1"/>
  <c r="G414" i="1" s="1"/>
  <c r="H414" i="1" a="1"/>
  <c r="H414" i="1" s="1"/>
  <c r="I414" i="1" a="1"/>
  <c r="I414" i="1" s="1"/>
  <c r="J414" i="1" a="1"/>
  <c r="J414" i="1" s="1"/>
  <c r="K414" i="1" a="1"/>
  <c r="K414" i="1" s="1"/>
  <c r="L414" i="1" a="1"/>
  <c r="L414" i="1" s="1"/>
  <c r="G415" i="1" a="1"/>
  <c r="G415" i="1" s="1"/>
  <c r="H415" i="1" a="1"/>
  <c r="H415" i="1" s="1"/>
  <c r="I415" i="1" a="1"/>
  <c r="I415" i="1" s="1"/>
  <c r="E415" i="1" s="1"/>
  <c r="J415" i="1" a="1"/>
  <c r="J415" i="1" s="1"/>
  <c r="K415" i="1" a="1"/>
  <c r="K415" i="1" s="1"/>
  <c r="L415" i="1" a="1"/>
  <c r="L415" i="1" s="1"/>
  <c r="G416" i="1" a="1"/>
  <c r="G416" i="1" s="1"/>
  <c r="H416" i="1" a="1"/>
  <c r="H416" i="1" s="1"/>
  <c r="I416" i="1" a="1"/>
  <c r="I416" i="1" s="1"/>
  <c r="J416" i="1" a="1"/>
  <c r="J416" i="1" s="1"/>
  <c r="K416" i="1" a="1"/>
  <c r="K416" i="1" s="1"/>
  <c r="L416" i="1" a="1"/>
  <c r="L416" i="1" s="1"/>
  <c r="G417" i="1" a="1"/>
  <c r="G417" i="1" s="1"/>
  <c r="H417" i="1" a="1"/>
  <c r="H417" i="1" s="1"/>
  <c r="I417" i="1" a="1"/>
  <c r="I417" i="1" s="1"/>
  <c r="J417" i="1" a="1"/>
  <c r="J417" i="1" s="1"/>
  <c r="K417" i="1" a="1"/>
  <c r="K417" i="1" s="1"/>
  <c r="L417" i="1" a="1"/>
  <c r="L417" i="1" s="1"/>
  <c r="G418" i="1" a="1"/>
  <c r="G418" i="1" s="1"/>
  <c r="H418" i="1" a="1"/>
  <c r="H418" i="1" s="1"/>
  <c r="I418" i="1" a="1"/>
  <c r="I418" i="1" s="1"/>
  <c r="J418" i="1" a="1"/>
  <c r="J418" i="1" s="1"/>
  <c r="K418" i="1" a="1"/>
  <c r="K418" i="1" s="1"/>
  <c r="L418" i="1" a="1"/>
  <c r="L418" i="1" s="1"/>
  <c r="G419" i="1" a="1"/>
  <c r="G419" i="1" s="1"/>
  <c r="H419" i="1" a="1"/>
  <c r="H419" i="1" s="1"/>
  <c r="I419" i="1" a="1"/>
  <c r="I419" i="1" s="1"/>
  <c r="J419" i="1" a="1"/>
  <c r="J419" i="1" s="1"/>
  <c r="K419" i="1" a="1"/>
  <c r="K419" i="1" s="1"/>
  <c r="L419" i="1" a="1"/>
  <c r="L419" i="1" s="1"/>
  <c r="G420" i="1" a="1"/>
  <c r="G420" i="1" s="1"/>
  <c r="H420" i="1" a="1"/>
  <c r="H420" i="1" s="1"/>
  <c r="I420" i="1" a="1"/>
  <c r="I420" i="1" s="1"/>
  <c r="J420" i="1" a="1"/>
  <c r="J420" i="1" s="1"/>
  <c r="K420" i="1" a="1"/>
  <c r="K420" i="1" s="1"/>
  <c r="L420" i="1" a="1"/>
  <c r="L420" i="1" s="1"/>
  <c r="G421" i="1" a="1"/>
  <c r="G421" i="1" s="1"/>
  <c r="H421" i="1" a="1"/>
  <c r="H421" i="1" s="1"/>
  <c r="I421" i="1" a="1"/>
  <c r="I421" i="1" s="1"/>
  <c r="E421" i="1" s="1"/>
  <c r="J421" i="1" a="1"/>
  <c r="J421" i="1" s="1"/>
  <c r="K421" i="1" a="1"/>
  <c r="K421" i="1" s="1"/>
  <c r="L421" i="1" a="1"/>
  <c r="L421" i="1" s="1"/>
  <c r="G422" i="1" a="1"/>
  <c r="G422" i="1" s="1"/>
  <c r="H422" i="1" a="1"/>
  <c r="H422" i="1" s="1"/>
  <c r="I422" i="1" a="1"/>
  <c r="I422" i="1" s="1"/>
  <c r="J422" i="1" a="1"/>
  <c r="J422" i="1" s="1"/>
  <c r="K422" i="1" a="1"/>
  <c r="K422" i="1" s="1"/>
  <c r="L422" i="1" a="1"/>
  <c r="L422" i="1" s="1"/>
  <c r="G423" i="1" a="1"/>
  <c r="G423" i="1" s="1"/>
  <c r="H423" i="1" a="1"/>
  <c r="H423" i="1" s="1"/>
  <c r="I423" i="1" a="1"/>
  <c r="I423" i="1" s="1"/>
  <c r="E423" i="1" s="1"/>
  <c r="J423" i="1" a="1"/>
  <c r="J423" i="1" s="1"/>
  <c r="K423" i="1" a="1"/>
  <c r="K423" i="1" s="1"/>
  <c r="L423" i="1" a="1"/>
  <c r="L423" i="1" s="1"/>
  <c r="G424" i="1" a="1"/>
  <c r="G424" i="1" s="1"/>
  <c r="H424" i="1" a="1"/>
  <c r="H424" i="1" s="1"/>
  <c r="I424" i="1" a="1"/>
  <c r="I424" i="1" s="1"/>
  <c r="J424" i="1" a="1"/>
  <c r="J424" i="1" s="1"/>
  <c r="K424" i="1" a="1"/>
  <c r="K424" i="1" s="1"/>
  <c r="L424" i="1" a="1"/>
  <c r="L424" i="1" s="1"/>
  <c r="G425" i="1" a="1"/>
  <c r="G425" i="1" s="1"/>
  <c r="H425" i="1" a="1"/>
  <c r="H425" i="1" s="1"/>
  <c r="I425" i="1" a="1"/>
  <c r="I425" i="1" s="1"/>
  <c r="J425" i="1" a="1"/>
  <c r="J425" i="1" s="1"/>
  <c r="K425" i="1" a="1"/>
  <c r="K425" i="1" s="1"/>
  <c r="L425" i="1" a="1"/>
  <c r="L425" i="1" s="1"/>
  <c r="G426" i="1" a="1"/>
  <c r="G426" i="1" s="1"/>
  <c r="H426" i="1" a="1"/>
  <c r="H426" i="1" s="1"/>
  <c r="I426" i="1" a="1"/>
  <c r="I426" i="1" s="1"/>
  <c r="E426" i="1" s="1"/>
  <c r="J426" i="1" a="1"/>
  <c r="J426" i="1" s="1"/>
  <c r="K426" i="1" a="1"/>
  <c r="K426" i="1" s="1"/>
  <c r="L426" i="1" a="1"/>
  <c r="L426" i="1" s="1"/>
  <c r="G427" i="1" a="1"/>
  <c r="G427" i="1" s="1"/>
  <c r="H427" i="1" a="1"/>
  <c r="H427" i="1" s="1"/>
  <c r="I427" i="1" a="1"/>
  <c r="I427" i="1" s="1"/>
  <c r="J427" i="1" a="1"/>
  <c r="J427" i="1" s="1"/>
  <c r="K427" i="1" a="1"/>
  <c r="K427" i="1" s="1"/>
  <c r="L427" i="1" a="1"/>
  <c r="L427" i="1" s="1"/>
  <c r="G428" i="1" a="1"/>
  <c r="G428" i="1" s="1"/>
  <c r="H428" i="1" a="1"/>
  <c r="H428" i="1" s="1"/>
  <c r="I428" i="1" a="1"/>
  <c r="I428" i="1" s="1"/>
  <c r="J428" i="1" a="1"/>
  <c r="J428" i="1" s="1"/>
  <c r="K428" i="1" a="1"/>
  <c r="K428" i="1" s="1"/>
  <c r="L428" i="1" a="1"/>
  <c r="L428" i="1" s="1"/>
  <c r="G429" i="1" a="1"/>
  <c r="G429" i="1" s="1"/>
  <c r="H429" i="1" a="1"/>
  <c r="H429" i="1" s="1"/>
  <c r="I429" i="1" a="1"/>
  <c r="I429" i="1" s="1"/>
  <c r="J429" i="1" a="1"/>
  <c r="J429" i="1" s="1"/>
  <c r="K429" i="1" a="1"/>
  <c r="K429" i="1" s="1"/>
  <c r="L429" i="1" a="1"/>
  <c r="L429" i="1" s="1"/>
  <c r="G430" i="1" a="1"/>
  <c r="G430" i="1" s="1"/>
  <c r="H430" i="1" a="1"/>
  <c r="H430" i="1" s="1"/>
  <c r="I430" i="1" a="1"/>
  <c r="I430" i="1" s="1"/>
  <c r="J430" i="1" a="1"/>
  <c r="J430" i="1" s="1"/>
  <c r="K430" i="1" a="1"/>
  <c r="K430" i="1" s="1"/>
  <c r="L430" i="1" a="1"/>
  <c r="L430" i="1" s="1"/>
  <c r="G431" i="1" a="1"/>
  <c r="G431" i="1" s="1"/>
  <c r="H431" i="1" a="1"/>
  <c r="H431" i="1" s="1"/>
  <c r="I431" i="1" a="1"/>
  <c r="I431" i="1" s="1"/>
  <c r="E431" i="1" s="1"/>
  <c r="J431" i="1" a="1"/>
  <c r="J431" i="1" s="1"/>
  <c r="K431" i="1" a="1"/>
  <c r="K431" i="1" s="1"/>
  <c r="L431" i="1" a="1"/>
  <c r="L431" i="1" s="1"/>
  <c r="G432" i="1" a="1"/>
  <c r="G432" i="1" s="1"/>
  <c r="H432" i="1" a="1"/>
  <c r="H432" i="1" s="1"/>
  <c r="I432" i="1" a="1"/>
  <c r="I432" i="1" s="1"/>
  <c r="J432" i="1" a="1"/>
  <c r="J432" i="1" s="1"/>
  <c r="K432" i="1" a="1"/>
  <c r="K432" i="1" s="1"/>
  <c r="L432" i="1" a="1"/>
  <c r="L432" i="1" s="1"/>
  <c r="G433" i="1" a="1"/>
  <c r="G433" i="1" s="1"/>
  <c r="H433" i="1" a="1"/>
  <c r="H433" i="1" s="1"/>
  <c r="I433" i="1" a="1"/>
  <c r="I433" i="1" s="1"/>
  <c r="E433" i="1" s="1"/>
  <c r="J433" i="1" a="1"/>
  <c r="J433" i="1" s="1"/>
  <c r="K433" i="1" a="1"/>
  <c r="K433" i="1" s="1"/>
  <c r="L433" i="1" a="1"/>
  <c r="L433" i="1" s="1"/>
  <c r="G434" i="1" a="1"/>
  <c r="G434" i="1" s="1"/>
  <c r="H434" i="1" a="1"/>
  <c r="H434" i="1" s="1"/>
  <c r="I434" i="1" a="1"/>
  <c r="I434" i="1" s="1"/>
  <c r="J434" i="1" a="1"/>
  <c r="J434" i="1" s="1"/>
  <c r="K434" i="1" a="1"/>
  <c r="K434" i="1" s="1"/>
  <c r="L434" i="1" a="1"/>
  <c r="L434" i="1" s="1"/>
  <c r="G435" i="1" a="1"/>
  <c r="G435" i="1" s="1"/>
  <c r="H435" i="1" a="1"/>
  <c r="H435" i="1" s="1"/>
  <c r="I435" i="1" a="1"/>
  <c r="I435" i="1" s="1"/>
  <c r="J435" i="1" a="1"/>
  <c r="J435" i="1" s="1"/>
  <c r="K435" i="1" a="1"/>
  <c r="K435" i="1" s="1"/>
  <c r="L435" i="1" a="1"/>
  <c r="L435" i="1" s="1"/>
  <c r="G436" i="1" a="1"/>
  <c r="G436" i="1" s="1"/>
  <c r="H436" i="1" a="1"/>
  <c r="H436" i="1" s="1"/>
  <c r="I436" i="1" a="1"/>
  <c r="I436" i="1" s="1"/>
  <c r="J436" i="1" a="1"/>
  <c r="J436" i="1" s="1"/>
  <c r="K436" i="1" a="1"/>
  <c r="K436" i="1" s="1"/>
  <c r="L436" i="1" a="1"/>
  <c r="L436" i="1" s="1"/>
  <c r="G437" i="1" a="1"/>
  <c r="G437" i="1" s="1"/>
  <c r="H437" i="1" a="1"/>
  <c r="H437" i="1" s="1"/>
  <c r="I437" i="1" a="1"/>
  <c r="I437" i="1" s="1"/>
  <c r="J437" i="1" a="1"/>
  <c r="J437" i="1" s="1"/>
  <c r="K437" i="1" a="1"/>
  <c r="K437" i="1" s="1"/>
  <c r="L437" i="1" a="1"/>
  <c r="L437" i="1" s="1"/>
  <c r="G438" i="1" a="1"/>
  <c r="G438" i="1" s="1"/>
  <c r="H438" i="1" a="1"/>
  <c r="H438" i="1" s="1"/>
  <c r="I438" i="1" a="1"/>
  <c r="I438" i="1" s="1"/>
  <c r="J438" i="1" a="1"/>
  <c r="J438" i="1" s="1"/>
  <c r="K438" i="1" a="1"/>
  <c r="K438" i="1" s="1"/>
  <c r="L438" i="1" a="1"/>
  <c r="L438" i="1" s="1"/>
  <c r="G439" i="1" a="1"/>
  <c r="G439" i="1" s="1"/>
  <c r="H439" i="1" a="1"/>
  <c r="H439" i="1" s="1"/>
  <c r="I439" i="1" a="1"/>
  <c r="I439" i="1" s="1"/>
  <c r="J439" i="1" a="1"/>
  <c r="J439" i="1" s="1"/>
  <c r="K439" i="1" a="1"/>
  <c r="K439" i="1" s="1"/>
  <c r="L439" i="1" a="1"/>
  <c r="L439" i="1" s="1"/>
  <c r="G440" i="1" a="1"/>
  <c r="G440" i="1" s="1"/>
  <c r="H440" i="1" a="1"/>
  <c r="H440" i="1" s="1"/>
  <c r="I440" i="1" a="1"/>
  <c r="I440" i="1" s="1"/>
  <c r="J440" i="1" a="1"/>
  <c r="J440" i="1" s="1"/>
  <c r="K440" i="1" a="1"/>
  <c r="K440" i="1" s="1"/>
  <c r="L440" i="1" a="1"/>
  <c r="L440" i="1" s="1"/>
  <c r="G441" i="1" a="1"/>
  <c r="G441" i="1" s="1"/>
  <c r="H441" i="1" a="1"/>
  <c r="H441" i="1" s="1"/>
  <c r="I441" i="1" a="1"/>
  <c r="I441" i="1" s="1"/>
  <c r="J441" i="1" a="1"/>
  <c r="J441" i="1" s="1"/>
  <c r="K441" i="1" a="1"/>
  <c r="K441" i="1" s="1"/>
  <c r="L441" i="1" a="1"/>
  <c r="L441" i="1" s="1"/>
  <c r="G442" i="1" a="1"/>
  <c r="G442" i="1" s="1"/>
  <c r="H442" i="1" a="1"/>
  <c r="H442" i="1" s="1"/>
  <c r="I442" i="1" a="1"/>
  <c r="I442" i="1" s="1"/>
  <c r="J442" i="1" a="1"/>
  <c r="J442" i="1" s="1"/>
  <c r="K442" i="1" a="1"/>
  <c r="K442" i="1" s="1"/>
  <c r="L442" i="1" a="1"/>
  <c r="L442" i="1" s="1"/>
  <c r="G443" i="1" a="1"/>
  <c r="G443" i="1" s="1"/>
  <c r="H443" i="1" a="1"/>
  <c r="H443" i="1" s="1"/>
  <c r="I443" i="1" a="1"/>
  <c r="I443" i="1" s="1"/>
  <c r="J443" i="1" a="1"/>
  <c r="J443" i="1" s="1"/>
  <c r="K443" i="1" a="1"/>
  <c r="K443" i="1" s="1"/>
  <c r="L443" i="1" a="1"/>
  <c r="L443" i="1" s="1"/>
  <c r="G444" i="1" a="1"/>
  <c r="G444" i="1" s="1"/>
  <c r="H444" i="1" a="1"/>
  <c r="H444" i="1" s="1"/>
  <c r="I444" i="1" a="1"/>
  <c r="I444" i="1" s="1"/>
  <c r="J444" i="1" a="1"/>
  <c r="J444" i="1" s="1"/>
  <c r="K444" i="1" a="1"/>
  <c r="K444" i="1" s="1"/>
  <c r="L444" i="1" a="1"/>
  <c r="L444" i="1" s="1"/>
  <c r="G445" i="1" a="1"/>
  <c r="G445" i="1" s="1"/>
  <c r="H445" i="1" a="1"/>
  <c r="H445" i="1" s="1"/>
  <c r="I445" i="1" a="1"/>
  <c r="I445" i="1" s="1"/>
  <c r="J445" i="1" a="1"/>
  <c r="J445" i="1" s="1"/>
  <c r="K445" i="1" a="1"/>
  <c r="K445" i="1" s="1"/>
  <c r="L445" i="1" a="1"/>
  <c r="L445" i="1" s="1"/>
  <c r="G446" i="1" a="1"/>
  <c r="G446" i="1" s="1"/>
  <c r="H446" i="1" a="1"/>
  <c r="H446" i="1" s="1"/>
  <c r="I446" i="1" a="1"/>
  <c r="I446" i="1" s="1"/>
  <c r="J446" i="1" a="1"/>
  <c r="J446" i="1" s="1"/>
  <c r="K446" i="1" a="1"/>
  <c r="K446" i="1" s="1"/>
  <c r="L446" i="1" a="1"/>
  <c r="L446" i="1" s="1"/>
  <c r="G447" i="1" a="1"/>
  <c r="G447" i="1" s="1"/>
  <c r="H447" i="1" a="1"/>
  <c r="H447" i="1" s="1"/>
  <c r="I447" i="1" a="1"/>
  <c r="I447" i="1" s="1"/>
  <c r="J447" i="1" a="1"/>
  <c r="J447" i="1" s="1"/>
  <c r="K447" i="1" a="1"/>
  <c r="K447" i="1" s="1"/>
  <c r="L447" i="1" a="1"/>
  <c r="L447" i="1" s="1"/>
  <c r="G448" i="1" a="1"/>
  <c r="G448" i="1" s="1"/>
  <c r="H448" i="1" a="1"/>
  <c r="H448" i="1" s="1"/>
  <c r="I448" i="1" a="1"/>
  <c r="I448" i="1" s="1"/>
  <c r="J448" i="1" a="1"/>
  <c r="J448" i="1" s="1"/>
  <c r="K448" i="1" a="1"/>
  <c r="K448" i="1" s="1"/>
  <c r="L448" i="1" a="1"/>
  <c r="L448" i="1" s="1"/>
  <c r="G449" i="1" a="1"/>
  <c r="G449" i="1" s="1"/>
  <c r="H449" i="1" a="1"/>
  <c r="H449" i="1" s="1"/>
  <c r="I449" i="1" a="1"/>
  <c r="I449" i="1" s="1"/>
  <c r="J449" i="1" a="1"/>
  <c r="J449" i="1" s="1"/>
  <c r="K449" i="1" a="1"/>
  <c r="K449" i="1" s="1"/>
  <c r="L449" i="1" a="1"/>
  <c r="L449" i="1" s="1"/>
  <c r="G450" i="1" a="1"/>
  <c r="G450" i="1" s="1"/>
  <c r="H450" i="1" a="1"/>
  <c r="H450" i="1" s="1"/>
  <c r="I450" i="1" a="1"/>
  <c r="I450" i="1" s="1"/>
  <c r="J450" i="1" a="1"/>
  <c r="J450" i="1" s="1"/>
  <c r="K450" i="1" a="1"/>
  <c r="K450" i="1" s="1"/>
  <c r="L450" i="1" a="1"/>
  <c r="L450" i="1" s="1"/>
  <c r="G451" i="1" a="1"/>
  <c r="G451" i="1" s="1"/>
  <c r="H451" i="1" a="1"/>
  <c r="H451" i="1" s="1"/>
  <c r="I451" i="1" a="1"/>
  <c r="I451" i="1" s="1"/>
  <c r="J451" i="1" a="1"/>
  <c r="J451" i="1" s="1"/>
  <c r="K451" i="1" a="1"/>
  <c r="K451" i="1" s="1"/>
  <c r="L451" i="1" a="1"/>
  <c r="L451" i="1" s="1"/>
  <c r="G452" i="1" a="1"/>
  <c r="G452" i="1" s="1"/>
  <c r="H452" i="1" a="1"/>
  <c r="H452" i="1" s="1"/>
  <c r="I452" i="1" a="1"/>
  <c r="I452" i="1" s="1"/>
  <c r="J452" i="1" a="1"/>
  <c r="J452" i="1" s="1"/>
  <c r="K452" i="1" a="1"/>
  <c r="K452" i="1" s="1"/>
  <c r="L452" i="1" a="1"/>
  <c r="L452" i="1" s="1"/>
  <c r="G453" i="1" a="1"/>
  <c r="G453" i="1" s="1"/>
  <c r="H453" i="1" a="1"/>
  <c r="H453" i="1" s="1"/>
  <c r="I453" i="1" a="1"/>
  <c r="I453" i="1" s="1"/>
  <c r="J453" i="1" a="1"/>
  <c r="J453" i="1" s="1"/>
  <c r="K453" i="1" a="1"/>
  <c r="K453" i="1" s="1"/>
  <c r="L453" i="1" a="1"/>
  <c r="L453" i="1" s="1"/>
  <c r="G454" i="1" a="1"/>
  <c r="G454" i="1" s="1"/>
  <c r="H454" i="1" a="1"/>
  <c r="H454" i="1" s="1"/>
  <c r="I454" i="1" a="1"/>
  <c r="I454" i="1" s="1"/>
  <c r="J454" i="1" a="1"/>
  <c r="J454" i="1" s="1"/>
  <c r="K454" i="1" a="1"/>
  <c r="K454" i="1" s="1"/>
  <c r="L454" i="1" a="1"/>
  <c r="L454" i="1" s="1"/>
  <c r="G455" i="1" a="1"/>
  <c r="G455" i="1" s="1"/>
  <c r="H455" i="1" a="1"/>
  <c r="H455" i="1" s="1"/>
  <c r="I455" i="1" a="1"/>
  <c r="I455" i="1" s="1"/>
  <c r="J455" i="1" a="1"/>
  <c r="J455" i="1" s="1"/>
  <c r="K455" i="1" a="1"/>
  <c r="K455" i="1" s="1"/>
  <c r="L455" i="1" a="1"/>
  <c r="L455" i="1" s="1"/>
  <c r="G456" i="1" a="1"/>
  <c r="G456" i="1" s="1"/>
  <c r="H456" i="1" a="1"/>
  <c r="H456" i="1" s="1"/>
  <c r="I456" i="1" a="1"/>
  <c r="I456" i="1" s="1"/>
  <c r="J456" i="1" a="1"/>
  <c r="J456" i="1" s="1"/>
  <c r="K456" i="1" a="1"/>
  <c r="K456" i="1" s="1"/>
  <c r="L456" i="1" a="1"/>
  <c r="L456" i="1" s="1"/>
  <c r="G457" i="1" a="1"/>
  <c r="G457" i="1" s="1"/>
  <c r="H457" i="1" a="1"/>
  <c r="H457" i="1" s="1"/>
  <c r="I457" i="1" a="1"/>
  <c r="I457" i="1" s="1"/>
  <c r="J457" i="1" a="1"/>
  <c r="J457" i="1" s="1"/>
  <c r="K457" i="1" a="1"/>
  <c r="K457" i="1" s="1"/>
  <c r="L457" i="1" a="1"/>
  <c r="L457" i="1" s="1"/>
  <c r="G458" i="1" a="1"/>
  <c r="G458" i="1" s="1"/>
  <c r="H458" i="1" a="1"/>
  <c r="H458" i="1" s="1"/>
  <c r="I458" i="1" a="1"/>
  <c r="I458" i="1" s="1"/>
  <c r="J458" i="1" a="1"/>
  <c r="J458" i="1" s="1"/>
  <c r="K458" i="1" a="1"/>
  <c r="K458" i="1" s="1"/>
  <c r="L458" i="1" a="1"/>
  <c r="L458" i="1" s="1"/>
  <c r="G459" i="1" a="1"/>
  <c r="G459" i="1" s="1"/>
  <c r="H459" i="1" a="1"/>
  <c r="H459" i="1" s="1"/>
  <c r="I459" i="1" a="1"/>
  <c r="I459" i="1" s="1"/>
  <c r="J459" i="1" a="1"/>
  <c r="J459" i="1" s="1"/>
  <c r="K459" i="1" a="1"/>
  <c r="K459" i="1" s="1"/>
  <c r="L459" i="1" a="1"/>
  <c r="L459" i="1" s="1"/>
  <c r="G460" i="1" a="1"/>
  <c r="G460" i="1" s="1"/>
  <c r="H460" i="1" a="1"/>
  <c r="H460" i="1" s="1"/>
  <c r="I460" i="1" a="1"/>
  <c r="I460" i="1" s="1"/>
  <c r="J460" i="1" a="1"/>
  <c r="J460" i="1" s="1"/>
  <c r="K460" i="1" a="1"/>
  <c r="K460" i="1" s="1"/>
  <c r="L460" i="1" a="1"/>
  <c r="L460" i="1" s="1"/>
  <c r="G461" i="1" a="1"/>
  <c r="G461" i="1" s="1"/>
  <c r="H461" i="1" a="1"/>
  <c r="H461" i="1" s="1"/>
  <c r="I461" i="1" a="1"/>
  <c r="I461" i="1" s="1"/>
  <c r="J461" i="1" a="1"/>
  <c r="J461" i="1" s="1"/>
  <c r="K461" i="1" a="1"/>
  <c r="K461" i="1" s="1"/>
  <c r="L461" i="1" a="1"/>
  <c r="L461" i="1" s="1"/>
  <c r="G462" i="1" a="1"/>
  <c r="G462" i="1" s="1"/>
  <c r="H462" i="1" a="1"/>
  <c r="H462" i="1" s="1"/>
  <c r="I462" i="1" a="1"/>
  <c r="I462" i="1" s="1"/>
  <c r="J462" i="1" a="1"/>
  <c r="J462" i="1" s="1"/>
  <c r="K462" i="1" a="1"/>
  <c r="K462" i="1" s="1"/>
  <c r="L462" i="1" a="1"/>
  <c r="L462" i="1" s="1"/>
  <c r="G463" i="1" a="1"/>
  <c r="G463" i="1" s="1"/>
  <c r="H463" i="1" a="1"/>
  <c r="H463" i="1" s="1"/>
  <c r="I463" i="1" a="1"/>
  <c r="I463" i="1" s="1"/>
  <c r="E463" i="1" s="1"/>
  <c r="J463" i="1" a="1"/>
  <c r="J463" i="1" s="1"/>
  <c r="K463" i="1" a="1"/>
  <c r="K463" i="1" s="1"/>
  <c r="L463" i="1" a="1"/>
  <c r="L463" i="1" s="1"/>
  <c r="G464" i="1" a="1"/>
  <c r="G464" i="1" s="1"/>
  <c r="H464" i="1" a="1"/>
  <c r="H464" i="1" s="1"/>
  <c r="I464" i="1" a="1"/>
  <c r="I464" i="1" s="1"/>
  <c r="J464" i="1" a="1"/>
  <c r="J464" i="1" s="1"/>
  <c r="K464" i="1" a="1"/>
  <c r="K464" i="1" s="1"/>
  <c r="L464" i="1" a="1"/>
  <c r="L464" i="1" s="1"/>
  <c r="G465" i="1" a="1"/>
  <c r="G465" i="1" s="1"/>
  <c r="H465" i="1" a="1"/>
  <c r="H465" i="1" s="1"/>
  <c r="I465" i="1" a="1"/>
  <c r="I465" i="1" s="1"/>
  <c r="J465" i="1" a="1"/>
  <c r="J465" i="1" s="1"/>
  <c r="K465" i="1" a="1"/>
  <c r="K465" i="1" s="1"/>
  <c r="L465" i="1" a="1"/>
  <c r="L465" i="1" s="1"/>
  <c r="G466" i="1" a="1"/>
  <c r="G466" i="1" s="1"/>
  <c r="H466" i="1" a="1"/>
  <c r="H466" i="1" s="1"/>
  <c r="I466" i="1" a="1"/>
  <c r="I466" i="1" s="1"/>
  <c r="J466" i="1" a="1"/>
  <c r="J466" i="1" s="1"/>
  <c r="K466" i="1" a="1"/>
  <c r="K466" i="1" s="1"/>
  <c r="L466" i="1" a="1"/>
  <c r="L466" i="1" s="1"/>
  <c r="G467" i="1" a="1"/>
  <c r="G467" i="1" s="1"/>
  <c r="H467" i="1" a="1"/>
  <c r="H467" i="1" s="1"/>
  <c r="I467" i="1" a="1"/>
  <c r="I467" i="1" s="1"/>
  <c r="E467" i="1" s="1"/>
  <c r="J467" i="1" a="1"/>
  <c r="J467" i="1" s="1"/>
  <c r="K467" i="1" a="1"/>
  <c r="K467" i="1" s="1"/>
  <c r="L467" i="1" a="1"/>
  <c r="L467" i="1" s="1"/>
  <c r="G468" i="1" a="1"/>
  <c r="G468" i="1" s="1"/>
  <c r="H468" i="1" a="1"/>
  <c r="H468" i="1" s="1"/>
  <c r="I468" i="1" a="1"/>
  <c r="I468" i="1" s="1"/>
  <c r="J468" i="1" a="1"/>
  <c r="J468" i="1" s="1"/>
  <c r="K468" i="1" a="1"/>
  <c r="K468" i="1" s="1"/>
  <c r="L468" i="1" a="1"/>
  <c r="L468" i="1" s="1"/>
  <c r="G469" i="1" a="1"/>
  <c r="G469" i="1" s="1"/>
  <c r="H469" i="1" a="1"/>
  <c r="H469" i="1" s="1"/>
  <c r="I469" i="1" a="1"/>
  <c r="I469" i="1" s="1"/>
  <c r="E469" i="1" s="1"/>
  <c r="J469" i="1" a="1"/>
  <c r="J469" i="1" s="1"/>
  <c r="K469" i="1" a="1"/>
  <c r="K469" i="1" s="1"/>
  <c r="L469" i="1" a="1"/>
  <c r="L469" i="1" s="1"/>
  <c r="G470" i="1" a="1"/>
  <c r="G470" i="1" s="1"/>
  <c r="H470" i="1" a="1"/>
  <c r="H470" i="1" s="1"/>
  <c r="I470" i="1" a="1"/>
  <c r="I470" i="1" s="1"/>
  <c r="J470" i="1" a="1"/>
  <c r="J470" i="1" s="1"/>
  <c r="K470" i="1" a="1"/>
  <c r="K470" i="1" s="1"/>
  <c r="L470" i="1" a="1"/>
  <c r="L470" i="1" s="1"/>
  <c r="G471" i="1" a="1"/>
  <c r="G471" i="1" s="1"/>
  <c r="H471" i="1" a="1"/>
  <c r="H471" i="1" s="1"/>
  <c r="I471" i="1" a="1"/>
  <c r="I471" i="1" s="1"/>
  <c r="J471" i="1" a="1"/>
  <c r="J471" i="1" s="1"/>
  <c r="K471" i="1" a="1"/>
  <c r="K471" i="1" s="1"/>
  <c r="L471" i="1" a="1"/>
  <c r="L471" i="1" s="1"/>
  <c r="G472" i="1" a="1"/>
  <c r="G472" i="1" s="1"/>
  <c r="H472" i="1" a="1"/>
  <c r="H472" i="1" s="1"/>
  <c r="I472" i="1" a="1"/>
  <c r="I472" i="1" s="1"/>
  <c r="J472" i="1" a="1"/>
  <c r="J472" i="1" s="1"/>
  <c r="K472" i="1" a="1"/>
  <c r="K472" i="1" s="1"/>
  <c r="L472" i="1" a="1"/>
  <c r="L472" i="1" s="1"/>
  <c r="G473" i="1" a="1"/>
  <c r="G473" i="1" s="1"/>
  <c r="H473" i="1" a="1"/>
  <c r="H473" i="1" s="1"/>
  <c r="I473" i="1" a="1"/>
  <c r="I473" i="1" s="1"/>
  <c r="J473" i="1" a="1"/>
  <c r="J473" i="1" s="1"/>
  <c r="K473" i="1" a="1"/>
  <c r="K473" i="1" s="1"/>
  <c r="L473" i="1" a="1"/>
  <c r="L473" i="1" s="1"/>
  <c r="G474" i="1" a="1"/>
  <c r="G474" i="1" s="1"/>
  <c r="H474" i="1" a="1"/>
  <c r="H474" i="1" s="1"/>
  <c r="I474" i="1" a="1"/>
  <c r="I474" i="1" s="1"/>
  <c r="J474" i="1" a="1"/>
  <c r="J474" i="1" s="1"/>
  <c r="K474" i="1" a="1"/>
  <c r="K474" i="1" s="1"/>
  <c r="L474" i="1" a="1"/>
  <c r="L474" i="1" s="1"/>
  <c r="G475" i="1" a="1"/>
  <c r="G475" i="1" s="1"/>
  <c r="H475" i="1" a="1"/>
  <c r="H475" i="1" s="1"/>
  <c r="I475" i="1" a="1"/>
  <c r="I475" i="1" s="1"/>
  <c r="J475" i="1" a="1"/>
  <c r="J475" i="1" s="1"/>
  <c r="K475" i="1" a="1"/>
  <c r="K475" i="1" s="1"/>
  <c r="L475" i="1" a="1"/>
  <c r="L475" i="1" s="1"/>
  <c r="G476" i="1" a="1"/>
  <c r="G476" i="1" s="1"/>
  <c r="H476" i="1" a="1"/>
  <c r="H476" i="1" s="1"/>
  <c r="I476" i="1" a="1"/>
  <c r="I476" i="1" s="1"/>
  <c r="J476" i="1" a="1"/>
  <c r="J476" i="1" s="1"/>
  <c r="K476" i="1" a="1"/>
  <c r="K476" i="1" s="1"/>
  <c r="L476" i="1" a="1"/>
  <c r="L476" i="1" s="1"/>
  <c r="G477" i="1" a="1"/>
  <c r="G477" i="1" s="1"/>
  <c r="H477" i="1" a="1"/>
  <c r="H477" i="1" s="1"/>
  <c r="I477" i="1" a="1"/>
  <c r="I477" i="1" s="1"/>
  <c r="E477" i="1" s="1"/>
  <c r="J477" i="1" a="1"/>
  <c r="J477" i="1" s="1"/>
  <c r="K477" i="1" a="1"/>
  <c r="K477" i="1" s="1"/>
  <c r="L477" i="1" a="1"/>
  <c r="L477" i="1" s="1"/>
  <c r="G478" i="1" a="1"/>
  <c r="G478" i="1" s="1"/>
  <c r="H478" i="1" a="1"/>
  <c r="H478" i="1" s="1"/>
  <c r="I478" i="1" a="1"/>
  <c r="I478" i="1" s="1"/>
  <c r="J478" i="1" a="1"/>
  <c r="J478" i="1" s="1"/>
  <c r="K478" i="1" a="1"/>
  <c r="K478" i="1" s="1"/>
  <c r="L478" i="1" a="1"/>
  <c r="L478" i="1" s="1"/>
  <c r="G479" i="1" a="1"/>
  <c r="G479" i="1" s="1"/>
  <c r="H479" i="1" a="1"/>
  <c r="H479" i="1" s="1"/>
  <c r="I479" i="1" a="1"/>
  <c r="I479" i="1" s="1"/>
  <c r="J479" i="1" a="1"/>
  <c r="J479" i="1" s="1"/>
  <c r="K479" i="1" a="1"/>
  <c r="K479" i="1" s="1"/>
  <c r="L479" i="1" a="1"/>
  <c r="L479" i="1" s="1"/>
  <c r="G480" i="1" a="1"/>
  <c r="G480" i="1" s="1"/>
  <c r="H480" i="1" a="1"/>
  <c r="H480" i="1" s="1"/>
  <c r="I480" i="1" a="1"/>
  <c r="I480" i="1" s="1"/>
  <c r="J480" i="1" a="1"/>
  <c r="J480" i="1" s="1"/>
  <c r="K480" i="1" a="1"/>
  <c r="K480" i="1" s="1"/>
  <c r="L480" i="1" a="1"/>
  <c r="L480" i="1" s="1"/>
  <c r="G481" i="1" a="1"/>
  <c r="G481" i="1" s="1"/>
  <c r="H481" i="1" a="1"/>
  <c r="H481" i="1" s="1"/>
  <c r="I481" i="1" a="1"/>
  <c r="I481" i="1" s="1"/>
  <c r="J481" i="1" a="1"/>
  <c r="J481" i="1" s="1"/>
  <c r="K481" i="1" a="1"/>
  <c r="K481" i="1" s="1"/>
  <c r="L481" i="1" a="1"/>
  <c r="L481" i="1" s="1"/>
  <c r="G482" i="1" a="1"/>
  <c r="G482" i="1" s="1"/>
  <c r="H482" i="1" a="1"/>
  <c r="H482" i="1" s="1"/>
  <c r="I482" i="1" a="1"/>
  <c r="I482" i="1" s="1"/>
  <c r="J482" i="1" a="1"/>
  <c r="J482" i="1" s="1"/>
  <c r="K482" i="1" a="1"/>
  <c r="K482" i="1" s="1"/>
  <c r="L482" i="1" a="1"/>
  <c r="L482" i="1" s="1"/>
  <c r="G483" i="1" a="1"/>
  <c r="G483" i="1" s="1"/>
  <c r="H483" i="1" a="1"/>
  <c r="H483" i="1" s="1"/>
  <c r="I483" i="1" a="1"/>
  <c r="I483" i="1" s="1"/>
  <c r="E483" i="1" s="1"/>
  <c r="J483" i="1" a="1"/>
  <c r="J483" i="1" s="1"/>
  <c r="K483" i="1" a="1"/>
  <c r="K483" i="1" s="1"/>
  <c r="L483" i="1" a="1"/>
  <c r="L483" i="1" s="1"/>
  <c r="G484" i="1" a="1"/>
  <c r="G484" i="1" s="1"/>
  <c r="H484" i="1" a="1"/>
  <c r="H484" i="1" s="1"/>
  <c r="I484" i="1" a="1"/>
  <c r="I484" i="1" s="1"/>
  <c r="J484" i="1" a="1"/>
  <c r="J484" i="1" s="1"/>
  <c r="K484" i="1" a="1"/>
  <c r="K484" i="1" s="1"/>
  <c r="L484" i="1" a="1"/>
  <c r="L484" i="1" s="1"/>
  <c r="G485" i="1" a="1"/>
  <c r="G485" i="1" s="1"/>
  <c r="H485" i="1" a="1"/>
  <c r="H485" i="1" s="1"/>
  <c r="I485" i="1" a="1"/>
  <c r="I485" i="1" s="1"/>
  <c r="E485" i="1" s="1"/>
  <c r="J485" i="1" a="1"/>
  <c r="J485" i="1" s="1"/>
  <c r="K485" i="1" a="1"/>
  <c r="K485" i="1" s="1"/>
  <c r="L485" i="1" a="1"/>
  <c r="L485" i="1" s="1"/>
  <c r="G486" i="1" a="1"/>
  <c r="G486" i="1" s="1"/>
  <c r="H486" i="1" a="1"/>
  <c r="H486" i="1" s="1"/>
  <c r="I486" i="1" a="1"/>
  <c r="I486" i="1" s="1"/>
  <c r="J486" i="1" a="1"/>
  <c r="J486" i="1" s="1"/>
  <c r="K486" i="1" a="1"/>
  <c r="K486" i="1" s="1"/>
  <c r="L486" i="1" a="1"/>
  <c r="L486" i="1" s="1"/>
  <c r="G487" i="1" a="1"/>
  <c r="G487" i="1" s="1"/>
  <c r="H487" i="1" a="1"/>
  <c r="H487" i="1" s="1"/>
  <c r="I487" i="1" a="1"/>
  <c r="I487" i="1" s="1"/>
  <c r="E487" i="1" s="1"/>
  <c r="J487" i="1" a="1"/>
  <c r="J487" i="1" s="1"/>
  <c r="K487" i="1" a="1"/>
  <c r="K487" i="1" s="1"/>
  <c r="L487" i="1" a="1"/>
  <c r="L487" i="1" s="1"/>
  <c r="G488" i="1" a="1"/>
  <c r="G488" i="1" s="1"/>
  <c r="H488" i="1" a="1"/>
  <c r="H488" i="1" s="1"/>
  <c r="I488" i="1" a="1"/>
  <c r="I488" i="1" s="1"/>
  <c r="J488" i="1" a="1"/>
  <c r="J488" i="1" s="1"/>
  <c r="K488" i="1" a="1"/>
  <c r="K488" i="1" s="1"/>
  <c r="L488" i="1" a="1"/>
  <c r="L488" i="1" s="1"/>
  <c r="G489" i="1" a="1"/>
  <c r="G489" i="1" s="1"/>
  <c r="H489" i="1" a="1"/>
  <c r="H489" i="1" s="1"/>
  <c r="I489" i="1" a="1"/>
  <c r="I489" i="1" s="1"/>
  <c r="E489" i="1" s="1"/>
  <c r="J489" i="1" a="1"/>
  <c r="J489" i="1" s="1"/>
  <c r="K489" i="1" a="1"/>
  <c r="K489" i="1" s="1"/>
  <c r="L489" i="1" a="1"/>
  <c r="L489" i="1" s="1"/>
  <c r="G490" i="1" a="1"/>
  <c r="G490" i="1" s="1"/>
  <c r="H490" i="1" a="1"/>
  <c r="H490" i="1" s="1"/>
  <c r="I490" i="1" a="1"/>
  <c r="I490" i="1" s="1"/>
  <c r="J490" i="1" a="1"/>
  <c r="J490" i="1" s="1"/>
  <c r="K490" i="1" a="1"/>
  <c r="K490" i="1" s="1"/>
  <c r="L490" i="1" a="1"/>
  <c r="L490" i="1" s="1"/>
  <c r="G491" i="1" a="1"/>
  <c r="G491" i="1" s="1"/>
  <c r="H491" i="1" a="1"/>
  <c r="H491" i="1" s="1"/>
  <c r="I491" i="1" a="1"/>
  <c r="I491" i="1" s="1"/>
  <c r="E491" i="1" s="1"/>
  <c r="J491" i="1" a="1"/>
  <c r="J491" i="1" s="1"/>
  <c r="K491" i="1" a="1"/>
  <c r="K491" i="1" s="1"/>
  <c r="L491" i="1" a="1"/>
  <c r="L491" i="1" s="1"/>
  <c r="G492" i="1" a="1"/>
  <c r="G492" i="1" s="1"/>
  <c r="H492" i="1" a="1"/>
  <c r="H492" i="1" s="1"/>
  <c r="I492" i="1" a="1"/>
  <c r="I492" i="1" s="1"/>
  <c r="J492" i="1" a="1"/>
  <c r="J492" i="1" s="1"/>
  <c r="K492" i="1" a="1"/>
  <c r="K492" i="1" s="1"/>
  <c r="L492" i="1" a="1"/>
  <c r="L492" i="1" s="1"/>
  <c r="G493" i="1" a="1"/>
  <c r="G493" i="1" s="1"/>
  <c r="H493" i="1" a="1"/>
  <c r="H493" i="1" s="1"/>
  <c r="I493" i="1" a="1"/>
  <c r="I493" i="1" s="1"/>
  <c r="J493" i="1" a="1"/>
  <c r="J493" i="1" s="1"/>
  <c r="K493" i="1" a="1"/>
  <c r="K493" i="1" s="1"/>
  <c r="L493" i="1" a="1"/>
  <c r="L493" i="1" s="1"/>
  <c r="G494" i="1" a="1"/>
  <c r="G494" i="1" s="1"/>
  <c r="H494" i="1" a="1"/>
  <c r="H494" i="1" s="1"/>
  <c r="I494" i="1" a="1"/>
  <c r="I494" i="1" s="1"/>
  <c r="J494" i="1" a="1"/>
  <c r="J494" i="1" s="1"/>
  <c r="K494" i="1" a="1"/>
  <c r="K494" i="1" s="1"/>
  <c r="L494" i="1" a="1"/>
  <c r="L494" i="1" s="1"/>
  <c r="G495" i="1" a="1"/>
  <c r="G495" i="1" s="1"/>
  <c r="H495" i="1" a="1"/>
  <c r="H495" i="1" s="1"/>
  <c r="I495" i="1" a="1"/>
  <c r="I495" i="1" s="1"/>
  <c r="J495" i="1" a="1"/>
  <c r="J495" i="1" s="1"/>
  <c r="K495" i="1" a="1"/>
  <c r="K495" i="1" s="1"/>
  <c r="L495" i="1" a="1"/>
  <c r="L495" i="1" s="1"/>
  <c r="G496" i="1" a="1"/>
  <c r="G496" i="1" s="1"/>
  <c r="H496" i="1" a="1"/>
  <c r="H496" i="1" s="1"/>
  <c r="I496" i="1" a="1"/>
  <c r="I496" i="1" s="1"/>
  <c r="J496" i="1" a="1"/>
  <c r="J496" i="1" s="1"/>
  <c r="K496" i="1" a="1"/>
  <c r="K496" i="1" s="1"/>
  <c r="L496" i="1" a="1"/>
  <c r="L496" i="1" s="1"/>
  <c r="G497" i="1" a="1"/>
  <c r="G497" i="1" s="1"/>
  <c r="H497" i="1" a="1"/>
  <c r="H497" i="1" s="1"/>
  <c r="I497" i="1" a="1"/>
  <c r="I497" i="1" s="1"/>
  <c r="J497" i="1" a="1"/>
  <c r="J497" i="1" s="1"/>
  <c r="K497" i="1" a="1"/>
  <c r="K497" i="1" s="1"/>
  <c r="L497" i="1" a="1"/>
  <c r="L497" i="1" s="1"/>
  <c r="G498" i="1" a="1"/>
  <c r="G498" i="1" s="1"/>
  <c r="H498" i="1" a="1"/>
  <c r="H498" i="1" s="1"/>
  <c r="I498" i="1" a="1"/>
  <c r="I498" i="1" s="1"/>
  <c r="J498" i="1" a="1"/>
  <c r="J498" i="1" s="1"/>
  <c r="K498" i="1" a="1"/>
  <c r="K498" i="1" s="1"/>
  <c r="L498" i="1" a="1"/>
  <c r="L498" i="1" s="1"/>
  <c r="G499" i="1" a="1"/>
  <c r="G499" i="1" s="1"/>
  <c r="H499" i="1" a="1"/>
  <c r="H499" i="1" s="1"/>
  <c r="I499" i="1" a="1"/>
  <c r="I499" i="1" s="1"/>
  <c r="J499" i="1" a="1"/>
  <c r="J499" i="1" s="1"/>
  <c r="K499" i="1" a="1"/>
  <c r="K499" i="1" s="1"/>
  <c r="L499" i="1" a="1"/>
  <c r="L499" i="1" s="1"/>
  <c r="G500" i="1" a="1"/>
  <c r="G500" i="1" s="1"/>
  <c r="H500" i="1" a="1"/>
  <c r="H500" i="1" s="1"/>
  <c r="I500" i="1" a="1"/>
  <c r="I500" i="1" s="1"/>
  <c r="J500" i="1" a="1"/>
  <c r="J500" i="1" s="1"/>
  <c r="K500" i="1" a="1"/>
  <c r="K500" i="1" s="1"/>
  <c r="L500" i="1" a="1"/>
  <c r="L500" i="1" s="1"/>
  <c r="G501" i="1" a="1"/>
  <c r="G501" i="1" s="1"/>
  <c r="H501" i="1" a="1"/>
  <c r="H501" i="1" s="1"/>
  <c r="I501" i="1" a="1"/>
  <c r="I501" i="1" s="1"/>
  <c r="J501" i="1" a="1"/>
  <c r="J501" i="1" s="1"/>
  <c r="K501" i="1" a="1"/>
  <c r="K501" i="1" s="1"/>
  <c r="L501" i="1" a="1"/>
  <c r="L501" i="1" s="1"/>
  <c r="G502" i="1" a="1"/>
  <c r="G502" i="1" s="1"/>
  <c r="H502" i="1" a="1"/>
  <c r="H502" i="1" s="1"/>
  <c r="I502" i="1" a="1"/>
  <c r="I502" i="1" s="1"/>
  <c r="J502" i="1" a="1"/>
  <c r="J502" i="1" s="1"/>
  <c r="K502" i="1" a="1"/>
  <c r="K502" i="1" s="1"/>
  <c r="L502" i="1" a="1"/>
  <c r="L502" i="1" s="1"/>
  <c r="G503" i="1" a="1"/>
  <c r="G503" i="1" s="1"/>
  <c r="H503" i="1" a="1"/>
  <c r="H503" i="1" s="1"/>
  <c r="I503" i="1" a="1"/>
  <c r="I503" i="1" s="1"/>
  <c r="J503" i="1" a="1"/>
  <c r="J503" i="1" s="1"/>
  <c r="K503" i="1" a="1"/>
  <c r="K503" i="1" s="1"/>
  <c r="L503" i="1" a="1"/>
  <c r="L503" i="1" s="1"/>
  <c r="G504" i="1" a="1"/>
  <c r="G504" i="1" s="1"/>
  <c r="H504" i="1" a="1"/>
  <c r="H504" i="1" s="1"/>
  <c r="I504" i="1" a="1"/>
  <c r="I504" i="1" s="1"/>
  <c r="J504" i="1" a="1"/>
  <c r="J504" i="1" s="1"/>
  <c r="K504" i="1" a="1"/>
  <c r="K504" i="1" s="1"/>
  <c r="L504" i="1" a="1"/>
  <c r="L504" i="1" s="1"/>
  <c r="G505" i="1" a="1"/>
  <c r="G505" i="1" s="1"/>
  <c r="H505" i="1" a="1"/>
  <c r="H505" i="1" s="1"/>
  <c r="I505" i="1" a="1"/>
  <c r="I505" i="1" s="1"/>
  <c r="J505" i="1" a="1"/>
  <c r="J505" i="1" s="1"/>
  <c r="K505" i="1" a="1"/>
  <c r="K505" i="1" s="1"/>
  <c r="L505" i="1" a="1"/>
  <c r="L505" i="1" s="1"/>
  <c r="G506" i="1" a="1"/>
  <c r="G506" i="1" s="1"/>
  <c r="H506" i="1" a="1"/>
  <c r="H506" i="1" s="1"/>
  <c r="I506" i="1" a="1"/>
  <c r="I506" i="1" s="1"/>
  <c r="J506" i="1" a="1"/>
  <c r="J506" i="1" s="1"/>
  <c r="K506" i="1" a="1"/>
  <c r="K506" i="1" s="1"/>
  <c r="L506" i="1" a="1"/>
  <c r="L506" i="1" s="1"/>
  <c r="G507" i="1" a="1"/>
  <c r="G507" i="1" s="1"/>
  <c r="H507" i="1" a="1"/>
  <c r="H507" i="1" s="1"/>
  <c r="I507" i="1" a="1"/>
  <c r="I507" i="1" s="1"/>
  <c r="J507" i="1" a="1"/>
  <c r="J507" i="1" s="1"/>
  <c r="K507" i="1" a="1"/>
  <c r="K507" i="1" s="1"/>
  <c r="L507" i="1" a="1"/>
  <c r="L507" i="1" s="1"/>
  <c r="G508" i="1" a="1"/>
  <c r="G508" i="1" s="1"/>
  <c r="H508" i="1" a="1"/>
  <c r="H508" i="1" s="1"/>
  <c r="I508" i="1" a="1"/>
  <c r="I508" i="1" s="1"/>
  <c r="J508" i="1" a="1"/>
  <c r="J508" i="1" s="1"/>
  <c r="K508" i="1" a="1"/>
  <c r="K508" i="1" s="1"/>
  <c r="L508" i="1" a="1"/>
  <c r="L508" i="1" s="1"/>
  <c r="G509" i="1" a="1"/>
  <c r="G509" i="1" s="1"/>
  <c r="H509" i="1" a="1"/>
  <c r="H509" i="1" s="1"/>
  <c r="I509" i="1" a="1"/>
  <c r="I509" i="1" s="1"/>
  <c r="J509" i="1" a="1"/>
  <c r="J509" i="1" s="1"/>
  <c r="K509" i="1" a="1"/>
  <c r="K509" i="1" s="1"/>
  <c r="L509" i="1" a="1"/>
  <c r="L509" i="1" s="1"/>
  <c r="G510" i="1" a="1"/>
  <c r="G510" i="1" s="1"/>
  <c r="H510" i="1" a="1"/>
  <c r="H510" i="1" s="1"/>
  <c r="I510" i="1" a="1"/>
  <c r="I510" i="1" s="1"/>
  <c r="J510" i="1" a="1"/>
  <c r="J510" i="1" s="1"/>
  <c r="K510" i="1" a="1"/>
  <c r="K510" i="1" s="1"/>
  <c r="L510" i="1" a="1"/>
  <c r="L510" i="1" s="1"/>
  <c r="G511" i="1" a="1"/>
  <c r="G511" i="1" s="1"/>
  <c r="H511" i="1" a="1"/>
  <c r="H511" i="1" s="1"/>
  <c r="I511" i="1" a="1"/>
  <c r="I511" i="1" s="1"/>
  <c r="E511" i="1" s="1"/>
  <c r="J511" i="1" a="1"/>
  <c r="J511" i="1" s="1"/>
  <c r="K511" i="1" a="1"/>
  <c r="K511" i="1" s="1"/>
  <c r="L511" i="1" a="1"/>
  <c r="L511" i="1" s="1"/>
  <c r="G512" i="1" a="1"/>
  <c r="G512" i="1" s="1"/>
  <c r="H512" i="1" a="1"/>
  <c r="H512" i="1" s="1"/>
  <c r="I512" i="1" a="1"/>
  <c r="I512" i="1" s="1"/>
  <c r="J512" i="1" a="1"/>
  <c r="J512" i="1" s="1"/>
  <c r="K512" i="1" a="1"/>
  <c r="K512" i="1" s="1"/>
  <c r="L512" i="1" a="1"/>
  <c r="L512" i="1" s="1"/>
  <c r="G513" i="1" a="1"/>
  <c r="G513" i="1" s="1"/>
  <c r="H513" i="1" a="1"/>
  <c r="H513" i="1" s="1"/>
  <c r="I513" i="1" a="1"/>
  <c r="I513" i="1" s="1"/>
  <c r="E513" i="1" s="1"/>
  <c r="J513" i="1" a="1"/>
  <c r="J513" i="1" s="1"/>
  <c r="K513" i="1" a="1"/>
  <c r="K513" i="1" s="1"/>
  <c r="L513" i="1" a="1"/>
  <c r="L513" i="1" s="1"/>
  <c r="G514" i="1" a="1"/>
  <c r="G514" i="1" s="1"/>
  <c r="H514" i="1" a="1"/>
  <c r="H514" i="1" s="1"/>
  <c r="I514" i="1" a="1"/>
  <c r="I514" i="1" s="1"/>
  <c r="J514" i="1" a="1"/>
  <c r="J514" i="1" s="1"/>
  <c r="K514" i="1" a="1"/>
  <c r="K514" i="1" s="1"/>
  <c r="L514" i="1" a="1"/>
  <c r="L514" i="1" s="1"/>
  <c r="G515" i="1" a="1"/>
  <c r="G515" i="1" s="1"/>
  <c r="H515" i="1" a="1"/>
  <c r="H515" i="1" s="1"/>
  <c r="I515" i="1" a="1"/>
  <c r="I515" i="1" s="1"/>
  <c r="J515" i="1" a="1"/>
  <c r="J515" i="1" s="1"/>
  <c r="K515" i="1" a="1"/>
  <c r="K515" i="1" s="1"/>
  <c r="L515" i="1" a="1"/>
  <c r="L515" i="1" s="1"/>
  <c r="G516" i="1" a="1"/>
  <c r="G516" i="1" s="1"/>
  <c r="H516" i="1" a="1"/>
  <c r="H516" i="1" s="1"/>
  <c r="I516" i="1" a="1"/>
  <c r="I516" i="1" s="1"/>
  <c r="J516" i="1" a="1"/>
  <c r="J516" i="1" s="1"/>
  <c r="K516" i="1" a="1"/>
  <c r="K516" i="1" s="1"/>
  <c r="L516" i="1" a="1"/>
  <c r="L516" i="1" s="1"/>
  <c r="G517" i="1" a="1"/>
  <c r="G517" i="1" s="1"/>
  <c r="H517" i="1" a="1"/>
  <c r="H517" i="1" s="1"/>
  <c r="I517" i="1" a="1"/>
  <c r="I517" i="1" s="1"/>
  <c r="J517" i="1" a="1"/>
  <c r="J517" i="1" s="1"/>
  <c r="K517" i="1" a="1"/>
  <c r="K517" i="1" s="1"/>
  <c r="L517" i="1" a="1"/>
  <c r="L517" i="1" s="1"/>
  <c r="G518" i="1" a="1"/>
  <c r="G518" i="1" s="1"/>
  <c r="H518" i="1" a="1"/>
  <c r="H518" i="1" s="1"/>
  <c r="I518" i="1" a="1"/>
  <c r="I518" i="1" s="1"/>
  <c r="J518" i="1" a="1"/>
  <c r="J518" i="1" s="1"/>
  <c r="K518" i="1" a="1"/>
  <c r="K518" i="1" s="1"/>
  <c r="L518" i="1" a="1"/>
  <c r="L518" i="1" s="1"/>
  <c r="G519" i="1" a="1"/>
  <c r="G519" i="1" s="1"/>
  <c r="H519" i="1" a="1"/>
  <c r="H519" i="1" s="1"/>
  <c r="I519" i="1" a="1"/>
  <c r="I519" i="1" s="1"/>
  <c r="E519" i="1" s="1"/>
  <c r="J519" i="1" a="1"/>
  <c r="J519" i="1" s="1"/>
  <c r="K519" i="1" a="1"/>
  <c r="K519" i="1" s="1"/>
  <c r="L519" i="1" a="1"/>
  <c r="L519" i="1" s="1"/>
  <c r="G520" i="1" a="1"/>
  <c r="G520" i="1" s="1"/>
  <c r="H520" i="1" a="1"/>
  <c r="H520" i="1" s="1"/>
  <c r="I520" i="1" a="1"/>
  <c r="I520" i="1" s="1"/>
  <c r="J520" i="1" a="1"/>
  <c r="J520" i="1" s="1"/>
  <c r="K520" i="1" a="1"/>
  <c r="K520" i="1" s="1"/>
  <c r="L520" i="1" a="1"/>
  <c r="L520" i="1" s="1"/>
  <c r="G521" i="1" a="1"/>
  <c r="G521" i="1" s="1"/>
  <c r="H521" i="1" a="1"/>
  <c r="H521" i="1" s="1"/>
  <c r="I521" i="1" a="1"/>
  <c r="I521" i="1" s="1"/>
  <c r="J521" i="1" a="1"/>
  <c r="J521" i="1" s="1"/>
  <c r="K521" i="1" a="1"/>
  <c r="K521" i="1" s="1"/>
  <c r="L521" i="1" a="1"/>
  <c r="L521" i="1" s="1"/>
  <c r="G522" i="1" a="1"/>
  <c r="G522" i="1" s="1"/>
  <c r="H522" i="1" a="1"/>
  <c r="H522" i="1" s="1"/>
  <c r="I522" i="1" a="1"/>
  <c r="I522" i="1" s="1"/>
  <c r="J522" i="1" a="1"/>
  <c r="J522" i="1" s="1"/>
  <c r="K522" i="1" a="1"/>
  <c r="K522" i="1" s="1"/>
  <c r="L522" i="1" a="1"/>
  <c r="L522" i="1" s="1"/>
  <c r="G523" i="1" a="1"/>
  <c r="G523" i="1" s="1"/>
  <c r="H523" i="1" a="1"/>
  <c r="H523" i="1" s="1"/>
  <c r="I523" i="1" a="1"/>
  <c r="I523" i="1" s="1"/>
  <c r="E523" i="1" s="1"/>
  <c r="J523" i="1" a="1"/>
  <c r="J523" i="1" s="1"/>
  <c r="K523" i="1" a="1"/>
  <c r="K523" i="1" s="1"/>
  <c r="L523" i="1" a="1"/>
  <c r="L523" i="1" s="1"/>
  <c r="G524" i="1" a="1"/>
  <c r="G524" i="1" s="1"/>
  <c r="H524" i="1" a="1"/>
  <c r="H524" i="1" s="1"/>
  <c r="I524" i="1" a="1"/>
  <c r="I524" i="1" s="1"/>
  <c r="J524" i="1" a="1"/>
  <c r="J524" i="1" s="1"/>
  <c r="K524" i="1" a="1"/>
  <c r="K524" i="1" s="1"/>
  <c r="L524" i="1" a="1"/>
  <c r="L524" i="1" s="1"/>
  <c r="G525" i="1" a="1"/>
  <c r="G525" i="1" s="1"/>
  <c r="H525" i="1" a="1"/>
  <c r="H525" i="1" s="1"/>
  <c r="I525" i="1" a="1"/>
  <c r="I525" i="1" s="1"/>
  <c r="E525" i="1" s="1"/>
  <c r="J525" i="1" a="1"/>
  <c r="J525" i="1" s="1"/>
  <c r="K525" i="1" a="1"/>
  <c r="K525" i="1" s="1"/>
  <c r="L525" i="1" a="1"/>
  <c r="L525" i="1" s="1"/>
  <c r="G526" i="1" a="1"/>
  <c r="G526" i="1" s="1"/>
  <c r="H526" i="1" a="1"/>
  <c r="H526" i="1" s="1"/>
  <c r="I526" i="1" a="1"/>
  <c r="I526" i="1" s="1"/>
  <c r="J526" i="1" a="1"/>
  <c r="J526" i="1" s="1"/>
  <c r="K526" i="1" a="1"/>
  <c r="K526" i="1" s="1"/>
  <c r="L526" i="1" a="1"/>
  <c r="L526" i="1" s="1"/>
  <c r="G527" i="1" a="1"/>
  <c r="G527" i="1" s="1"/>
  <c r="H527" i="1" a="1"/>
  <c r="H527" i="1" s="1"/>
  <c r="I527" i="1" a="1"/>
  <c r="I527" i="1" s="1"/>
  <c r="J527" i="1" a="1"/>
  <c r="J527" i="1" s="1"/>
  <c r="K527" i="1" a="1"/>
  <c r="K527" i="1" s="1"/>
  <c r="L527" i="1" a="1"/>
  <c r="L527" i="1" s="1"/>
  <c r="G528" i="1" a="1"/>
  <c r="G528" i="1" s="1"/>
  <c r="H528" i="1" a="1"/>
  <c r="H528" i="1" s="1"/>
  <c r="I528" i="1" a="1"/>
  <c r="I528" i="1" s="1"/>
  <c r="J528" i="1" a="1"/>
  <c r="J528" i="1" s="1"/>
  <c r="K528" i="1" a="1"/>
  <c r="K528" i="1" s="1"/>
  <c r="L528" i="1" a="1"/>
  <c r="L528" i="1" s="1"/>
  <c r="G529" i="1" a="1"/>
  <c r="G529" i="1" s="1"/>
  <c r="H529" i="1" a="1"/>
  <c r="H529" i="1" s="1"/>
  <c r="I529" i="1" a="1"/>
  <c r="I529" i="1" s="1"/>
  <c r="J529" i="1" a="1"/>
  <c r="J529" i="1" s="1"/>
  <c r="K529" i="1" a="1"/>
  <c r="K529" i="1" s="1"/>
  <c r="L529" i="1" a="1"/>
  <c r="L529" i="1" s="1"/>
  <c r="G530" i="1" a="1"/>
  <c r="G530" i="1" s="1"/>
  <c r="H530" i="1" a="1"/>
  <c r="H530" i="1" s="1"/>
  <c r="I530" i="1" a="1"/>
  <c r="I530" i="1" s="1"/>
  <c r="J530" i="1" a="1"/>
  <c r="J530" i="1" s="1"/>
  <c r="K530" i="1" a="1"/>
  <c r="K530" i="1" s="1"/>
  <c r="L530" i="1" a="1"/>
  <c r="L530" i="1" s="1"/>
  <c r="G531" i="1" a="1"/>
  <c r="G531" i="1" s="1"/>
  <c r="H531" i="1" a="1"/>
  <c r="H531" i="1" s="1"/>
  <c r="I531" i="1" a="1"/>
  <c r="I531" i="1" s="1"/>
  <c r="J531" i="1" a="1"/>
  <c r="J531" i="1" s="1"/>
  <c r="K531" i="1" a="1"/>
  <c r="K531" i="1" s="1"/>
  <c r="L531" i="1" a="1"/>
  <c r="L531" i="1" s="1"/>
  <c r="G532" i="1" a="1"/>
  <c r="G532" i="1" s="1"/>
  <c r="H532" i="1" a="1"/>
  <c r="H532" i="1" s="1"/>
  <c r="I532" i="1" a="1"/>
  <c r="I532" i="1" s="1"/>
  <c r="E532" i="1" s="1"/>
  <c r="J532" i="1" a="1"/>
  <c r="J532" i="1" s="1"/>
  <c r="K532" i="1" a="1"/>
  <c r="K532" i="1" s="1"/>
  <c r="L532" i="1" a="1"/>
  <c r="L532" i="1" s="1"/>
  <c r="G533" i="1" a="1"/>
  <c r="G533" i="1" s="1"/>
  <c r="H533" i="1" a="1"/>
  <c r="H533" i="1" s="1"/>
  <c r="I533" i="1" a="1"/>
  <c r="I533" i="1" s="1"/>
  <c r="E533" i="1" s="1"/>
  <c r="J533" i="1" a="1"/>
  <c r="J533" i="1" s="1"/>
  <c r="K533" i="1" a="1"/>
  <c r="K533" i="1" s="1"/>
  <c r="L533" i="1" a="1"/>
  <c r="L533" i="1" s="1"/>
  <c r="G534" i="1" a="1"/>
  <c r="G534" i="1" s="1"/>
  <c r="H534" i="1" a="1"/>
  <c r="H534" i="1" s="1"/>
  <c r="I534" i="1" a="1"/>
  <c r="I534" i="1" s="1"/>
  <c r="J534" i="1" a="1"/>
  <c r="J534" i="1" s="1"/>
  <c r="K534" i="1" a="1"/>
  <c r="K534" i="1" s="1"/>
  <c r="L534" i="1" a="1"/>
  <c r="L534" i="1" s="1"/>
  <c r="G535" i="1" a="1"/>
  <c r="G535" i="1" s="1"/>
  <c r="H535" i="1" a="1"/>
  <c r="H535" i="1" s="1"/>
  <c r="I535" i="1" a="1"/>
  <c r="I535" i="1" s="1"/>
  <c r="E535" i="1" s="1"/>
  <c r="J535" i="1" a="1"/>
  <c r="J535" i="1" s="1"/>
  <c r="K535" i="1" a="1"/>
  <c r="K535" i="1" s="1"/>
  <c r="L535" i="1" a="1"/>
  <c r="L535" i="1" s="1"/>
  <c r="G536" i="1" a="1"/>
  <c r="G536" i="1" s="1"/>
  <c r="H536" i="1" a="1"/>
  <c r="H536" i="1" s="1"/>
  <c r="I536" i="1" a="1"/>
  <c r="I536" i="1" s="1"/>
  <c r="J536" i="1" a="1"/>
  <c r="J536" i="1" s="1"/>
  <c r="K536" i="1" a="1"/>
  <c r="K536" i="1" s="1"/>
  <c r="L536" i="1" a="1"/>
  <c r="L536" i="1" s="1"/>
  <c r="G537" i="1" a="1"/>
  <c r="G537" i="1" s="1"/>
  <c r="H537" i="1" a="1"/>
  <c r="H537" i="1" s="1"/>
  <c r="I537" i="1" a="1"/>
  <c r="I537" i="1" s="1"/>
  <c r="E537" i="1" s="1"/>
  <c r="J537" i="1" a="1"/>
  <c r="J537" i="1" s="1"/>
  <c r="K537" i="1" a="1"/>
  <c r="K537" i="1" s="1"/>
  <c r="L537" i="1" a="1"/>
  <c r="L537" i="1" s="1"/>
  <c r="G538" i="1" a="1"/>
  <c r="G538" i="1" s="1"/>
  <c r="H538" i="1" a="1"/>
  <c r="H538" i="1" s="1"/>
  <c r="I538" i="1" a="1"/>
  <c r="I538" i="1" s="1"/>
  <c r="J538" i="1" a="1"/>
  <c r="J538" i="1" s="1"/>
  <c r="K538" i="1" a="1"/>
  <c r="K538" i="1" s="1"/>
  <c r="L538" i="1" a="1"/>
  <c r="L538" i="1" s="1"/>
  <c r="G539" i="1" a="1"/>
  <c r="G539" i="1" s="1"/>
  <c r="H539" i="1" a="1"/>
  <c r="H539" i="1" s="1"/>
  <c r="I539" i="1" a="1"/>
  <c r="I539" i="1" s="1"/>
  <c r="E539" i="1" s="1"/>
  <c r="J539" i="1" a="1"/>
  <c r="J539" i="1" s="1"/>
  <c r="K539" i="1" a="1"/>
  <c r="K539" i="1" s="1"/>
  <c r="L539" i="1" a="1"/>
  <c r="L539" i="1" s="1"/>
  <c r="G540" i="1" a="1"/>
  <c r="G540" i="1" s="1"/>
  <c r="H540" i="1" a="1"/>
  <c r="H540" i="1" s="1"/>
  <c r="I540" i="1" a="1"/>
  <c r="I540" i="1" s="1"/>
  <c r="J540" i="1" a="1"/>
  <c r="J540" i="1" s="1"/>
  <c r="K540" i="1" a="1"/>
  <c r="K540" i="1" s="1"/>
  <c r="L540" i="1" a="1"/>
  <c r="L540" i="1" s="1"/>
  <c r="G541" i="1" a="1"/>
  <c r="G541" i="1" s="1"/>
  <c r="H541" i="1" a="1"/>
  <c r="H541" i="1" s="1"/>
  <c r="I541" i="1" a="1"/>
  <c r="I541" i="1" s="1"/>
  <c r="J541" i="1" a="1"/>
  <c r="J541" i="1" s="1"/>
  <c r="K541" i="1" a="1"/>
  <c r="K541" i="1" s="1"/>
  <c r="L541" i="1" a="1"/>
  <c r="L541" i="1" s="1"/>
  <c r="G542" i="1" a="1"/>
  <c r="G542" i="1" s="1"/>
  <c r="H542" i="1" a="1"/>
  <c r="H542" i="1" s="1"/>
  <c r="I542" i="1" a="1"/>
  <c r="I542" i="1" s="1"/>
  <c r="J542" i="1" a="1"/>
  <c r="J542" i="1" s="1"/>
  <c r="K542" i="1" a="1"/>
  <c r="K542" i="1" s="1"/>
  <c r="L542" i="1" a="1"/>
  <c r="L542" i="1" s="1"/>
  <c r="G543" i="1" a="1"/>
  <c r="G543" i="1" s="1"/>
  <c r="H543" i="1" a="1"/>
  <c r="H543" i="1" s="1"/>
  <c r="I543" i="1" a="1"/>
  <c r="I543" i="1" s="1"/>
  <c r="J543" i="1" a="1"/>
  <c r="J543" i="1" s="1"/>
  <c r="K543" i="1" a="1"/>
  <c r="K543" i="1" s="1"/>
  <c r="L543" i="1" a="1"/>
  <c r="L543" i="1" s="1"/>
  <c r="G544" i="1" a="1"/>
  <c r="G544" i="1" s="1"/>
  <c r="H544" i="1" a="1"/>
  <c r="H544" i="1" s="1"/>
  <c r="I544" i="1" a="1"/>
  <c r="I544" i="1" s="1"/>
  <c r="J544" i="1" a="1"/>
  <c r="J544" i="1" s="1"/>
  <c r="K544" i="1" a="1"/>
  <c r="K544" i="1" s="1"/>
  <c r="L544" i="1" a="1"/>
  <c r="L544" i="1" s="1"/>
  <c r="G545" i="1" a="1"/>
  <c r="G545" i="1" s="1"/>
  <c r="H545" i="1" a="1"/>
  <c r="H545" i="1" s="1"/>
  <c r="I545" i="1" a="1"/>
  <c r="I545" i="1" s="1"/>
  <c r="J545" i="1" a="1"/>
  <c r="J545" i="1" s="1"/>
  <c r="K545" i="1" a="1"/>
  <c r="K545" i="1" s="1"/>
  <c r="L545" i="1" a="1"/>
  <c r="L545" i="1" s="1"/>
  <c r="G546" i="1" a="1"/>
  <c r="G546" i="1" s="1"/>
  <c r="H546" i="1" a="1"/>
  <c r="H546" i="1" s="1"/>
  <c r="I546" i="1" a="1"/>
  <c r="I546" i="1" s="1"/>
  <c r="J546" i="1" a="1"/>
  <c r="J546" i="1" s="1"/>
  <c r="K546" i="1" a="1"/>
  <c r="K546" i="1" s="1"/>
  <c r="L546" i="1" a="1"/>
  <c r="L546" i="1" s="1"/>
  <c r="G547" i="1" a="1"/>
  <c r="G547" i="1" s="1"/>
  <c r="H547" i="1" a="1"/>
  <c r="H547" i="1" s="1"/>
  <c r="I547" i="1" a="1"/>
  <c r="I547" i="1" s="1"/>
  <c r="J547" i="1" a="1"/>
  <c r="J547" i="1" s="1"/>
  <c r="K547" i="1" a="1"/>
  <c r="K547" i="1" s="1"/>
  <c r="L547" i="1" a="1"/>
  <c r="L547" i="1" s="1"/>
  <c r="G548" i="1" a="1"/>
  <c r="G548" i="1" s="1"/>
  <c r="H548" i="1" a="1"/>
  <c r="H548" i="1" s="1"/>
  <c r="I548" i="1" a="1"/>
  <c r="I548" i="1" s="1"/>
  <c r="J548" i="1" a="1"/>
  <c r="J548" i="1" s="1"/>
  <c r="K548" i="1" a="1"/>
  <c r="K548" i="1" s="1"/>
  <c r="L548" i="1" a="1"/>
  <c r="L548" i="1" s="1"/>
  <c r="G549" i="1" a="1"/>
  <c r="G549" i="1" s="1"/>
  <c r="H549" i="1" a="1"/>
  <c r="H549" i="1" s="1"/>
  <c r="I549" i="1" a="1"/>
  <c r="I549" i="1" s="1"/>
  <c r="J549" i="1" a="1"/>
  <c r="J549" i="1" s="1"/>
  <c r="K549" i="1" a="1"/>
  <c r="K549" i="1" s="1"/>
  <c r="L549" i="1" a="1"/>
  <c r="L549" i="1" s="1"/>
  <c r="G550" i="1" a="1"/>
  <c r="G550" i="1" s="1"/>
  <c r="H550" i="1" a="1"/>
  <c r="H550" i="1" s="1"/>
  <c r="I550" i="1" a="1"/>
  <c r="I550" i="1" s="1"/>
  <c r="J550" i="1" a="1"/>
  <c r="J550" i="1" s="1"/>
  <c r="K550" i="1" a="1"/>
  <c r="K550" i="1" s="1"/>
  <c r="L550" i="1" a="1"/>
  <c r="L550" i="1" s="1"/>
  <c r="G551" i="1" a="1"/>
  <c r="G551" i="1" s="1"/>
  <c r="H551" i="1" a="1"/>
  <c r="H551" i="1" s="1"/>
  <c r="I551" i="1" a="1"/>
  <c r="I551" i="1" s="1"/>
  <c r="J551" i="1" a="1"/>
  <c r="J551" i="1" s="1"/>
  <c r="K551" i="1" a="1"/>
  <c r="K551" i="1" s="1"/>
  <c r="L551" i="1" a="1"/>
  <c r="L551" i="1" s="1"/>
  <c r="G552" i="1" a="1"/>
  <c r="G552" i="1" s="1"/>
  <c r="H552" i="1" a="1"/>
  <c r="H552" i="1" s="1"/>
  <c r="I552" i="1" a="1"/>
  <c r="I552" i="1" s="1"/>
  <c r="J552" i="1" a="1"/>
  <c r="J552" i="1" s="1"/>
  <c r="K552" i="1" a="1"/>
  <c r="K552" i="1" s="1"/>
  <c r="L552" i="1" a="1"/>
  <c r="L552" i="1" s="1"/>
  <c r="G553" i="1" a="1"/>
  <c r="G553" i="1" s="1"/>
  <c r="H553" i="1" a="1"/>
  <c r="H553" i="1" s="1"/>
  <c r="I553" i="1" a="1"/>
  <c r="I553" i="1" s="1"/>
  <c r="E553" i="1" s="1"/>
  <c r="J553" i="1" a="1"/>
  <c r="J553" i="1" s="1"/>
  <c r="K553" i="1" a="1"/>
  <c r="K553" i="1" s="1"/>
  <c r="L553" i="1" a="1"/>
  <c r="L553" i="1" s="1"/>
  <c r="G554" i="1" a="1"/>
  <c r="G554" i="1" s="1"/>
  <c r="H554" i="1" a="1"/>
  <c r="H554" i="1" s="1"/>
  <c r="I554" i="1" a="1"/>
  <c r="I554" i="1" s="1"/>
  <c r="J554" i="1" a="1"/>
  <c r="J554" i="1" s="1"/>
  <c r="K554" i="1" a="1"/>
  <c r="K554" i="1" s="1"/>
  <c r="L554" i="1" a="1"/>
  <c r="L554" i="1" s="1"/>
  <c r="G555" i="1" a="1"/>
  <c r="G555" i="1" s="1"/>
  <c r="H555" i="1" a="1"/>
  <c r="H555" i="1" s="1"/>
  <c r="I555" i="1" a="1"/>
  <c r="I555" i="1" s="1"/>
  <c r="J555" i="1" a="1"/>
  <c r="J555" i="1" s="1"/>
  <c r="K555" i="1" a="1"/>
  <c r="K555" i="1" s="1"/>
  <c r="L555" i="1" a="1"/>
  <c r="L555" i="1" s="1"/>
  <c r="G556" i="1" a="1"/>
  <c r="G556" i="1" s="1"/>
  <c r="H556" i="1" a="1"/>
  <c r="H556" i="1" s="1"/>
  <c r="I556" i="1" a="1"/>
  <c r="I556" i="1" s="1"/>
  <c r="J556" i="1" a="1"/>
  <c r="J556" i="1" s="1"/>
  <c r="K556" i="1" a="1"/>
  <c r="K556" i="1" s="1"/>
  <c r="L556" i="1" a="1"/>
  <c r="L556" i="1" s="1"/>
  <c r="G557" i="1" a="1"/>
  <c r="G557" i="1" s="1"/>
  <c r="H557" i="1" a="1"/>
  <c r="H557" i="1" s="1"/>
  <c r="I557" i="1" a="1"/>
  <c r="I557" i="1" s="1"/>
  <c r="J557" i="1" a="1"/>
  <c r="J557" i="1" s="1"/>
  <c r="K557" i="1" a="1"/>
  <c r="K557" i="1" s="1"/>
  <c r="L557" i="1" a="1"/>
  <c r="L557" i="1" s="1"/>
  <c r="G558" i="1" a="1"/>
  <c r="G558" i="1" s="1"/>
  <c r="H558" i="1" a="1"/>
  <c r="H558" i="1" s="1"/>
  <c r="I558" i="1" a="1"/>
  <c r="I558" i="1" s="1"/>
  <c r="J558" i="1" a="1"/>
  <c r="J558" i="1" s="1"/>
  <c r="K558" i="1" a="1"/>
  <c r="K558" i="1" s="1"/>
  <c r="L558" i="1" a="1"/>
  <c r="L558" i="1" s="1"/>
  <c r="G559" i="1" a="1"/>
  <c r="G559" i="1" s="1"/>
  <c r="H559" i="1" a="1"/>
  <c r="H559" i="1" s="1"/>
  <c r="I559" i="1" a="1"/>
  <c r="I559" i="1" s="1"/>
  <c r="J559" i="1" a="1"/>
  <c r="J559" i="1" s="1"/>
  <c r="K559" i="1" a="1"/>
  <c r="K559" i="1" s="1"/>
  <c r="L559" i="1" a="1"/>
  <c r="L559" i="1" s="1"/>
  <c r="G560" i="1" a="1"/>
  <c r="G560" i="1" s="1"/>
  <c r="H560" i="1" a="1"/>
  <c r="H560" i="1" s="1"/>
  <c r="I560" i="1" a="1"/>
  <c r="I560" i="1" s="1"/>
  <c r="J560" i="1" a="1"/>
  <c r="J560" i="1" s="1"/>
  <c r="K560" i="1" a="1"/>
  <c r="K560" i="1" s="1"/>
  <c r="L560" i="1" a="1"/>
  <c r="L560" i="1" s="1"/>
  <c r="G561" i="1" a="1"/>
  <c r="G561" i="1" s="1"/>
  <c r="H561" i="1" a="1"/>
  <c r="H561" i="1" s="1"/>
  <c r="I561" i="1" a="1"/>
  <c r="I561" i="1" s="1"/>
  <c r="J561" i="1" a="1"/>
  <c r="J561" i="1" s="1"/>
  <c r="K561" i="1" a="1"/>
  <c r="K561" i="1" s="1"/>
  <c r="L561" i="1" a="1"/>
  <c r="L561" i="1" s="1"/>
  <c r="G562" i="1" a="1"/>
  <c r="G562" i="1" s="1"/>
  <c r="H562" i="1" a="1"/>
  <c r="H562" i="1" s="1"/>
  <c r="I562" i="1" a="1"/>
  <c r="I562" i="1" s="1"/>
  <c r="J562" i="1" a="1"/>
  <c r="J562" i="1" s="1"/>
  <c r="K562" i="1" a="1"/>
  <c r="K562" i="1" s="1"/>
  <c r="L562" i="1" a="1"/>
  <c r="L562" i="1" s="1"/>
  <c r="G563" i="1" a="1"/>
  <c r="G563" i="1" s="1"/>
  <c r="H563" i="1" a="1"/>
  <c r="H563" i="1" s="1"/>
  <c r="I563" i="1" a="1"/>
  <c r="I563" i="1" s="1"/>
  <c r="J563" i="1" a="1"/>
  <c r="J563" i="1" s="1"/>
  <c r="K563" i="1" a="1"/>
  <c r="K563" i="1" s="1"/>
  <c r="L563" i="1" a="1"/>
  <c r="L563" i="1" s="1"/>
  <c r="G564" i="1" a="1"/>
  <c r="G564" i="1" s="1"/>
  <c r="H564" i="1" a="1"/>
  <c r="H564" i="1" s="1"/>
  <c r="I564" i="1" a="1"/>
  <c r="I564" i="1" s="1"/>
  <c r="J564" i="1" a="1"/>
  <c r="J564" i="1" s="1"/>
  <c r="K564" i="1" a="1"/>
  <c r="K564" i="1" s="1"/>
  <c r="L564" i="1" a="1"/>
  <c r="L564" i="1" s="1"/>
  <c r="G565" i="1" a="1"/>
  <c r="G565" i="1" s="1"/>
  <c r="H565" i="1" a="1"/>
  <c r="H565" i="1" s="1"/>
  <c r="I565" i="1" a="1"/>
  <c r="I565" i="1" s="1"/>
  <c r="J565" i="1" a="1"/>
  <c r="J565" i="1" s="1"/>
  <c r="K565" i="1" a="1"/>
  <c r="K565" i="1" s="1"/>
  <c r="L565" i="1" a="1"/>
  <c r="L565" i="1" s="1"/>
  <c r="G566" i="1" a="1"/>
  <c r="G566" i="1" s="1"/>
  <c r="H566" i="1" a="1"/>
  <c r="H566" i="1" s="1"/>
  <c r="I566" i="1" a="1"/>
  <c r="I566" i="1" s="1"/>
  <c r="J566" i="1" a="1"/>
  <c r="J566" i="1" s="1"/>
  <c r="K566" i="1" a="1"/>
  <c r="K566" i="1" s="1"/>
  <c r="L566" i="1" a="1"/>
  <c r="L566" i="1" s="1"/>
  <c r="G567" i="1" a="1"/>
  <c r="G567" i="1" s="1"/>
  <c r="H567" i="1" a="1"/>
  <c r="H567" i="1" s="1"/>
  <c r="I567" i="1" a="1"/>
  <c r="I567" i="1" s="1"/>
  <c r="J567" i="1" a="1"/>
  <c r="J567" i="1" s="1"/>
  <c r="K567" i="1" a="1"/>
  <c r="K567" i="1" s="1"/>
  <c r="L567" i="1" a="1"/>
  <c r="L567" i="1" s="1"/>
  <c r="G568" i="1" a="1"/>
  <c r="G568" i="1" s="1"/>
  <c r="H568" i="1" a="1"/>
  <c r="H568" i="1" s="1"/>
  <c r="I568" i="1" a="1"/>
  <c r="I568" i="1" s="1"/>
  <c r="J568" i="1" a="1"/>
  <c r="J568" i="1" s="1"/>
  <c r="K568" i="1" a="1"/>
  <c r="K568" i="1" s="1"/>
  <c r="L568" i="1" a="1"/>
  <c r="L568" i="1" s="1"/>
  <c r="G569" i="1" a="1"/>
  <c r="G569" i="1" s="1"/>
  <c r="H569" i="1" a="1"/>
  <c r="H569" i="1" s="1"/>
  <c r="I569" i="1" a="1"/>
  <c r="I569" i="1" s="1"/>
  <c r="J569" i="1" a="1"/>
  <c r="J569" i="1" s="1"/>
  <c r="K569" i="1" a="1"/>
  <c r="K569" i="1" s="1"/>
  <c r="L569" i="1" a="1"/>
  <c r="L569" i="1" s="1"/>
  <c r="G570" i="1" a="1"/>
  <c r="G570" i="1" s="1"/>
  <c r="H570" i="1" a="1"/>
  <c r="H570" i="1" s="1"/>
  <c r="I570" i="1" a="1"/>
  <c r="I570" i="1" s="1"/>
  <c r="J570" i="1" a="1"/>
  <c r="J570" i="1" s="1"/>
  <c r="K570" i="1" a="1"/>
  <c r="K570" i="1" s="1"/>
  <c r="L570" i="1" a="1"/>
  <c r="L570" i="1" s="1"/>
  <c r="G571" i="1" a="1"/>
  <c r="G571" i="1" s="1"/>
  <c r="H571" i="1" a="1"/>
  <c r="H571" i="1" s="1"/>
  <c r="I571" i="1" a="1"/>
  <c r="I571" i="1" s="1"/>
  <c r="J571" i="1" a="1"/>
  <c r="J571" i="1" s="1"/>
  <c r="K571" i="1" a="1"/>
  <c r="K571" i="1" s="1"/>
  <c r="L571" i="1" a="1"/>
  <c r="L571" i="1" s="1"/>
  <c r="G572" i="1" a="1"/>
  <c r="G572" i="1" s="1"/>
  <c r="H572" i="1" a="1"/>
  <c r="H572" i="1" s="1"/>
  <c r="I572" i="1" a="1"/>
  <c r="I572" i="1" s="1"/>
  <c r="J572" i="1" a="1"/>
  <c r="J572" i="1" s="1"/>
  <c r="K572" i="1" a="1"/>
  <c r="K572" i="1" s="1"/>
  <c r="L572" i="1" a="1"/>
  <c r="L572" i="1" s="1"/>
  <c r="G573" i="1" a="1"/>
  <c r="G573" i="1" s="1"/>
  <c r="H573" i="1" a="1"/>
  <c r="H573" i="1" s="1"/>
  <c r="I573" i="1" a="1"/>
  <c r="I573" i="1" s="1"/>
  <c r="J573" i="1" a="1"/>
  <c r="J573" i="1" s="1"/>
  <c r="K573" i="1" a="1"/>
  <c r="K573" i="1" s="1"/>
  <c r="L573" i="1" a="1"/>
  <c r="L573" i="1" s="1"/>
  <c r="G574" i="1" a="1"/>
  <c r="G574" i="1" s="1"/>
  <c r="H574" i="1" a="1"/>
  <c r="H574" i="1" s="1"/>
  <c r="I574" i="1" a="1"/>
  <c r="I574" i="1" s="1"/>
  <c r="J574" i="1" a="1"/>
  <c r="J574" i="1" s="1"/>
  <c r="K574" i="1" a="1"/>
  <c r="K574" i="1" s="1"/>
  <c r="L574" i="1" a="1"/>
  <c r="L574" i="1" s="1"/>
  <c r="G575" i="1" a="1"/>
  <c r="G575" i="1" s="1"/>
  <c r="H575" i="1" a="1"/>
  <c r="H575" i="1" s="1"/>
  <c r="I575" i="1" a="1"/>
  <c r="I575" i="1" s="1"/>
  <c r="J575" i="1" a="1"/>
  <c r="J575" i="1" s="1"/>
  <c r="K575" i="1" a="1"/>
  <c r="K575" i="1" s="1"/>
  <c r="L575" i="1" a="1"/>
  <c r="L575" i="1" s="1"/>
  <c r="G576" i="1" a="1"/>
  <c r="G576" i="1" s="1"/>
  <c r="H576" i="1" a="1"/>
  <c r="H576" i="1" s="1"/>
  <c r="I576" i="1" a="1"/>
  <c r="I576" i="1" s="1"/>
  <c r="J576" i="1" a="1"/>
  <c r="J576" i="1" s="1"/>
  <c r="K576" i="1" a="1"/>
  <c r="K576" i="1" s="1"/>
  <c r="L576" i="1" a="1"/>
  <c r="L576" i="1" s="1"/>
  <c r="G577" i="1" a="1"/>
  <c r="G577" i="1" s="1"/>
  <c r="H577" i="1" a="1"/>
  <c r="H577" i="1" s="1"/>
  <c r="I577" i="1" a="1"/>
  <c r="I577" i="1" s="1"/>
  <c r="J577" i="1" a="1"/>
  <c r="J577" i="1" s="1"/>
  <c r="K577" i="1" a="1"/>
  <c r="K577" i="1" s="1"/>
  <c r="L577" i="1" a="1"/>
  <c r="L577" i="1" s="1"/>
  <c r="G578" i="1" a="1"/>
  <c r="G578" i="1" s="1"/>
  <c r="H578" i="1" a="1"/>
  <c r="H578" i="1" s="1"/>
  <c r="I578" i="1" a="1"/>
  <c r="I578" i="1" s="1"/>
  <c r="J578" i="1" a="1"/>
  <c r="J578" i="1" s="1"/>
  <c r="K578" i="1" a="1"/>
  <c r="K578" i="1" s="1"/>
  <c r="L578" i="1" a="1"/>
  <c r="L578" i="1" s="1"/>
  <c r="G579" i="1" a="1"/>
  <c r="G579" i="1" s="1"/>
  <c r="H579" i="1" a="1"/>
  <c r="H579" i="1" s="1"/>
  <c r="I579" i="1" a="1"/>
  <c r="I579" i="1" s="1"/>
  <c r="J579" i="1" a="1"/>
  <c r="J579" i="1" s="1"/>
  <c r="K579" i="1" a="1"/>
  <c r="K579" i="1" s="1"/>
  <c r="L579" i="1" a="1"/>
  <c r="L579" i="1" s="1"/>
  <c r="G580" i="1" a="1"/>
  <c r="G580" i="1" s="1"/>
  <c r="H580" i="1" a="1"/>
  <c r="H580" i="1" s="1"/>
  <c r="I580" i="1" a="1"/>
  <c r="I580" i="1" s="1"/>
  <c r="J580" i="1" a="1"/>
  <c r="J580" i="1" s="1"/>
  <c r="K580" i="1" a="1"/>
  <c r="K580" i="1" s="1"/>
  <c r="L580" i="1" a="1"/>
  <c r="L580" i="1" s="1"/>
  <c r="G581" i="1" a="1"/>
  <c r="G581" i="1" s="1"/>
  <c r="H581" i="1" a="1"/>
  <c r="H581" i="1" s="1"/>
  <c r="I581" i="1" a="1"/>
  <c r="I581" i="1" s="1"/>
  <c r="J581" i="1" a="1"/>
  <c r="J581" i="1" s="1"/>
  <c r="K581" i="1" a="1"/>
  <c r="K581" i="1" s="1"/>
  <c r="L581" i="1" a="1"/>
  <c r="L581" i="1" s="1"/>
  <c r="G582" i="1" a="1"/>
  <c r="G582" i="1" s="1"/>
  <c r="H582" i="1" a="1"/>
  <c r="H582" i="1" s="1"/>
  <c r="I582" i="1" a="1"/>
  <c r="I582" i="1" s="1"/>
  <c r="J582" i="1" a="1"/>
  <c r="J582" i="1" s="1"/>
  <c r="K582" i="1" a="1"/>
  <c r="K582" i="1" s="1"/>
  <c r="L582" i="1" a="1"/>
  <c r="L582" i="1" s="1"/>
  <c r="G583" i="1" a="1"/>
  <c r="G583" i="1" s="1"/>
  <c r="H583" i="1" a="1"/>
  <c r="H583" i="1" s="1"/>
  <c r="I583" i="1" a="1"/>
  <c r="I583" i="1" s="1"/>
  <c r="J583" i="1" a="1"/>
  <c r="J583" i="1" s="1"/>
  <c r="K583" i="1" a="1"/>
  <c r="K583" i="1" s="1"/>
  <c r="L583" i="1" a="1"/>
  <c r="L583" i="1" s="1"/>
  <c r="G584" i="1" a="1"/>
  <c r="G584" i="1" s="1"/>
  <c r="H584" i="1" a="1"/>
  <c r="H584" i="1" s="1"/>
  <c r="I584" i="1" a="1"/>
  <c r="I584" i="1" s="1"/>
  <c r="J584" i="1" a="1"/>
  <c r="J584" i="1" s="1"/>
  <c r="K584" i="1" a="1"/>
  <c r="K584" i="1" s="1"/>
  <c r="L584" i="1" a="1"/>
  <c r="L584" i="1" s="1"/>
  <c r="G585" i="1" a="1"/>
  <c r="G585" i="1" s="1"/>
  <c r="H585" i="1" a="1"/>
  <c r="H585" i="1" s="1"/>
  <c r="I585" i="1" a="1"/>
  <c r="I585" i="1" s="1"/>
  <c r="J585" i="1" a="1"/>
  <c r="J585" i="1" s="1"/>
  <c r="K585" i="1" a="1"/>
  <c r="K585" i="1" s="1"/>
  <c r="L585" i="1" a="1"/>
  <c r="L585" i="1" s="1"/>
  <c r="G586" i="1" a="1"/>
  <c r="G586" i="1" s="1"/>
  <c r="H586" i="1" a="1"/>
  <c r="H586" i="1" s="1"/>
  <c r="I586" i="1" a="1"/>
  <c r="I586" i="1" s="1"/>
  <c r="J586" i="1" a="1"/>
  <c r="J586" i="1" s="1"/>
  <c r="K586" i="1" a="1"/>
  <c r="K586" i="1" s="1"/>
  <c r="L586" i="1" a="1"/>
  <c r="L586" i="1" s="1"/>
  <c r="G587" i="1" a="1"/>
  <c r="G587" i="1" s="1"/>
  <c r="H587" i="1" a="1"/>
  <c r="H587" i="1" s="1"/>
  <c r="I587" i="1" a="1"/>
  <c r="I587" i="1" s="1"/>
  <c r="J587" i="1" a="1"/>
  <c r="J587" i="1" s="1"/>
  <c r="K587" i="1" a="1"/>
  <c r="K587" i="1" s="1"/>
  <c r="L587" i="1" a="1"/>
  <c r="L587" i="1" s="1"/>
  <c r="G588" i="1" a="1"/>
  <c r="G588" i="1" s="1"/>
  <c r="H588" i="1" a="1"/>
  <c r="H588" i="1" s="1"/>
  <c r="I588" i="1" a="1"/>
  <c r="I588" i="1" s="1"/>
  <c r="J588" i="1" a="1"/>
  <c r="J588" i="1" s="1"/>
  <c r="K588" i="1" a="1"/>
  <c r="K588" i="1" s="1"/>
  <c r="L588" i="1" a="1"/>
  <c r="L588" i="1" s="1"/>
  <c r="G589" i="1" a="1"/>
  <c r="G589" i="1" s="1"/>
  <c r="H589" i="1" a="1"/>
  <c r="H589" i="1" s="1"/>
  <c r="I589" i="1" a="1"/>
  <c r="I589" i="1" s="1"/>
  <c r="J589" i="1" a="1"/>
  <c r="J589" i="1" s="1"/>
  <c r="K589" i="1" a="1"/>
  <c r="K589" i="1" s="1"/>
  <c r="L589" i="1" a="1"/>
  <c r="L589" i="1" s="1"/>
  <c r="G590" i="1" a="1"/>
  <c r="G590" i="1" s="1"/>
  <c r="H590" i="1" a="1"/>
  <c r="H590" i="1" s="1"/>
  <c r="I590" i="1" a="1"/>
  <c r="I590" i="1" s="1"/>
  <c r="J590" i="1" a="1"/>
  <c r="J590" i="1" s="1"/>
  <c r="K590" i="1" a="1"/>
  <c r="K590" i="1" s="1"/>
  <c r="L590" i="1" a="1"/>
  <c r="L590" i="1" s="1"/>
  <c r="G591" i="1" a="1"/>
  <c r="G591" i="1" s="1"/>
  <c r="H591" i="1" a="1"/>
  <c r="H591" i="1" s="1"/>
  <c r="I591" i="1" a="1"/>
  <c r="I591" i="1" s="1"/>
  <c r="J591" i="1" a="1"/>
  <c r="J591" i="1" s="1"/>
  <c r="K591" i="1" a="1"/>
  <c r="K591" i="1" s="1"/>
  <c r="L591" i="1" a="1"/>
  <c r="L591" i="1" s="1"/>
  <c r="G592" i="1" a="1"/>
  <c r="G592" i="1" s="1"/>
  <c r="H592" i="1" a="1"/>
  <c r="H592" i="1" s="1"/>
  <c r="I592" i="1" a="1"/>
  <c r="I592" i="1" s="1"/>
  <c r="J592" i="1" a="1"/>
  <c r="J592" i="1" s="1"/>
  <c r="K592" i="1" a="1"/>
  <c r="K592" i="1" s="1"/>
  <c r="L592" i="1" a="1"/>
  <c r="L592" i="1" s="1"/>
  <c r="G593" i="1" a="1"/>
  <c r="G593" i="1" s="1"/>
  <c r="H593" i="1" a="1"/>
  <c r="H593" i="1" s="1"/>
  <c r="I593" i="1" a="1"/>
  <c r="I593" i="1" s="1"/>
  <c r="J593" i="1" a="1"/>
  <c r="J593" i="1" s="1"/>
  <c r="K593" i="1" a="1"/>
  <c r="K593" i="1" s="1"/>
  <c r="L593" i="1" a="1"/>
  <c r="L593" i="1" s="1"/>
  <c r="G594" i="1" a="1"/>
  <c r="G594" i="1" s="1"/>
  <c r="H594" i="1" a="1"/>
  <c r="H594" i="1" s="1"/>
  <c r="I594" i="1" a="1"/>
  <c r="I594" i="1" s="1"/>
  <c r="J594" i="1" a="1"/>
  <c r="J594" i="1" s="1"/>
  <c r="K594" i="1" a="1"/>
  <c r="K594" i="1" s="1"/>
  <c r="L594" i="1" a="1"/>
  <c r="L594" i="1" s="1"/>
  <c r="G595" i="1" a="1"/>
  <c r="G595" i="1" s="1"/>
  <c r="H595" i="1" a="1"/>
  <c r="H595" i="1" s="1"/>
  <c r="I595" i="1" a="1"/>
  <c r="I595" i="1" s="1"/>
  <c r="J595" i="1" a="1"/>
  <c r="J595" i="1" s="1"/>
  <c r="K595" i="1" a="1"/>
  <c r="K595" i="1" s="1"/>
  <c r="L595" i="1" a="1"/>
  <c r="L595" i="1" s="1"/>
  <c r="G596" i="1" a="1"/>
  <c r="G596" i="1" s="1"/>
  <c r="H596" i="1" a="1"/>
  <c r="H596" i="1" s="1"/>
  <c r="I596" i="1" a="1"/>
  <c r="I596" i="1" s="1"/>
  <c r="J596" i="1" a="1"/>
  <c r="J596" i="1" s="1"/>
  <c r="K596" i="1" a="1"/>
  <c r="K596" i="1" s="1"/>
  <c r="L596" i="1" a="1"/>
  <c r="L596" i="1" s="1"/>
  <c r="G597" i="1" a="1"/>
  <c r="G597" i="1" s="1"/>
  <c r="H597" i="1" a="1"/>
  <c r="H597" i="1" s="1"/>
  <c r="I597" i="1" a="1"/>
  <c r="I597" i="1" s="1"/>
  <c r="J597" i="1" a="1"/>
  <c r="J597" i="1" s="1"/>
  <c r="K597" i="1" a="1"/>
  <c r="K597" i="1" s="1"/>
  <c r="L597" i="1" a="1"/>
  <c r="L597" i="1" s="1"/>
  <c r="G598" i="1" a="1"/>
  <c r="G598" i="1" s="1"/>
  <c r="H598" i="1" a="1"/>
  <c r="H598" i="1" s="1"/>
  <c r="I598" i="1" a="1"/>
  <c r="I598" i="1" s="1"/>
  <c r="J598" i="1" a="1"/>
  <c r="J598" i="1" s="1"/>
  <c r="K598" i="1" a="1"/>
  <c r="K598" i="1" s="1"/>
  <c r="L598" i="1" a="1"/>
  <c r="L598" i="1" s="1"/>
  <c r="G599" i="1" a="1"/>
  <c r="G599" i="1" s="1"/>
  <c r="H599" i="1" a="1"/>
  <c r="H599" i="1" s="1"/>
  <c r="I599" i="1" a="1"/>
  <c r="I599" i="1" s="1"/>
  <c r="J599" i="1" a="1"/>
  <c r="J599" i="1" s="1"/>
  <c r="K599" i="1" a="1"/>
  <c r="K599" i="1" s="1"/>
  <c r="L599" i="1" a="1"/>
  <c r="L599" i="1" s="1"/>
  <c r="G600" i="1" a="1"/>
  <c r="G600" i="1" s="1"/>
  <c r="H600" i="1" a="1"/>
  <c r="H600" i="1" s="1"/>
  <c r="I600" i="1" a="1"/>
  <c r="I600" i="1" s="1"/>
  <c r="J600" i="1" a="1"/>
  <c r="J600" i="1" s="1"/>
  <c r="K600" i="1" a="1"/>
  <c r="K600" i="1" s="1"/>
  <c r="L600" i="1" a="1"/>
  <c r="L600" i="1" s="1"/>
  <c r="G601" i="1" a="1"/>
  <c r="G601" i="1" s="1"/>
  <c r="H601" i="1" a="1"/>
  <c r="H601" i="1" s="1"/>
  <c r="I601" i="1" a="1"/>
  <c r="I601" i="1" s="1"/>
  <c r="J601" i="1" a="1"/>
  <c r="J601" i="1" s="1"/>
  <c r="K601" i="1" a="1"/>
  <c r="K601" i="1" s="1"/>
  <c r="L601" i="1" a="1"/>
  <c r="L601" i="1" s="1"/>
  <c r="G602" i="1" a="1"/>
  <c r="G602" i="1" s="1"/>
  <c r="H602" i="1" a="1"/>
  <c r="H602" i="1" s="1"/>
  <c r="I602" i="1" a="1"/>
  <c r="I602" i="1" s="1"/>
  <c r="J602" i="1" a="1"/>
  <c r="J602" i="1" s="1"/>
  <c r="K602" i="1" a="1"/>
  <c r="K602" i="1" s="1"/>
  <c r="L602" i="1" a="1"/>
  <c r="L602" i="1" s="1"/>
  <c r="G603" i="1" a="1"/>
  <c r="G603" i="1" s="1"/>
  <c r="H603" i="1" a="1"/>
  <c r="H603" i="1" s="1"/>
  <c r="I603" i="1" a="1"/>
  <c r="I603" i="1" s="1"/>
  <c r="J603" i="1" a="1"/>
  <c r="J603" i="1" s="1"/>
  <c r="K603" i="1" a="1"/>
  <c r="K603" i="1" s="1"/>
  <c r="L603" i="1" a="1"/>
  <c r="L603" i="1" s="1"/>
  <c r="G604" i="1" a="1"/>
  <c r="G604" i="1" s="1"/>
  <c r="H604" i="1" a="1"/>
  <c r="H604" i="1" s="1"/>
  <c r="I604" i="1" a="1"/>
  <c r="I604" i="1" s="1"/>
  <c r="J604" i="1" a="1"/>
  <c r="J604" i="1" s="1"/>
  <c r="K604" i="1" a="1"/>
  <c r="K604" i="1" s="1"/>
  <c r="L604" i="1" a="1"/>
  <c r="L604" i="1" s="1"/>
  <c r="G605" i="1" a="1"/>
  <c r="G605" i="1" s="1"/>
  <c r="H605" i="1" a="1"/>
  <c r="H605" i="1" s="1"/>
  <c r="I605" i="1" a="1"/>
  <c r="I605" i="1" s="1"/>
  <c r="J605" i="1" a="1"/>
  <c r="J605" i="1" s="1"/>
  <c r="K605" i="1" a="1"/>
  <c r="K605" i="1" s="1"/>
  <c r="L605" i="1" a="1"/>
  <c r="L605" i="1" s="1"/>
  <c r="G606" i="1" a="1"/>
  <c r="G606" i="1" s="1"/>
  <c r="H606" i="1" a="1"/>
  <c r="H606" i="1" s="1"/>
  <c r="I606" i="1" a="1"/>
  <c r="I606" i="1" s="1"/>
  <c r="J606" i="1" a="1"/>
  <c r="J606" i="1" s="1"/>
  <c r="K606" i="1" a="1"/>
  <c r="K606" i="1" s="1"/>
  <c r="L606" i="1" a="1"/>
  <c r="L606" i="1" s="1"/>
  <c r="G607" i="1" a="1"/>
  <c r="G607" i="1" s="1"/>
  <c r="H607" i="1" a="1"/>
  <c r="H607" i="1" s="1"/>
  <c r="I607" i="1" a="1"/>
  <c r="I607" i="1" s="1"/>
  <c r="J607" i="1" a="1"/>
  <c r="J607" i="1" s="1"/>
  <c r="K607" i="1" a="1"/>
  <c r="K607" i="1" s="1"/>
  <c r="L607" i="1" a="1"/>
  <c r="L607" i="1" s="1"/>
  <c r="G608" i="1" a="1"/>
  <c r="G608" i="1" s="1"/>
  <c r="H608" i="1" a="1"/>
  <c r="H608" i="1" s="1"/>
  <c r="I608" i="1" a="1"/>
  <c r="I608" i="1" s="1"/>
  <c r="J608" i="1" a="1"/>
  <c r="J608" i="1" s="1"/>
  <c r="K608" i="1" a="1"/>
  <c r="K608" i="1" s="1"/>
  <c r="L608" i="1" a="1"/>
  <c r="L608" i="1" s="1"/>
  <c r="G609" i="1" a="1"/>
  <c r="G609" i="1" s="1"/>
  <c r="H609" i="1" a="1"/>
  <c r="H609" i="1" s="1"/>
  <c r="I609" i="1" a="1"/>
  <c r="I609" i="1" s="1"/>
  <c r="J609" i="1" a="1"/>
  <c r="J609" i="1" s="1"/>
  <c r="K609" i="1" a="1"/>
  <c r="K609" i="1" s="1"/>
  <c r="L609" i="1" a="1"/>
  <c r="L609" i="1" s="1"/>
  <c r="G610" i="1" a="1"/>
  <c r="G610" i="1" s="1"/>
  <c r="H610" i="1" a="1"/>
  <c r="H610" i="1" s="1"/>
  <c r="I610" i="1" a="1"/>
  <c r="I610" i="1" s="1"/>
  <c r="J610" i="1" a="1"/>
  <c r="J610" i="1" s="1"/>
  <c r="K610" i="1" a="1"/>
  <c r="K610" i="1" s="1"/>
  <c r="L610" i="1" a="1"/>
  <c r="L610" i="1" s="1"/>
  <c r="G611" i="1" a="1"/>
  <c r="G611" i="1" s="1"/>
  <c r="H611" i="1" a="1"/>
  <c r="H611" i="1" s="1"/>
  <c r="I611" i="1" a="1"/>
  <c r="I611" i="1" s="1"/>
  <c r="J611" i="1" a="1"/>
  <c r="J611" i="1" s="1"/>
  <c r="K611" i="1" a="1"/>
  <c r="K611" i="1" s="1"/>
  <c r="L611" i="1" a="1"/>
  <c r="L611" i="1" s="1"/>
  <c r="G612" i="1" a="1"/>
  <c r="G612" i="1" s="1"/>
  <c r="H612" i="1" a="1"/>
  <c r="H612" i="1" s="1"/>
  <c r="I612" i="1" a="1"/>
  <c r="I612" i="1" s="1"/>
  <c r="J612" i="1" a="1"/>
  <c r="J612" i="1" s="1"/>
  <c r="K612" i="1" a="1"/>
  <c r="K612" i="1" s="1"/>
  <c r="L612" i="1" a="1"/>
  <c r="L612" i="1" s="1"/>
  <c r="G613" i="1" a="1"/>
  <c r="G613" i="1" s="1"/>
  <c r="H613" i="1" a="1"/>
  <c r="H613" i="1" s="1"/>
  <c r="I613" i="1" a="1"/>
  <c r="I613" i="1" s="1"/>
  <c r="J613" i="1" a="1"/>
  <c r="J613" i="1" s="1"/>
  <c r="K613" i="1" a="1"/>
  <c r="K613" i="1" s="1"/>
  <c r="L613" i="1" a="1"/>
  <c r="L613" i="1" s="1"/>
  <c r="G614" i="1" a="1"/>
  <c r="G614" i="1" s="1"/>
  <c r="H614" i="1" a="1"/>
  <c r="H614" i="1" s="1"/>
  <c r="I614" i="1" a="1"/>
  <c r="I614" i="1" s="1"/>
  <c r="J614" i="1" a="1"/>
  <c r="J614" i="1" s="1"/>
  <c r="K614" i="1" a="1"/>
  <c r="K614" i="1" s="1"/>
  <c r="L614" i="1" a="1"/>
  <c r="L614" i="1" s="1"/>
  <c r="G615" i="1" a="1"/>
  <c r="G615" i="1" s="1"/>
  <c r="H615" i="1" a="1"/>
  <c r="H615" i="1" s="1"/>
  <c r="I615" i="1" a="1"/>
  <c r="I615" i="1" s="1"/>
  <c r="J615" i="1" a="1"/>
  <c r="J615" i="1" s="1"/>
  <c r="K615" i="1" a="1"/>
  <c r="K615" i="1" s="1"/>
  <c r="L615" i="1" a="1"/>
  <c r="L615" i="1" s="1"/>
  <c r="G616" i="1" a="1"/>
  <c r="G616" i="1" s="1"/>
  <c r="H616" i="1" a="1"/>
  <c r="H616" i="1" s="1"/>
  <c r="I616" i="1" a="1"/>
  <c r="I616" i="1" s="1"/>
  <c r="J616" i="1" a="1"/>
  <c r="J616" i="1" s="1"/>
  <c r="K616" i="1" a="1"/>
  <c r="K616" i="1" s="1"/>
  <c r="L616" i="1" a="1"/>
  <c r="L616" i="1" s="1"/>
  <c r="G617" i="1" a="1"/>
  <c r="G617" i="1" s="1"/>
  <c r="H617" i="1" a="1"/>
  <c r="H617" i="1" s="1"/>
  <c r="I617" i="1" a="1"/>
  <c r="I617" i="1" s="1"/>
  <c r="J617" i="1" a="1"/>
  <c r="J617" i="1" s="1"/>
  <c r="K617" i="1" a="1"/>
  <c r="K617" i="1" s="1"/>
  <c r="L617" i="1" a="1"/>
  <c r="L617" i="1" s="1"/>
  <c r="G618" i="1" a="1"/>
  <c r="G618" i="1" s="1"/>
  <c r="H618" i="1" a="1"/>
  <c r="H618" i="1" s="1"/>
  <c r="I618" i="1" a="1"/>
  <c r="I618" i="1" s="1"/>
  <c r="J618" i="1" a="1"/>
  <c r="J618" i="1" s="1"/>
  <c r="K618" i="1" a="1"/>
  <c r="K618" i="1" s="1"/>
  <c r="L618" i="1" a="1"/>
  <c r="L618" i="1" s="1"/>
  <c r="G619" i="1" a="1"/>
  <c r="G619" i="1" s="1"/>
  <c r="H619" i="1" a="1"/>
  <c r="H619" i="1" s="1"/>
  <c r="I619" i="1" a="1"/>
  <c r="I619" i="1" s="1"/>
  <c r="J619" i="1" a="1"/>
  <c r="J619" i="1" s="1"/>
  <c r="K619" i="1" a="1"/>
  <c r="K619" i="1" s="1"/>
  <c r="L619" i="1" a="1"/>
  <c r="L619" i="1" s="1"/>
  <c r="G620" i="1" a="1"/>
  <c r="G620" i="1" s="1"/>
  <c r="H620" i="1" a="1"/>
  <c r="H620" i="1" s="1"/>
  <c r="I620" i="1" a="1"/>
  <c r="I620" i="1" s="1"/>
  <c r="J620" i="1" a="1"/>
  <c r="J620" i="1" s="1"/>
  <c r="K620" i="1" a="1"/>
  <c r="K620" i="1" s="1"/>
  <c r="L620" i="1" a="1"/>
  <c r="L620" i="1" s="1"/>
  <c r="G621" i="1" a="1"/>
  <c r="G621" i="1" s="1"/>
  <c r="H621" i="1" a="1"/>
  <c r="H621" i="1" s="1"/>
  <c r="I621" i="1" a="1"/>
  <c r="I621" i="1" s="1"/>
  <c r="J621" i="1" a="1"/>
  <c r="J621" i="1" s="1"/>
  <c r="K621" i="1" a="1"/>
  <c r="K621" i="1" s="1"/>
  <c r="L621" i="1" a="1"/>
  <c r="L621" i="1" s="1"/>
  <c r="G622" i="1" a="1"/>
  <c r="G622" i="1" s="1"/>
  <c r="H622" i="1" a="1"/>
  <c r="H622" i="1" s="1"/>
  <c r="I622" i="1" a="1"/>
  <c r="I622" i="1" s="1"/>
  <c r="J622" i="1" a="1"/>
  <c r="J622" i="1" s="1"/>
  <c r="K622" i="1" a="1"/>
  <c r="K622" i="1" s="1"/>
  <c r="L622" i="1" a="1"/>
  <c r="L622" i="1" s="1"/>
  <c r="G623" i="1" a="1"/>
  <c r="G623" i="1" s="1"/>
  <c r="H623" i="1" a="1"/>
  <c r="H623" i="1" s="1"/>
  <c r="I623" i="1" a="1"/>
  <c r="I623" i="1" s="1"/>
  <c r="J623" i="1" a="1"/>
  <c r="J623" i="1" s="1"/>
  <c r="K623" i="1" a="1"/>
  <c r="K623" i="1" s="1"/>
  <c r="L623" i="1" a="1"/>
  <c r="L623" i="1" s="1"/>
  <c r="G624" i="1" a="1"/>
  <c r="G624" i="1" s="1"/>
  <c r="H624" i="1" a="1"/>
  <c r="H624" i="1" s="1"/>
  <c r="I624" i="1" a="1"/>
  <c r="I624" i="1" s="1"/>
  <c r="J624" i="1" a="1"/>
  <c r="J624" i="1" s="1"/>
  <c r="K624" i="1" a="1"/>
  <c r="K624" i="1" s="1"/>
  <c r="L624" i="1" a="1"/>
  <c r="L624" i="1" s="1"/>
  <c r="G625" i="1" a="1"/>
  <c r="G625" i="1" s="1"/>
  <c r="H625" i="1" a="1"/>
  <c r="H625" i="1" s="1"/>
  <c r="I625" i="1" a="1"/>
  <c r="I625" i="1" s="1"/>
  <c r="J625" i="1" a="1"/>
  <c r="J625" i="1" s="1"/>
  <c r="K625" i="1" a="1"/>
  <c r="K625" i="1" s="1"/>
  <c r="L625" i="1" a="1"/>
  <c r="L625" i="1" s="1"/>
  <c r="G626" i="1" a="1"/>
  <c r="G626" i="1" s="1"/>
  <c r="H626" i="1" a="1"/>
  <c r="H626" i="1" s="1"/>
  <c r="I626" i="1" a="1"/>
  <c r="I626" i="1" s="1"/>
  <c r="J626" i="1" a="1"/>
  <c r="J626" i="1" s="1"/>
  <c r="K626" i="1" a="1"/>
  <c r="K626" i="1" s="1"/>
  <c r="L626" i="1" a="1"/>
  <c r="L626" i="1" s="1"/>
  <c r="G627" i="1" a="1"/>
  <c r="G627" i="1" s="1"/>
  <c r="H627" i="1" a="1"/>
  <c r="H627" i="1" s="1"/>
  <c r="I627" i="1" a="1"/>
  <c r="I627" i="1" s="1"/>
  <c r="J627" i="1" a="1"/>
  <c r="J627" i="1" s="1"/>
  <c r="K627" i="1" a="1"/>
  <c r="K627" i="1" s="1"/>
  <c r="L627" i="1" a="1"/>
  <c r="L627" i="1" s="1"/>
  <c r="G628" i="1" a="1"/>
  <c r="G628" i="1" s="1"/>
  <c r="H628" i="1" a="1"/>
  <c r="H628" i="1" s="1"/>
  <c r="I628" i="1" a="1"/>
  <c r="I628" i="1" s="1"/>
  <c r="J628" i="1" a="1"/>
  <c r="J628" i="1" s="1"/>
  <c r="K628" i="1" a="1"/>
  <c r="K628" i="1" s="1"/>
  <c r="L628" i="1" a="1"/>
  <c r="L628" i="1" s="1"/>
  <c r="G629" i="1" a="1"/>
  <c r="G629" i="1" s="1"/>
  <c r="H629" i="1" a="1"/>
  <c r="H629" i="1" s="1"/>
  <c r="I629" i="1" a="1"/>
  <c r="I629" i="1" s="1"/>
  <c r="J629" i="1" a="1"/>
  <c r="J629" i="1" s="1"/>
  <c r="K629" i="1" a="1"/>
  <c r="K629" i="1" s="1"/>
  <c r="L629" i="1" a="1"/>
  <c r="L629" i="1" s="1"/>
  <c r="G630" i="1" a="1"/>
  <c r="G630" i="1" s="1"/>
  <c r="H630" i="1" a="1"/>
  <c r="H630" i="1" s="1"/>
  <c r="I630" i="1" a="1"/>
  <c r="I630" i="1" s="1"/>
  <c r="J630" i="1" a="1"/>
  <c r="J630" i="1" s="1"/>
  <c r="K630" i="1" a="1"/>
  <c r="K630" i="1" s="1"/>
  <c r="L630" i="1" a="1"/>
  <c r="L630" i="1" s="1"/>
  <c r="G631" i="1" a="1"/>
  <c r="G631" i="1" s="1"/>
  <c r="H631" i="1" a="1"/>
  <c r="H631" i="1" s="1"/>
  <c r="I631" i="1" a="1"/>
  <c r="I631" i="1" s="1"/>
  <c r="J631" i="1" a="1"/>
  <c r="J631" i="1" s="1"/>
  <c r="K631" i="1" a="1"/>
  <c r="K631" i="1" s="1"/>
  <c r="L631" i="1" a="1"/>
  <c r="L631" i="1" s="1"/>
  <c r="G632" i="1" a="1"/>
  <c r="G632" i="1" s="1"/>
  <c r="H632" i="1" a="1"/>
  <c r="H632" i="1" s="1"/>
  <c r="I632" i="1" a="1"/>
  <c r="I632" i="1" s="1"/>
  <c r="J632" i="1" a="1"/>
  <c r="J632" i="1" s="1"/>
  <c r="K632" i="1" a="1"/>
  <c r="K632" i="1" s="1"/>
  <c r="L632" i="1" a="1"/>
  <c r="L632" i="1" s="1"/>
  <c r="G633" i="1" a="1"/>
  <c r="G633" i="1" s="1"/>
  <c r="H633" i="1" a="1"/>
  <c r="H633" i="1" s="1"/>
  <c r="I633" i="1" a="1"/>
  <c r="I633" i="1" s="1"/>
  <c r="J633" i="1" a="1"/>
  <c r="J633" i="1" s="1"/>
  <c r="K633" i="1" a="1"/>
  <c r="K633" i="1" s="1"/>
  <c r="L633" i="1" a="1"/>
  <c r="L633" i="1" s="1"/>
  <c r="G634" i="1" a="1"/>
  <c r="G634" i="1" s="1"/>
  <c r="H634" i="1" a="1"/>
  <c r="H634" i="1" s="1"/>
  <c r="I634" i="1" a="1"/>
  <c r="I634" i="1" s="1"/>
  <c r="J634" i="1" a="1"/>
  <c r="J634" i="1" s="1"/>
  <c r="K634" i="1" a="1"/>
  <c r="K634" i="1" s="1"/>
  <c r="L634" i="1" a="1"/>
  <c r="L634" i="1" s="1"/>
  <c r="G635" i="1" a="1"/>
  <c r="G635" i="1" s="1"/>
  <c r="H635" i="1" a="1"/>
  <c r="H635" i="1" s="1"/>
  <c r="I635" i="1" a="1"/>
  <c r="I635" i="1" s="1"/>
  <c r="J635" i="1" a="1"/>
  <c r="J635" i="1" s="1"/>
  <c r="K635" i="1" a="1"/>
  <c r="K635" i="1" s="1"/>
  <c r="L635" i="1" a="1"/>
  <c r="L635" i="1" s="1"/>
  <c r="G636" i="1" a="1"/>
  <c r="G636" i="1" s="1"/>
  <c r="H636" i="1" a="1"/>
  <c r="H636" i="1" s="1"/>
  <c r="I636" i="1" a="1"/>
  <c r="I636" i="1" s="1"/>
  <c r="J636" i="1" a="1"/>
  <c r="J636" i="1" s="1"/>
  <c r="K636" i="1" a="1"/>
  <c r="K636" i="1" s="1"/>
  <c r="L636" i="1" a="1"/>
  <c r="L636" i="1" s="1"/>
  <c r="G637" i="1" a="1"/>
  <c r="G637" i="1" s="1"/>
  <c r="H637" i="1" a="1"/>
  <c r="H637" i="1" s="1"/>
  <c r="I637" i="1" a="1"/>
  <c r="I637" i="1" s="1"/>
  <c r="J637" i="1" a="1"/>
  <c r="J637" i="1" s="1"/>
  <c r="K637" i="1" a="1"/>
  <c r="K637" i="1" s="1"/>
  <c r="L637" i="1" a="1"/>
  <c r="L637" i="1" s="1"/>
  <c r="G638" i="1" a="1"/>
  <c r="G638" i="1" s="1"/>
  <c r="H638" i="1" a="1"/>
  <c r="H638" i="1" s="1"/>
  <c r="I638" i="1" a="1"/>
  <c r="I638" i="1" s="1"/>
  <c r="J638" i="1" a="1"/>
  <c r="J638" i="1" s="1"/>
  <c r="K638" i="1" a="1"/>
  <c r="K638" i="1" s="1"/>
  <c r="L638" i="1" a="1"/>
  <c r="L638" i="1" s="1"/>
  <c r="G639" i="1" a="1"/>
  <c r="G639" i="1" s="1"/>
  <c r="H639" i="1" a="1"/>
  <c r="H639" i="1" s="1"/>
  <c r="I639" i="1" a="1"/>
  <c r="I639" i="1" s="1"/>
  <c r="J639" i="1" a="1"/>
  <c r="J639" i="1" s="1"/>
  <c r="K639" i="1" a="1"/>
  <c r="K639" i="1" s="1"/>
  <c r="L639" i="1" a="1"/>
  <c r="L639" i="1" s="1"/>
  <c r="G640" i="1" a="1"/>
  <c r="G640" i="1" s="1"/>
  <c r="H640" i="1" a="1"/>
  <c r="H640" i="1" s="1"/>
  <c r="I640" i="1" a="1"/>
  <c r="I640" i="1" s="1"/>
  <c r="J640" i="1" a="1"/>
  <c r="J640" i="1" s="1"/>
  <c r="K640" i="1" a="1"/>
  <c r="K640" i="1" s="1"/>
  <c r="L640" i="1" a="1"/>
  <c r="L640" i="1" s="1"/>
  <c r="G641" i="1" a="1"/>
  <c r="G641" i="1" s="1"/>
  <c r="H641" i="1" a="1"/>
  <c r="H641" i="1" s="1"/>
  <c r="I641" i="1" a="1"/>
  <c r="I641" i="1" s="1"/>
  <c r="J641" i="1" a="1"/>
  <c r="J641" i="1" s="1"/>
  <c r="K641" i="1" a="1"/>
  <c r="K641" i="1" s="1"/>
  <c r="L641" i="1" a="1"/>
  <c r="L641" i="1" s="1"/>
  <c r="G642" i="1" a="1"/>
  <c r="G642" i="1" s="1"/>
  <c r="H642" i="1" a="1"/>
  <c r="H642" i="1" s="1"/>
  <c r="I642" i="1" a="1"/>
  <c r="I642" i="1" s="1"/>
  <c r="J642" i="1" a="1"/>
  <c r="J642" i="1" s="1"/>
  <c r="K642" i="1" a="1"/>
  <c r="K642" i="1" s="1"/>
  <c r="L642" i="1" a="1"/>
  <c r="L642" i="1" s="1"/>
  <c r="G643" i="1" a="1"/>
  <c r="G643" i="1" s="1"/>
  <c r="H643" i="1" a="1"/>
  <c r="H643" i="1" s="1"/>
  <c r="I643" i="1" a="1"/>
  <c r="I643" i="1" s="1"/>
  <c r="J643" i="1" a="1"/>
  <c r="J643" i="1" s="1"/>
  <c r="K643" i="1" a="1"/>
  <c r="K643" i="1" s="1"/>
  <c r="L643" i="1" a="1"/>
  <c r="L643" i="1" s="1"/>
  <c r="G644" i="1" a="1"/>
  <c r="G644" i="1" s="1"/>
  <c r="H644" i="1" a="1"/>
  <c r="H644" i="1" s="1"/>
  <c r="I644" i="1" a="1"/>
  <c r="I644" i="1" s="1"/>
  <c r="J644" i="1" a="1"/>
  <c r="J644" i="1" s="1"/>
  <c r="K644" i="1" a="1"/>
  <c r="K644" i="1" s="1"/>
  <c r="L644" i="1" a="1"/>
  <c r="L644" i="1" s="1"/>
  <c r="G645" i="1" a="1"/>
  <c r="G645" i="1" s="1"/>
  <c r="H645" i="1" a="1"/>
  <c r="H645" i="1" s="1"/>
  <c r="I645" i="1" a="1"/>
  <c r="I645" i="1" s="1"/>
  <c r="J645" i="1" a="1"/>
  <c r="J645" i="1" s="1"/>
  <c r="K645" i="1" a="1"/>
  <c r="K645" i="1" s="1"/>
  <c r="L645" i="1" a="1"/>
  <c r="L645" i="1" s="1"/>
  <c r="G646" i="1" a="1"/>
  <c r="G646" i="1" s="1"/>
  <c r="H646" i="1" a="1"/>
  <c r="H646" i="1" s="1"/>
  <c r="I646" i="1" a="1"/>
  <c r="I646" i="1" s="1"/>
  <c r="J646" i="1" a="1"/>
  <c r="J646" i="1" s="1"/>
  <c r="K646" i="1" a="1"/>
  <c r="K646" i="1" s="1"/>
  <c r="L646" i="1" a="1"/>
  <c r="L646" i="1" s="1"/>
  <c r="G647" i="1" a="1"/>
  <c r="G647" i="1" s="1"/>
  <c r="H647" i="1" a="1"/>
  <c r="H647" i="1" s="1"/>
  <c r="I647" i="1" a="1"/>
  <c r="I647" i="1" s="1"/>
  <c r="J647" i="1" a="1"/>
  <c r="J647" i="1" s="1"/>
  <c r="K647" i="1" a="1"/>
  <c r="K647" i="1" s="1"/>
  <c r="L647" i="1" a="1"/>
  <c r="L647" i="1" s="1"/>
  <c r="G648" i="1" a="1"/>
  <c r="G648" i="1" s="1"/>
  <c r="H648" i="1" a="1"/>
  <c r="H648" i="1" s="1"/>
  <c r="I648" i="1" a="1"/>
  <c r="I648" i="1" s="1"/>
  <c r="J648" i="1" a="1"/>
  <c r="J648" i="1" s="1"/>
  <c r="K648" i="1" a="1"/>
  <c r="K648" i="1" s="1"/>
  <c r="L648" i="1" a="1"/>
  <c r="L648" i="1" s="1"/>
  <c r="G649" i="1" a="1"/>
  <c r="G649" i="1" s="1"/>
  <c r="H649" i="1" a="1"/>
  <c r="H649" i="1" s="1"/>
  <c r="I649" i="1" a="1"/>
  <c r="I649" i="1" s="1"/>
  <c r="J649" i="1" a="1"/>
  <c r="J649" i="1" s="1"/>
  <c r="K649" i="1" a="1"/>
  <c r="K649" i="1" s="1"/>
  <c r="L649" i="1" a="1"/>
  <c r="L649" i="1" s="1"/>
  <c r="G650" i="1" a="1"/>
  <c r="G650" i="1" s="1"/>
  <c r="H650" i="1" a="1"/>
  <c r="H650" i="1" s="1"/>
  <c r="I650" i="1" a="1"/>
  <c r="I650" i="1" s="1"/>
  <c r="J650" i="1" a="1"/>
  <c r="J650" i="1" s="1"/>
  <c r="K650" i="1" a="1"/>
  <c r="K650" i="1" s="1"/>
  <c r="L650" i="1" a="1"/>
  <c r="L650" i="1" s="1"/>
  <c r="G651" i="1" a="1"/>
  <c r="G651" i="1" s="1"/>
  <c r="H651" i="1" a="1"/>
  <c r="H651" i="1" s="1"/>
  <c r="I651" i="1" a="1"/>
  <c r="I651" i="1" s="1"/>
  <c r="J651" i="1" a="1"/>
  <c r="J651" i="1" s="1"/>
  <c r="K651" i="1" a="1"/>
  <c r="K651" i="1" s="1"/>
  <c r="L651" i="1" a="1"/>
  <c r="L651" i="1" s="1"/>
  <c r="G652" i="1" a="1"/>
  <c r="G652" i="1" s="1"/>
  <c r="H652" i="1" a="1"/>
  <c r="H652" i="1" s="1"/>
  <c r="I652" i="1" a="1"/>
  <c r="I652" i="1" s="1"/>
  <c r="J652" i="1" a="1"/>
  <c r="J652" i="1" s="1"/>
  <c r="K652" i="1" a="1"/>
  <c r="K652" i="1" s="1"/>
  <c r="L652" i="1" a="1"/>
  <c r="L652" i="1" s="1"/>
  <c r="G653" i="1" a="1"/>
  <c r="G653" i="1" s="1"/>
  <c r="H653" i="1" a="1"/>
  <c r="H653" i="1" s="1"/>
  <c r="I653" i="1" a="1"/>
  <c r="I653" i="1" s="1"/>
  <c r="J653" i="1" a="1"/>
  <c r="J653" i="1" s="1"/>
  <c r="K653" i="1" a="1"/>
  <c r="K653" i="1" s="1"/>
  <c r="L653" i="1" a="1"/>
  <c r="L653" i="1" s="1"/>
  <c r="G654" i="1" a="1"/>
  <c r="G654" i="1" s="1"/>
  <c r="H654" i="1" a="1"/>
  <c r="H654" i="1" s="1"/>
  <c r="I654" i="1" a="1"/>
  <c r="I654" i="1" s="1"/>
  <c r="J654" i="1" a="1"/>
  <c r="J654" i="1" s="1"/>
  <c r="K654" i="1" a="1"/>
  <c r="K654" i="1" s="1"/>
  <c r="L654" i="1" a="1"/>
  <c r="L654" i="1" s="1"/>
  <c r="G655" i="1" a="1"/>
  <c r="G655" i="1" s="1"/>
  <c r="H655" i="1" a="1"/>
  <c r="H655" i="1" s="1"/>
  <c r="I655" i="1" a="1"/>
  <c r="I655" i="1" s="1"/>
  <c r="J655" i="1" a="1"/>
  <c r="J655" i="1" s="1"/>
  <c r="K655" i="1" a="1"/>
  <c r="K655" i="1" s="1"/>
  <c r="L655" i="1" a="1"/>
  <c r="L655" i="1" s="1"/>
  <c r="G656" i="1" a="1"/>
  <c r="G656" i="1" s="1"/>
  <c r="H656" i="1" a="1"/>
  <c r="H656" i="1" s="1"/>
  <c r="I656" i="1" a="1"/>
  <c r="I656" i="1" s="1"/>
  <c r="J656" i="1" a="1"/>
  <c r="J656" i="1" s="1"/>
  <c r="K656" i="1" a="1"/>
  <c r="K656" i="1" s="1"/>
  <c r="L656" i="1" a="1"/>
  <c r="L656" i="1" s="1"/>
  <c r="G657" i="1" a="1"/>
  <c r="G657" i="1" s="1"/>
  <c r="H657" i="1" a="1"/>
  <c r="H657" i="1" s="1"/>
  <c r="I657" i="1" a="1"/>
  <c r="I657" i="1" s="1"/>
  <c r="J657" i="1" a="1"/>
  <c r="J657" i="1" s="1"/>
  <c r="K657" i="1" a="1"/>
  <c r="K657" i="1" s="1"/>
  <c r="L657" i="1" a="1"/>
  <c r="L657" i="1" s="1"/>
  <c r="G658" i="1" a="1"/>
  <c r="G658" i="1" s="1"/>
  <c r="H658" i="1" a="1"/>
  <c r="H658" i="1" s="1"/>
  <c r="I658" i="1" a="1"/>
  <c r="I658" i="1" s="1"/>
  <c r="J658" i="1" a="1"/>
  <c r="J658" i="1" s="1"/>
  <c r="K658" i="1" a="1"/>
  <c r="K658" i="1" s="1"/>
  <c r="L658" i="1" a="1"/>
  <c r="L658" i="1" s="1"/>
  <c r="G659" i="1" a="1"/>
  <c r="G659" i="1" s="1"/>
  <c r="H659" i="1" a="1"/>
  <c r="H659" i="1" s="1"/>
  <c r="I659" i="1" a="1"/>
  <c r="I659" i="1" s="1"/>
  <c r="J659" i="1" a="1"/>
  <c r="J659" i="1" s="1"/>
  <c r="K659" i="1" a="1"/>
  <c r="K659" i="1" s="1"/>
  <c r="L659" i="1" a="1"/>
  <c r="L659" i="1" s="1"/>
  <c r="G660" i="1" a="1"/>
  <c r="G660" i="1" s="1"/>
  <c r="H660" i="1" a="1"/>
  <c r="H660" i="1" s="1"/>
  <c r="I660" i="1" a="1"/>
  <c r="I660" i="1" s="1"/>
  <c r="J660" i="1" a="1"/>
  <c r="J660" i="1" s="1"/>
  <c r="K660" i="1" a="1"/>
  <c r="K660" i="1" s="1"/>
  <c r="L660" i="1" a="1"/>
  <c r="L660" i="1" s="1"/>
  <c r="G661" i="1" a="1"/>
  <c r="G661" i="1" s="1"/>
  <c r="H661" i="1" a="1"/>
  <c r="H661" i="1" s="1"/>
  <c r="I661" i="1" a="1"/>
  <c r="I661" i="1" s="1"/>
  <c r="J661" i="1" a="1"/>
  <c r="J661" i="1" s="1"/>
  <c r="K661" i="1" a="1"/>
  <c r="K661" i="1" s="1"/>
  <c r="L661" i="1" a="1"/>
  <c r="L661" i="1" s="1"/>
  <c r="G662" i="1" a="1"/>
  <c r="G662" i="1" s="1"/>
  <c r="H662" i="1" a="1"/>
  <c r="H662" i="1" s="1"/>
  <c r="I662" i="1" a="1"/>
  <c r="I662" i="1" s="1"/>
  <c r="J662" i="1" a="1"/>
  <c r="J662" i="1" s="1"/>
  <c r="K662" i="1" a="1"/>
  <c r="K662" i="1" s="1"/>
  <c r="L662" i="1" a="1"/>
  <c r="L662" i="1" s="1"/>
  <c r="G663" i="1" a="1"/>
  <c r="G663" i="1" s="1"/>
  <c r="H663" i="1" a="1"/>
  <c r="H663" i="1" s="1"/>
  <c r="I663" i="1" a="1"/>
  <c r="I663" i="1" s="1"/>
  <c r="J663" i="1" a="1"/>
  <c r="J663" i="1" s="1"/>
  <c r="K663" i="1" a="1"/>
  <c r="K663" i="1" s="1"/>
  <c r="L663" i="1" a="1"/>
  <c r="L663" i="1" s="1"/>
  <c r="G664" i="1" a="1"/>
  <c r="G664" i="1" s="1"/>
  <c r="H664" i="1" a="1"/>
  <c r="H664" i="1" s="1"/>
  <c r="I664" i="1" a="1"/>
  <c r="I664" i="1" s="1"/>
  <c r="J664" i="1" a="1"/>
  <c r="J664" i="1" s="1"/>
  <c r="K664" i="1" a="1"/>
  <c r="K664" i="1" s="1"/>
  <c r="L664" i="1" a="1"/>
  <c r="L664" i="1" s="1"/>
  <c r="G665" i="1" a="1"/>
  <c r="G665" i="1" s="1"/>
  <c r="H665" i="1" a="1"/>
  <c r="H665" i="1" s="1"/>
  <c r="I665" i="1" a="1"/>
  <c r="I665" i="1" s="1"/>
  <c r="J665" i="1" a="1"/>
  <c r="J665" i="1" s="1"/>
  <c r="K665" i="1" a="1"/>
  <c r="K665" i="1" s="1"/>
  <c r="L665" i="1" a="1"/>
  <c r="L665" i="1" s="1"/>
  <c r="G666" i="1" a="1"/>
  <c r="G666" i="1" s="1"/>
  <c r="H666" i="1" a="1"/>
  <c r="H666" i="1" s="1"/>
  <c r="I666" i="1" a="1"/>
  <c r="I666" i="1" s="1"/>
  <c r="J666" i="1" a="1"/>
  <c r="J666" i="1" s="1"/>
  <c r="K666" i="1" a="1"/>
  <c r="K666" i="1" s="1"/>
  <c r="L666" i="1" a="1"/>
  <c r="L666" i="1" s="1"/>
  <c r="G667" i="1" a="1"/>
  <c r="G667" i="1" s="1"/>
  <c r="H667" i="1" a="1"/>
  <c r="H667" i="1" s="1"/>
  <c r="I667" i="1" a="1"/>
  <c r="I667" i="1" s="1"/>
  <c r="J667" i="1" a="1"/>
  <c r="J667" i="1" s="1"/>
  <c r="K667" i="1" a="1"/>
  <c r="K667" i="1" s="1"/>
  <c r="L667" i="1" a="1"/>
  <c r="L667" i="1" s="1"/>
  <c r="G668" i="1" a="1"/>
  <c r="G668" i="1" s="1"/>
  <c r="H668" i="1" a="1"/>
  <c r="H668" i="1" s="1"/>
  <c r="I668" i="1" a="1"/>
  <c r="I668" i="1" s="1"/>
  <c r="J668" i="1" a="1"/>
  <c r="J668" i="1" s="1"/>
  <c r="K668" i="1" a="1"/>
  <c r="K668" i="1" s="1"/>
  <c r="L668" i="1" a="1"/>
  <c r="L668" i="1" s="1"/>
  <c r="G669" i="1" a="1"/>
  <c r="G669" i="1" s="1"/>
  <c r="H669" i="1" a="1"/>
  <c r="H669" i="1" s="1"/>
  <c r="I669" i="1" a="1"/>
  <c r="I669" i="1" s="1"/>
  <c r="J669" i="1" a="1"/>
  <c r="J669" i="1" s="1"/>
  <c r="K669" i="1" a="1"/>
  <c r="K669" i="1" s="1"/>
  <c r="L669" i="1" a="1"/>
  <c r="L669" i="1" s="1"/>
  <c r="G670" i="1" a="1"/>
  <c r="G670" i="1" s="1"/>
  <c r="H670" i="1" a="1"/>
  <c r="H670" i="1" s="1"/>
  <c r="I670" i="1" a="1"/>
  <c r="I670" i="1" s="1"/>
  <c r="J670" i="1" a="1"/>
  <c r="J670" i="1" s="1"/>
  <c r="K670" i="1" a="1"/>
  <c r="K670" i="1" s="1"/>
  <c r="L670" i="1" a="1"/>
  <c r="L670" i="1" s="1"/>
  <c r="G671" i="1" a="1"/>
  <c r="G671" i="1" s="1"/>
  <c r="H671" i="1" a="1"/>
  <c r="H671" i="1" s="1"/>
  <c r="I671" i="1" a="1"/>
  <c r="I671" i="1" s="1"/>
  <c r="J671" i="1" a="1"/>
  <c r="J671" i="1" s="1"/>
  <c r="K671" i="1" a="1"/>
  <c r="K671" i="1" s="1"/>
  <c r="L671" i="1" a="1"/>
  <c r="L671" i="1" s="1"/>
  <c r="G672" i="1" a="1"/>
  <c r="G672" i="1" s="1"/>
  <c r="H672" i="1" a="1"/>
  <c r="H672" i="1" s="1"/>
  <c r="I672" i="1" a="1"/>
  <c r="I672" i="1" s="1"/>
  <c r="J672" i="1" a="1"/>
  <c r="J672" i="1" s="1"/>
  <c r="K672" i="1" a="1"/>
  <c r="K672" i="1" s="1"/>
  <c r="L672" i="1" a="1"/>
  <c r="L672" i="1" s="1"/>
  <c r="G673" i="1" a="1"/>
  <c r="G673" i="1" s="1"/>
  <c r="H673" i="1" a="1"/>
  <c r="H673" i="1" s="1"/>
  <c r="I673" i="1" a="1"/>
  <c r="I673" i="1" s="1"/>
  <c r="J673" i="1" a="1"/>
  <c r="J673" i="1" s="1"/>
  <c r="K673" i="1" a="1"/>
  <c r="K673" i="1" s="1"/>
  <c r="L673" i="1" a="1"/>
  <c r="L673" i="1" s="1"/>
  <c r="G674" i="1" a="1"/>
  <c r="G674" i="1" s="1"/>
  <c r="H674" i="1" a="1"/>
  <c r="H674" i="1" s="1"/>
  <c r="I674" i="1" a="1"/>
  <c r="I674" i="1" s="1"/>
  <c r="J674" i="1" a="1"/>
  <c r="J674" i="1" s="1"/>
  <c r="K674" i="1" a="1"/>
  <c r="K674" i="1" s="1"/>
  <c r="L674" i="1" a="1"/>
  <c r="L674" i="1" s="1"/>
  <c r="G675" i="1" a="1"/>
  <c r="G675" i="1" s="1"/>
  <c r="H675" i="1" a="1"/>
  <c r="H675" i="1" s="1"/>
  <c r="I675" i="1" a="1"/>
  <c r="I675" i="1" s="1"/>
  <c r="J675" i="1" a="1"/>
  <c r="J675" i="1" s="1"/>
  <c r="K675" i="1" a="1"/>
  <c r="K675" i="1" s="1"/>
  <c r="L675" i="1" a="1"/>
  <c r="L675" i="1" s="1"/>
  <c r="G676" i="1" a="1"/>
  <c r="G676" i="1" s="1"/>
  <c r="H676" i="1" a="1"/>
  <c r="H676" i="1" s="1"/>
  <c r="I676" i="1" a="1"/>
  <c r="I676" i="1" s="1"/>
  <c r="J676" i="1" a="1"/>
  <c r="J676" i="1" s="1"/>
  <c r="K676" i="1" a="1"/>
  <c r="K676" i="1" s="1"/>
  <c r="L676" i="1" a="1"/>
  <c r="L676" i="1" s="1"/>
  <c r="G677" i="1" a="1"/>
  <c r="G677" i="1" s="1"/>
  <c r="H677" i="1" a="1"/>
  <c r="H677" i="1" s="1"/>
  <c r="I677" i="1" a="1"/>
  <c r="I677" i="1" s="1"/>
  <c r="J677" i="1" a="1"/>
  <c r="J677" i="1" s="1"/>
  <c r="K677" i="1" a="1"/>
  <c r="K677" i="1" s="1"/>
  <c r="L677" i="1" a="1"/>
  <c r="L677" i="1" s="1"/>
  <c r="G678" i="1" a="1"/>
  <c r="G678" i="1" s="1"/>
  <c r="H678" i="1" a="1"/>
  <c r="H678" i="1" s="1"/>
  <c r="I678" i="1" a="1"/>
  <c r="I678" i="1" s="1"/>
  <c r="J678" i="1" a="1"/>
  <c r="J678" i="1" s="1"/>
  <c r="K678" i="1" a="1"/>
  <c r="K678" i="1" s="1"/>
  <c r="L678" i="1" a="1"/>
  <c r="L678" i="1" s="1"/>
  <c r="G679" i="1" a="1"/>
  <c r="G679" i="1" s="1"/>
  <c r="H679" i="1" a="1"/>
  <c r="H679" i="1" s="1"/>
  <c r="I679" i="1" a="1"/>
  <c r="I679" i="1" s="1"/>
  <c r="J679" i="1" a="1"/>
  <c r="J679" i="1" s="1"/>
  <c r="K679" i="1" a="1"/>
  <c r="K679" i="1" s="1"/>
  <c r="L679" i="1" a="1"/>
  <c r="L679" i="1" s="1"/>
  <c r="G680" i="1" a="1"/>
  <c r="G680" i="1" s="1"/>
  <c r="H680" i="1" a="1"/>
  <c r="H680" i="1" s="1"/>
  <c r="I680" i="1" a="1"/>
  <c r="I680" i="1" s="1"/>
  <c r="J680" i="1" a="1"/>
  <c r="J680" i="1" s="1"/>
  <c r="K680" i="1" a="1"/>
  <c r="K680" i="1" s="1"/>
  <c r="L680" i="1" a="1"/>
  <c r="L680" i="1" s="1"/>
  <c r="G681" i="1" a="1"/>
  <c r="G681" i="1" s="1"/>
  <c r="H681" i="1" a="1"/>
  <c r="H681" i="1" s="1"/>
  <c r="I681" i="1" a="1"/>
  <c r="I681" i="1" s="1"/>
  <c r="J681" i="1" a="1"/>
  <c r="J681" i="1" s="1"/>
  <c r="K681" i="1" a="1"/>
  <c r="K681" i="1" s="1"/>
  <c r="L681" i="1" a="1"/>
  <c r="L681" i="1" s="1"/>
  <c r="G682" i="1" a="1"/>
  <c r="G682" i="1" s="1"/>
  <c r="H682" i="1" a="1"/>
  <c r="H682" i="1" s="1"/>
  <c r="I682" i="1" a="1"/>
  <c r="I682" i="1" s="1"/>
  <c r="J682" i="1" a="1"/>
  <c r="J682" i="1" s="1"/>
  <c r="K682" i="1" a="1"/>
  <c r="K682" i="1" s="1"/>
  <c r="L682" i="1" a="1"/>
  <c r="L682" i="1" s="1"/>
  <c r="G683" i="1" a="1"/>
  <c r="G683" i="1" s="1"/>
  <c r="H683" i="1" a="1"/>
  <c r="H683" i="1" s="1"/>
  <c r="I683" i="1" a="1"/>
  <c r="I683" i="1" s="1"/>
  <c r="J683" i="1" a="1"/>
  <c r="J683" i="1" s="1"/>
  <c r="K683" i="1" a="1"/>
  <c r="K683" i="1" s="1"/>
  <c r="L683" i="1" a="1"/>
  <c r="L683" i="1" s="1"/>
  <c r="G684" i="1" a="1"/>
  <c r="G684" i="1" s="1"/>
  <c r="H684" i="1" a="1"/>
  <c r="H684" i="1" s="1"/>
  <c r="I684" i="1" a="1"/>
  <c r="I684" i="1" s="1"/>
  <c r="J684" i="1" a="1"/>
  <c r="J684" i="1" s="1"/>
  <c r="K684" i="1" a="1"/>
  <c r="K684" i="1" s="1"/>
  <c r="L684" i="1" a="1"/>
  <c r="L684" i="1" s="1"/>
  <c r="G685" i="1" a="1"/>
  <c r="G685" i="1" s="1"/>
  <c r="H685" i="1" a="1"/>
  <c r="H685" i="1" s="1"/>
  <c r="I685" i="1" a="1"/>
  <c r="I685" i="1" s="1"/>
  <c r="J685" i="1" a="1"/>
  <c r="J685" i="1" s="1"/>
  <c r="K685" i="1" a="1"/>
  <c r="K685" i="1" s="1"/>
  <c r="L685" i="1" a="1"/>
  <c r="L685" i="1" s="1"/>
  <c r="G686" i="1" a="1"/>
  <c r="G686" i="1" s="1"/>
  <c r="H686" i="1" a="1"/>
  <c r="H686" i="1" s="1"/>
  <c r="I686" i="1" a="1"/>
  <c r="I686" i="1" s="1"/>
  <c r="J686" i="1" a="1"/>
  <c r="J686" i="1" s="1"/>
  <c r="K686" i="1" a="1"/>
  <c r="K686" i="1" s="1"/>
  <c r="L686" i="1" a="1"/>
  <c r="L686" i="1" s="1"/>
  <c r="G687" i="1" a="1"/>
  <c r="G687" i="1" s="1"/>
  <c r="H687" i="1" a="1"/>
  <c r="H687" i="1" s="1"/>
  <c r="I687" i="1" a="1"/>
  <c r="I687" i="1" s="1"/>
  <c r="J687" i="1" a="1"/>
  <c r="J687" i="1" s="1"/>
  <c r="K687" i="1" a="1"/>
  <c r="K687" i="1" s="1"/>
  <c r="L687" i="1" a="1"/>
  <c r="L687" i="1" s="1"/>
  <c r="G688" i="1" a="1"/>
  <c r="G688" i="1" s="1"/>
  <c r="H688" i="1" a="1"/>
  <c r="H688" i="1" s="1"/>
  <c r="I688" i="1" a="1"/>
  <c r="I688" i="1" s="1"/>
  <c r="J688" i="1" a="1"/>
  <c r="J688" i="1" s="1"/>
  <c r="K688" i="1" a="1"/>
  <c r="K688" i="1" s="1"/>
  <c r="L688" i="1" a="1"/>
  <c r="L688" i="1" s="1"/>
  <c r="G689" i="1" a="1"/>
  <c r="G689" i="1" s="1"/>
  <c r="H689" i="1" a="1"/>
  <c r="H689" i="1" s="1"/>
  <c r="I689" i="1" a="1"/>
  <c r="I689" i="1" s="1"/>
  <c r="J689" i="1" a="1"/>
  <c r="J689" i="1" s="1"/>
  <c r="K689" i="1" a="1"/>
  <c r="K689" i="1" s="1"/>
  <c r="L689" i="1" a="1"/>
  <c r="L689" i="1" s="1"/>
  <c r="G690" i="1" a="1"/>
  <c r="G690" i="1" s="1"/>
  <c r="H690" i="1" a="1"/>
  <c r="H690" i="1" s="1"/>
  <c r="I690" i="1" a="1"/>
  <c r="I690" i="1" s="1"/>
  <c r="J690" i="1" a="1"/>
  <c r="J690" i="1" s="1"/>
  <c r="K690" i="1" a="1"/>
  <c r="K690" i="1" s="1"/>
  <c r="L690" i="1" a="1"/>
  <c r="L690" i="1" s="1"/>
  <c r="G691" i="1" a="1"/>
  <c r="G691" i="1" s="1"/>
  <c r="H691" i="1" a="1"/>
  <c r="H691" i="1" s="1"/>
  <c r="I691" i="1" a="1"/>
  <c r="I691" i="1" s="1"/>
  <c r="J691" i="1" a="1"/>
  <c r="J691" i="1" s="1"/>
  <c r="K691" i="1" a="1"/>
  <c r="K691" i="1" s="1"/>
  <c r="L691" i="1" a="1"/>
  <c r="L691" i="1" s="1"/>
  <c r="G692" i="1" a="1"/>
  <c r="G692" i="1" s="1"/>
  <c r="H692" i="1" a="1"/>
  <c r="H692" i="1" s="1"/>
  <c r="I692" i="1" a="1"/>
  <c r="I692" i="1" s="1"/>
  <c r="J692" i="1" a="1"/>
  <c r="J692" i="1" s="1"/>
  <c r="K692" i="1" a="1"/>
  <c r="K692" i="1" s="1"/>
  <c r="L692" i="1" a="1"/>
  <c r="L692" i="1" s="1"/>
  <c r="G693" i="1" a="1"/>
  <c r="G693" i="1" s="1"/>
  <c r="H693" i="1" a="1"/>
  <c r="H693" i="1" s="1"/>
  <c r="I693" i="1" a="1"/>
  <c r="I693" i="1" s="1"/>
  <c r="J693" i="1" a="1"/>
  <c r="J693" i="1" s="1"/>
  <c r="K693" i="1" a="1"/>
  <c r="K693" i="1" s="1"/>
  <c r="L693" i="1" a="1"/>
  <c r="L693" i="1" s="1"/>
  <c r="G694" i="1" a="1"/>
  <c r="G694" i="1" s="1"/>
  <c r="H694" i="1" a="1"/>
  <c r="H694" i="1" s="1"/>
  <c r="I694" i="1" a="1"/>
  <c r="I694" i="1" s="1"/>
  <c r="J694" i="1" a="1"/>
  <c r="J694" i="1" s="1"/>
  <c r="K694" i="1" a="1"/>
  <c r="K694" i="1" s="1"/>
  <c r="L694" i="1" a="1"/>
  <c r="L694" i="1" s="1"/>
  <c r="G695" i="1" a="1"/>
  <c r="G695" i="1" s="1"/>
  <c r="H695" i="1" a="1"/>
  <c r="H695" i="1" s="1"/>
  <c r="I695" i="1" a="1"/>
  <c r="I695" i="1" s="1"/>
  <c r="J695" i="1" a="1"/>
  <c r="J695" i="1" s="1"/>
  <c r="K695" i="1" a="1"/>
  <c r="K695" i="1" s="1"/>
  <c r="L695" i="1" a="1"/>
  <c r="L695" i="1" s="1"/>
  <c r="G696" i="1" a="1"/>
  <c r="G696" i="1" s="1"/>
  <c r="H696" i="1" a="1"/>
  <c r="H696" i="1" s="1"/>
  <c r="I696" i="1" a="1"/>
  <c r="I696" i="1" s="1"/>
  <c r="J696" i="1" a="1"/>
  <c r="J696" i="1" s="1"/>
  <c r="K696" i="1" a="1"/>
  <c r="K696" i="1" s="1"/>
  <c r="L696" i="1" a="1"/>
  <c r="L696" i="1" s="1"/>
  <c r="G697" i="1" a="1"/>
  <c r="G697" i="1" s="1"/>
  <c r="H697" i="1" a="1"/>
  <c r="H697" i="1" s="1"/>
  <c r="I697" i="1" a="1"/>
  <c r="I697" i="1" s="1"/>
  <c r="J697" i="1" a="1"/>
  <c r="J697" i="1" s="1"/>
  <c r="K697" i="1" a="1"/>
  <c r="K697" i="1" s="1"/>
  <c r="L697" i="1" a="1"/>
  <c r="L697" i="1" s="1"/>
  <c r="G698" i="1" a="1"/>
  <c r="G698" i="1" s="1"/>
  <c r="H698" i="1" a="1"/>
  <c r="H698" i="1" s="1"/>
  <c r="I698" i="1" a="1"/>
  <c r="I698" i="1" s="1"/>
  <c r="J698" i="1" a="1"/>
  <c r="J698" i="1" s="1"/>
  <c r="K698" i="1" a="1"/>
  <c r="K698" i="1" s="1"/>
  <c r="L698" i="1" a="1"/>
  <c r="L698" i="1" s="1"/>
  <c r="G699" i="1" a="1"/>
  <c r="G699" i="1" s="1"/>
  <c r="H699" i="1" a="1"/>
  <c r="H699" i="1" s="1"/>
  <c r="I699" i="1" a="1"/>
  <c r="I699" i="1" s="1"/>
  <c r="J699" i="1" a="1"/>
  <c r="J699" i="1" s="1"/>
  <c r="K699" i="1" a="1"/>
  <c r="K699" i="1" s="1"/>
  <c r="L699" i="1" a="1"/>
  <c r="L699" i="1" s="1"/>
  <c r="G700" i="1" a="1"/>
  <c r="G700" i="1" s="1"/>
  <c r="H700" i="1" a="1"/>
  <c r="H700" i="1" s="1"/>
  <c r="I700" i="1" a="1"/>
  <c r="I700" i="1" s="1"/>
  <c r="J700" i="1" a="1"/>
  <c r="J700" i="1" s="1"/>
  <c r="K700" i="1" a="1"/>
  <c r="K700" i="1" s="1"/>
  <c r="L700" i="1" a="1"/>
  <c r="L700" i="1" s="1"/>
  <c r="G701" i="1" a="1"/>
  <c r="G701" i="1" s="1"/>
  <c r="H701" i="1" a="1"/>
  <c r="H701" i="1" s="1"/>
  <c r="I701" i="1" a="1"/>
  <c r="I701" i="1" s="1"/>
  <c r="J701" i="1" a="1"/>
  <c r="J701" i="1" s="1"/>
  <c r="K701" i="1" a="1"/>
  <c r="K701" i="1" s="1"/>
  <c r="L701" i="1" a="1"/>
  <c r="L701" i="1" s="1"/>
  <c r="G702" i="1" a="1"/>
  <c r="G702" i="1" s="1"/>
  <c r="H702" i="1" a="1"/>
  <c r="H702" i="1" s="1"/>
  <c r="I702" i="1" a="1"/>
  <c r="I702" i="1" s="1"/>
  <c r="J702" i="1" a="1"/>
  <c r="J702" i="1" s="1"/>
  <c r="K702" i="1" a="1"/>
  <c r="K702" i="1" s="1"/>
  <c r="L702" i="1" a="1"/>
  <c r="L702" i="1" s="1"/>
  <c r="G703" i="1" a="1"/>
  <c r="G703" i="1" s="1"/>
  <c r="H703" i="1" a="1"/>
  <c r="H703" i="1" s="1"/>
  <c r="I703" i="1" a="1"/>
  <c r="I703" i="1" s="1"/>
  <c r="J703" i="1" a="1"/>
  <c r="J703" i="1" s="1"/>
  <c r="K703" i="1" a="1"/>
  <c r="K703" i="1" s="1"/>
  <c r="L703" i="1" a="1"/>
  <c r="L703" i="1" s="1"/>
  <c r="G704" i="1" a="1"/>
  <c r="G704" i="1" s="1"/>
  <c r="H704" i="1" a="1"/>
  <c r="H704" i="1" s="1"/>
  <c r="I704" i="1" a="1"/>
  <c r="I704" i="1" s="1"/>
  <c r="J704" i="1" a="1"/>
  <c r="J704" i="1" s="1"/>
  <c r="K704" i="1" a="1"/>
  <c r="K704" i="1" s="1"/>
  <c r="L704" i="1" a="1"/>
  <c r="L704" i="1" s="1"/>
  <c r="G705" i="1" a="1"/>
  <c r="G705" i="1" s="1"/>
  <c r="H705" i="1" a="1"/>
  <c r="H705" i="1" s="1"/>
  <c r="I705" i="1" a="1"/>
  <c r="I705" i="1" s="1"/>
  <c r="J705" i="1" a="1"/>
  <c r="J705" i="1" s="1"/>
  <c r="K705" i="1" a="1"/>
  <c r="K705" i="1" s="1"/>
  <c r="L705" i="1" a="1"/>
  <c r="L705" i="1" s="1"/>
  <c r="G706" i="1" a="1"/>
  <c r="G706" i="1" s="1"/>
  <c r="H706" i="1" a="1"/>
  <c r="H706" i="1" s="1"/>
  <c r="I706" i="1" a="1"/>
  <c r="I706" i="1" s="1"/>
  <c r="J706" i="1" a="1"/>
  <c r="J706" i="1" s="1"/>
  <c r="K706" i="1" a="1"/>
  <c r="K706" i="1" s="1"/>
  <c r="L706" i="1" a="1"/>
  <c r="L706" i="1" s="1"/>
  <c r="G707" i="1" a="1"/>
  <c r="G707" i="1" s="1"/>
  <c r="H707" i="1" a="1"/>
  <c r="H707" i="1" s="1"/>
  <c r="I707" i="1" a="1"/>
  <c r="I707" i="1" s="1"/>
  <c r="J707" i="1" a="1"/>
  <c r="J707" i="1" s="1"/>
  <c r="K707" i="1" a="1"/>
  <c r="K707" i="1" s="1"/>
  <c r="L707" i="1" a="1"/>
  <c r="L707" i="1" s="1"/>
  <c r="G708" i="1" a="1"/>
  <c r="G708" i="1" s="1"/>
  <c r="H708" i="1" a="1"/>
  <c r="H708" i="1" s="1"/>
  <c r="I708" i="1" a="1"/>
  <c r="I708" i="1" s="1"/>
  <c r="J708" i="1" a="1"/>
  <c r="J708" i="1" s="1"/>
  <c r="K708" i="1" a="1"/>
  <c r="K708" i="1" s="1"/>
  <c r="L708" i="1" a="1"/>
  <c r="L708" i="1" s="1"/>
  <c r="G709" i="1" a="1"/>
  <c r="G709" i="1" s="1"/>
  <c r="H709" i="1" a="1"/>
  <c r="H709" i="1" s="1"/>
  <c r="I709" i="1" a="1"/>
  <c r="I709" i="1" s="1"/>
  <c r="J709" i="1" a="1"/>
  <c r="J709" i="1" s="1"/>
  <c r="K709" i="1" a="1"/>
  <c r="K709" i="1" s="1"/>
  <c r="L709" i="1" a="1"/>
  <c r="L709" i="1" s="1"/>
  <c r="G710" i="1" a="1"/>
  <c r="G710" i="1" s="1"/>
  <c r="H710" i="1" a="1"/>
  <c r="H710" i="1" s="1"/>
  <c r="I710" i="1" a="1"/>
  <c r="I710" i="1" s="1"/>
  <c r="J710" i="1" a="1"/>
  <c r="J710" i="1" s="1"/>
  <c r="K710" i="1" a="1"/>
  <c r="K710" i="1" s="1"/>
  <c r="L710" i="1" a="1"/>
  <c r="L710" i="1" s="1"/>
  <c r="G711" i="1" a="1"/>
  <c r="G711" i="1" s="1"/>
  <c r="H711" i="1" a="1"/>
  <c r="H711" i="1" s="1"/>
  <c r="I711" i="1" a="1"/>
  <c r="I711" i="1" s="1"/>
  <c r="J711" i="1" a="1"/>
  <c r="J711" i="1" s="1"/>
  <c r="K711" i="1" a="1"/>
  <c r="K711" i="1" s="1"/>
  <c r="L711" i="1" a="1"/>
  <c r="L711" i="1" s="1"/>
  <c r="G712" i="1" a="1"/>
  <c r="G712" i="1" s="1"/>
  <c r="H712" i="1" a="1"/>
  <c r="H712" i="1" s="1"/>
  <c r="I712" i="1" a="1"/>
  <c r="I712" i="1" s="1"/>
  <c r="J712" i="1" a="1"/>
  <c r="J712" i="1" s="1"/>
  <c r="K712" i="1" a="1"/>
  <c r="K712" i="1" s="1"/>
  <c r="L712" i="1" a="1"/>
  <c r="L712" i="1" s="1"/>
  <c r="G713" i="1" a="1"/>
  <c r="G713" i="1" s="1"/>
  <c r="H713" i="1" a="1"/>
  <c r="H713" i="1" s="1"/>
  <c r="I713" i="1" a="1"/>
  <c r="I713" i="1" s="1"/>
  <c r="J713" i="1" a="1"/>
  <c r="J713" i="1" s="1"/>
  <c r="K713" i="1" a="1"/>
  <c r="K713" i="1" s="1"/>
  <c r="L713" i="1" a="1"/>
  <c r="L713" i="1" s="1"/>
  <c r="G714" i="1" a="1"/>
  <c r="G714" i="1" s="1"/>
  <c r="H714" i="1" a="1"/>
  <c r="H714" i="1" s="1"/>
  <c r="I714" i="1" a="1"/>
  <c r="I714" i="1" s="1"/>
  <c r="J714" i="1" a="1"/>
  <c r="J714" i="1" s="1"/>
  <c r="K714" i="1" a="1"/>
  <c r="K714" i="1" s="1"/>
  <c r="L714" i="1" a="1"/>
  <c r="L714" i="1" s="1"/>
  <c r="G715" i="1" a="1"/>
  <c r="G715" i="1" s="1"/>
  <c r="H715" i="1" a="1"/>
  <c r="H715" i="1" s="1"/>
  <c r="I715" i="1" a="1"/>
  <c r="I715" i="1" s="1"/>
  <c r="J715" i="1" a="1"/>
  <c r="J715" i="1" s="1"/>
  <c r="K715" i="1" a="1"/>
  <c r="K715" i="1" s="1"/>
  <c r="L715" i="1" a="1"/>
  <c r="L715" i="1" s="1"/>
  <c r="G716" i="1" a="1"/>
  <c r="G716" i="1" s="1"/>
  <c r="H716" i="1" a="1"/>
  <c r="H716" i="1" s="1"/>
  <c r="I716" i="1" a="1"/>
  <c r="I716" i="1" s="1"/>
  <c r="J716" i="1" a="1"/>
  <c r="J716" i="1" s="1"/>
  <c r="K716" i="1" a="1"/>
  <c r="K716" i="1" s="1"/>
  <c r="L716" i="1" a="1"/>
  <c r="L716" i="1" s="1"/>
  <c r="G717" i="1" a="1"/>
  <c r="G717" i="1" s="1"/>
  <c r="H717" i="1" a="1"/>
  <c r="H717" i="1" s="1"/>
  <c r="I717" i="1" a="1"/>
  <c r="I717" i="1" s="1"/>
  <c r="J717" i="1" a="1"/>
  <c r="J717" i="1" s="1"/>
  <c r="K717" i="1" a="1"/>
  <c r="K717" i="1" s="1"/>
  <c r="L717" i="1" a="1"/>
  <c r="L717" i="1" s="1"/>
  <c r="G718" i="1" a="1"/>
  <c r="G718" i="1" s="1"/>
  <c r="H718" i="1" a="1"/>
  <c r="H718" i="1" s="1"/>
  <c r="I718" i="1" a="1"/>
  <c r="I718" i="1" s="1"/>
  <c r="J718" i="1" a="1"/>
  <c r="J718" i="1" s="1"/>
  <c r="K718" i="1" a="1"/>
  <c r="K718" i="1" s="1"/>
  <c r="L718" i="1" a="1"/>
  <c r="L718" i="1" s="1"/>
  <c r="G719" i="1" a="1"/>
  <c r="G719" i="1" s="1"/>
  <c r="H719" i="1" a="1"/>
  <c r="H719" i="1" s="1"/>
  <c r="I719" i="1" a="1"/>
  <c r="I719" i="1" s="1"/>
  <c r="J719" i="1" a="1"/>
  <c r="J719" i="1" s="1"/>
  <c r="K719" i="1" a="1"/>
  <c r="K719" i="1" s="1"/>
  <c r="L719" i="1" a="1"/>
  <c r="L719" i="1" s="1"/>
  <c r="G720" i="1" a="1"/>
  <c r="G720" i="1" s="1"/>
  <c r="H720" i="1" a="1"/>
  <c r="H720" i="1" s="1"/>
  <c r="I720" i="1" a="1"/>
  <c r="I720" i="1" s="1"/>
  <c r="J720" i="1" a="1"/>
  <c r="J720" i="1" s="1"/>
  <c r="K720" i="1" a="1"/>
  <c r="K720" i="1" s="1"/>
  <c r="L720" i="1" a="1"/>
  <c r="L720" i="1" s="1"/>
  <c r="G721" i="1" a="1"/>
  <c r="G721" i="1" s="1"/>
  <c r="H721" i="1" a="1"/>
  <c r="H721" i="1" s="1"/>
  <c r="I721" i="1" a="1"/>
  <c r="I721" i="1" s="1"/>
  <c r="J721" i="1" a="1"/>
  <c r="J721" i="1" s="1"/>
  <c r="K721" i="1" a="1"/>
  <c r="K721" i="1" s="1"/>
  <c r="L721" i="1" a="1"/>
  <c r="L721" i="1" s="1"/>
  <c r="G722" i="1" a="1"/>
  <c r="G722" i="1" s="1"/>
  <c r="H722" i="1" a="1"/>
  <c r="H722" i="1" s="1"/>
  <c r="I722" i="1" a="1"/>
  <c r="I722" i="1" s="1"/>
  <c r="J722" i="1" a="1"/>
  <c r="J722" i="1" s="1"/>
  <c r="K722" i="1" a="1"/>
  <c r="K722" i="1" s="1"/>
  <c r="L722" i="1" a="1"/>
  <c r="L722" i="1" s="1"/>
  <c r="G723" i="1" a="1"/>
  <c r="G723" i="1" s="1"/>
  <c r="H723" i="1" a="1"/>
  <c r="H723" i="1" s="1"/>
  <c r="I723" i="1" a="1"/>
  <c r="I723" i="1" s="1"/>
  <c r="J723" i="1" a="1"/>
  <c r="J723" i="1" s="1"/>
  <c r="K723" i="1" a="1"/>
  <c r="K723" i="1" s="1"/>
  <c r="L723" i="1" a="1"/>
  <c r="L723" i="1" s="1"/>
  <c r="G724" i="1" a="1"/>
  <c r="G724" i="1" s="1"/>
  <c r="H724" i="1" a="1"/>
  <c r="H724" i="1" s="1"/>
  <c r="I724" i="1" a="1"/>
  <c r="I724" i="1" s="1"/>
  <c r="J724" i="1" a="1"/>
  <c r="J724" i="1" s="1"/>
  <c r="K724" i="1" a="1"/>
  <c r="K724" i="1" s="1"/>
  <c r="L724" i="1" a="1"/>
  <c r="L724" i="1" s="1"/>
  <c r="G725" i="1" a="1"/>
  <c r="G725" i="1" s="1"/>
  <c r="H725" i="1" a="1"/>
  <c r="H725" i="1" s="1"/>
  <c r="I725" i="1" a="1"/>
  <c r="I725" i="1" s="1"/>
  <c r="J725" i="1" a="1"/>
  <c r="J725" i="1" s="1"/>
  <c r="K725" i="1" a="1"/>
  <c r="K725" i="1" s="1"/>
  <c r="L725" i="1" a="1"/>
  <c r="L725" i="1" s="1"/>
  <c r="G726" i="1" a="1"/>
  <c r="G726" i="1" s="1"/>
  <c r="H726" i="1" a="1"/>
  <c r="H726" i="1" s="1"/>
  <c r="I726" i="1" a="1"/>
  <c r="I726" i="1" s="1"/>
  <c r="J726" i="1" a="1"/>
  <c r="J726" i="1" s="1"/>
  <c r="K726" i="1" a="1"/>
  <c r="K726" i="1" s="1"/>
  <c r="L726" i="1" a="1"/>
  <c r="L726" i="1" s="1"/>
  <c r="G727" i="1" a="1"/>
  <c r="G727" i="1" s="1"/>
  <c r="H727" i="1" a="1"/>
  <c r="H727" i="1" s="1"/>
  <c r="I727" i="1" a="1"/>
  <c r="I727" i="1" s="1"/>
  <c r="J727" i="1" a="1"/>
  <c r="J727" i="1" s="1"/>
  <c r="K727" i="1" a="1"/>
  <c r="K727" i="1" s="1"/>
  <c r="L727" i="1" a="1"/>
  <c r="L727" i="1" s="1"/>
  <c r="G728" i="1" a="1"/>
  <c r="G728" i="1" s="1"/>
  <c r="H728" i="1" a="1"/>
  <c r="H728" i="1" s="1"/>
  <c r="I728" i="1" a="1"/>
  <c r="I728" i="1" s="1"/>
  <c r="J728" i="1" a="1"/>
  <c r="J728" i="1" s="1"/>
  <c r="K728" i="1" a="1"/>
  <c r="K728" i="1" s="1"/>
  <c r="L728" i="1" a="1"/>
  <c r="L728" i="1" s="1"/>
  <c r="G729" i="1" a="1"/>
  <c r="G729" i="1" s="1"/>
  <c r="H729" i="1" a="1"/>
  <c r="H729" i="1" s="1"/>
  <c r="I729" i="1" a="1"/>
  <c r="I729" i="1" s="1"/>
  <c r="J729" i="1" a="1"/>
  <c r="J729" i="1" s="1"/>
  <c r="K729" i="1" a="1"/>
  <c r="K729" i="1" s="1"/>
  <c r="L729" i="1" a="1"/>
  <c r="L729" i="1" s="1"/>
  <c r="G730" i="1" a="1"/>
  <c r="G730" i="1" s="1"/>
  <c r="H730" i="1" a="1"/>
  <c r="H730" i="1" s="1"/>
  <c r="I730" i="1" a="1"/>
  <c r="I730" i="1" s="1"/>
  <c r="J730" i="1" a="1"/>
  <c r="J730" i="1" s="1"/>
  <c r="K730" i="1" a="1"/>
  <c r="K730" i="1" s="1"/>
  <c r="L730" i="1" a="1"/>
  <c r="L730" i="1" s="1"/>
  <c r="G731" i="1" a="1"/>
  <c r="G731" i="1" s="1"/>
  <c r="H731" i="1" a="1"/>
  <c r="H731" i="1" s="1"/>
  <c r="I731" i="1" a="1"/>
  <c r="I731" i="1" s="1"/>
  <c r="J731" i="1" a="1"/>
  <c r="J731" i="1" s="1"/>
  <c r="K731" i="1" a="1"/>
  <c r="K731" i="1" s="1"/>
  <c r="L731" i="1" a="1"/>
  <c r="L731" i="1" s="1"/>
  <c r="G732" i="1" a="1"/>
  <c r="G732" i="1" s="1"/>
  <c r="H732" i="1" a="1"/>
  <c r="H732" i="1" s="1"/>
  <c r="I732" i="1" a="1"/>
  <c r="I732" i="1" s="1"/>
  <c r="J732" i="1" a="1"/>
  <c r="J732" i="1" s="1"/>
  <c r="K732" i="1" a="1"/>
  <c r="K732" i="1" s="1"/>
  <c r="L732" i="1" a="1"/>
  <c r="L732" i="1" s="1"/>
  <c r="G733" i="1" a="1"/>
  <c r="G733" i="1" s="1"/>
  <c r="H733" i="1" a="1"/>
  <c r="H733" i="1" s="1"/>
  <c r="I733" i="1" a="1"/>
  <c r="I733" i="1" s="1"/>
  <c r="J733" i="1" a="1"/>
  <c r="J733" i="1" s="1"/>
  <c r="K733" i="1" a="1"/>
  <c r="K733" i="1" s="1"/>
  <c r="L733" i="1" a="1"/>
  <c r="L733" i="1" s="1"/>
  <c r="G734" i="1" a="1"/>
  <c r="G734" i="1" s="1"/>
  <c r="H734" i="1" a="1"/>
  <c r="H734" i="1" s="1"/>
  <c r="I734" i="1" a="1"/>
  <c r="I734" i="1" s="1"/>
  <c r="J734" i="1" a="1"/>
  <c r="J734" i="1" s="1"/>
  <c r="K734" i="1" a="1"/>
  <c r="K734" i="1" s="1"/>
  <c r="L734" i="1" a="1"/>
  <c r="L734" i="1" s="1"/>
  <c r="G735" i="1" a="1"/>
  <c r="G735" i="1" s="1"/>
  <c r="H735" i="1" a="1"/>
  <c r="H735" i="1" s="1"/>
  <c r="I735" i="1" a="1"/>
  <c r="I735" i="1" s="1"/>
  <c r="J735" i="1" a="1"/>
  <c r="J735" i="1" s="1"/>
  <c r="K735" i="1" a="1"/>
  <c r="K735" i="1" s="1"/>
  <c r="L735" i="1" a="1"/>
  <c r="L735" i="1" s="1"/>
  <c r="G736" i="1" a="1"/>
  <c r="G736" i="1" s="1"/>
  <c r="H736" i="1" a="1"/>
  <c r="H736" i="1" s="1"/>
  <c r="I736" i="1" a="1"/>
  <c r="I736" i="1" s="1"/>
  <c r="J736" i="1" a="1"/>
  <c r="J736" i="1" s="1"/>
  <c r="K736" i="1" a="1"/>
  <c r="K736" i="1" s="1"/>
  <c r="L736" i="1" a="1"/>
  <c r="L736" i="1" s="1"/>
  <c r="G737" i="1" a="1"/>
  <c r="G737" i="1" s="1"/>
  <c r="H737" i="1" a="1"/>
  <c r="H737" i="1" s="1"/>
  <c r="I737" i="1" a="1"/>
  <c r="I737" i="1" s="1"/>
  <c r="J737" i="1" a="1"/>
  <c r="J737" i="1" s="1"/>
  <c r="K737" i="1" a="1"/>
  <c r="K737" i="1" s="1"/>
  <c r="L737" i="1" a="1"/>
  <c r="L737" i="1" s="1"/>
  <c r="G738" i="1" a="1"/>
  <c r="G738" i="1" s="1"/>
  <c r="H738" i="1" a="1"/>
  <c r="H738" i="1" s="1"/>
  <c r="I738" i="1" a="1"/>
  <c r="I738" i="1" s="1"/>
  <c r="J738" i="1" a="1"/>
  <c r="J738" i="1" s="1"/>
  <c r="K738" i="1" a="1"/>
  <c r="K738" i="1" s="1"/>
  <c r="L738" i="1" a="1"/>
  <c r="L738" i="1" s="1"/>
  <c r="G739" i="1" a="1"/>
  <c r="G739" i="1" s="1"/>
  <c r="H739" i="1" a="1"/>
  <c r="H739" i="1" s="1"/>
  <c r="I739" i="1" a="1"/>
  <c r="I739" i="1" s="1"/>
  <c r="J739" i="1" a="1"/>
  <c r="J739" i="1" s="1"/>
  <c r="K739" i="1" a="1"/>
  <c r="K739" i="1" s="1"/>
  <c r="L739" i="1" a="1"/>
  <c r="L739" i="1" s="1"/>
  <c r="G740" i="1" a="1"/>
  <c r="G740" i="1" s="1"/>
  <c r="H740" i="1" a="1"/>
  <c r="H740" i="1" s="1"/>
  <c r="I740" i="1" a="1"/>
  <c r="I740" i="1" s="1"/>
  <c r="J740" i="1" a="1"/>
  <c r="J740" i="1" s="1"/>
  <c r="K740" i="1" a="1"/>
  <c r="K740" i="1" s="1"/>
  <c r="L740" i="1" a="1"/>
  <c r="L740" i="1" s="1"/>
  <c r="G741" i="1" a="1"/>
  <c r="G741" i="1" s="1"/>
  <c r="H741" i="1" a="1"/>
  <c r="H741" i="1" s="1"/>
  <c r="I741" i="1" a="1"/>
  <c r="I741" i="1" s="1"/>
  <c r="J741" i="1" a="1"/>
  <c r="J741" i="1" s="1"/>
  <c r="K741" i="1" a="1"/>
  <c r="K741" i="1" s="1"/>
  <c r="L741" i="1" a="1"/>
  <c r="L741" i="1" s="1"/>
  <c r="G742" i="1" a="1"/>
  <c r="G742" i="1" s="1"/>
  <c r="H742" i="1" a="1"/>
  <c r="H742" i="1" s="1"/>
  <c r="I742" i="1" a="1"/>
  <c r="I742" i="1" s="1"/>
  <c r="J742" i="1" a="1"/>
  <c r="J742" i="1" s="1"/>
  <c r="K742" i="1" a="1"/>
  <c r="K742" i="1" s="1"/>
  <c r="L742" i="1" a="1"/>
  <c r="L742" i="1" s="1"/>
  <c r="G743" i="1" a="1"/>
  <c r="G743" i="1" s="1"/>
  <c r="H743" i="1" a="1"/>
  <c r="H743" i="1" s="1"/>
  <c r="I743" i="1" a="1"/>
  <c r="I743" i="1" s="1"/>
  <c r="J743" i="1" a="1"/>
  <c r="J743" i="1" s="1"/>
  <c r="K743" i="1" a="1"/>
  <c r="K743" i="1" s="1"/>
  <c r="L743" i="1" a="1"/>
  <c r="L743" i="1" s="1"/>
  <c r="G744" i="1" a="1"/>
  <c r="G744" i="1" s="1"/>
  <c r="H744" i="1" a="1"/>
  <c r="H744" i="1" s="1"/>
  <c r="I744" i="1" a="1"/>
  <c r="I744" i="1" s="1"/>
  <c r="J744" i="1" a="1"/>
  <c r="J744" i="1" s="1"/>
  <c r="K744" i="1" a="1"/>
  <c r="K744" i="1" s="1"/>
  <c r="L744" i="1" a="1"/>
  <c r="L744" i="1" s="1"/>
  <c r="G745" i="1" a="1"/>
  <c r="G745" i="1" s="1"/>
  <c r="H745" i="1" a="1"/>
  <c r="H745" i="1" s="1"/>
  <c r="I745" i="1" a="1"/>
  <c r="I745" i="1" s="1"/>
  <c r="J745" i="1" a="1"/>
  <c r="J745" i="1" s="1"/>
  <c r="K745" i="1" a="1"/>
  <c r="K745" i="1" s="1"/>
  <c r="L745" i="1" a="1"/>
  <c r="L745" i="1" s="1"/>
  <c r="G746" i="1" a="1"/>
  <c r="G746" i="1" s="1"/>
  <c r="H746" i="1" a="1"/>
  <c r="H746" i="1" s="1"/>
  <c r="I746" i="1" a="1"/>
  <c r="I746" i="1" s="1"/>
  <c r="J746" i="1" a="1"/>
  <c r="J746" i="1" s="1"/>
  <c r="K746" i="1" a="1"/>
  <c r="K746" i="1" s="1"/>
  <c r="L746" i="1" a="1"/>
  <c r="L746" i="1" s="1"/>
  <c r="G747" i="1" a="1"/>
  <c r="G747" i="1" s="1"/>
  <c r="H747" i="1" a="1"/>
  <c r="H747" i="1" s="1"/>
  <c r="I747" i="1" a="1"/>
  <c r="I747" i="1" s="1"/>
  <c r="J747" i="1" a="1"/>
  <c r="J747" i="1" s="1"/>
  <c r="K747" i="1" a="1"/>
  <c r="K747" i="1" s="1"/>
  <c r="L747" i="1" a="1"/>
  <c r="L747" i="1" s="1"/>
  <c r="G748" i="1" a="1"/>
  <c r="G748" i="1" s="1"/>
  <c r="H748" i="1" a="1"/>
  <c r="H748" i="1" s="1"/>
  <c r="I748" i="1" a="1"/>
  <c r="I748" i="1" s="1"/>
  <c r="J748" i="1" a="1"/>
  <c r="J748" i="1" s="1"/>
  <c r="K748" i="1" a="1"/>
  <c r="K748" i="1" s="1"/>
  <c r="L748" i="1" a="1"/>
  <c r="L748" i="1" s="1"/>
  <c r="G749" i="1" a="1"/>
  <c r="G749" i="1" s="1"/>
  <c r="H749" i="1" a="1"/>
  <c r="H749" i="1" s="1"/>
  <c r="I749" i="1" a="1"/>
  <c r="I749" i="1" s="1"/>
  <c r="J749" i="1" a="1"/>
  <c r="J749" i="1" s="1"/>
  <c r="K749" i="1" a="1"/>
  <c r="K749" i="1" s="1"/>
  <c r="L749" i="1" a="1"/>
  <c r="L749" i="1" s="1"/>
  <c r="G750" i="1" a="1"/>
  <c r="G750" i="1" s="1"/>
  <c r="H750" i="1" a="1"/>
  <c r="H750" i="1" s="1"/>
  <c r="I750" i="1" a="1"/>
  <c r="I750" i="1" s="1"/>
  <c r="J750" i="1" a="1"/>
  <c r="J750" i="1" s="1"/>
  <c r="K750" i="1" a="1"/>
  <c r="K750" i="1" s="1"/>
  <c r="L750" i="1" a="1"/>
  <c r="L750" i="1" s="1"/>
  <c r="G751" i="1" a="1"/>
  <c r="G751" i="1" s="1"/>
  <c r="H751" i="1" a="1"/>
  <c r="H751" i="1" s="1"/>
  <c r="I751" i="1" a="1"/>
  <c r="I751" i="1" s="1"/>
  <c r="J751" i="1" a="1"/>
  <c r="J751" i="1" s="1"/>
  <c r="K751" i="1" a="1"/>
  <c r="K751" i="1" s="1"/>
  <c r="L751" i="1" a="1"/>
  <c r="L751" i="1" s="1"/>
  <c r="G752" i="1" a="1"/>
  <c r="G752" i="1" s="1"/>
  <c r="H752" i="1" a="1"/>
  <c r="H752" i="1" s="1"/>
  <c r="G753" i="1" a="1"/>
  <c r="G753" i="1" s="1"/>
  <c r="H753" i="1" a="1"/>
  <c r="H753" i="1" s="1"/>
  <c r="I753" i="1" a="1"/>
  <c r="I753" i="1" s="1"/>
  <c r="J753" i="1" a="1"/>
  <c r="J753" i="1" s="1"/>
  <c r="K753" i="1" a="1"/>
  <c r="K753" i="1" s="1"/>
  <c r="L753" i="1" a="1"/>
  <c r="L753" i="1" s="1"/>
  <c r="G754" i="1" a="1"/>
  <c r="G754" i="1" s="1"/>
  <c r="H754" i="1" a="1"/>
  <c r="H754" i="1" s="1"/>
  <c r="I754" i="1" a="1"/>
  <c r="I754" i="1" s="1"/>
  <c r="J754" i="1" a="1"/>
  <c r="J754" i="1" s="1"/>
  <c r="K754" i="1" a="1"/>
  <c r="K754" i="1" s="1"/>
  <c r="L754" i="1" a="1"/>
  <c r="L754" i="1" s="1"/>
  <c r="G755" i="1" a="1"/>
  <c r="G755" i="1" s="1"/>
  <c r="H755" i="1" a="1"/>
  <c r="H755" i="1" s="1"/>
  <c r="I755" i="1" a="1"/>
  <c r="I755" i="1" s="1"/>
  <c r="J755" i="1" a="1"/>
  <c r="J755" i="1" s="1"/>
  <c r="K755" i="1" a="1"/>
  <c r="K755" i="1" s="1"/>
  <c r="L755" i="1" a="1"/>
  <c r="L755" i="1" s="1"/>
  <c r="G756" i="1" a="1"/>
  <c r="G756" i="1" s="1"/>
  <c r="H756" i="1" a="1"/>
  <c r="H756" i="1" s="1"/>
  <c r="I756" i="1" a="1"/>
  <c r="I756" i="1" s="1"/>
  <c r="J756" i="1" a="1"/>
  <c r="J756" i="1" s="1"/>
  <c r="K756" i="1" a="1"/>
  <c r="K756" i="1" s="1"/>
  <c r="L756" i="1" a="1"/>
  <c r="L756" i="1" s="1"/>
  <c r="G757" i="1" a="1"/>
  <c r="G757" i="1" s="1"/>
  <c r="H757" i="1" a="1"/>
  <c r="H757" i="1" s="1"/>
  <c r="I757" i="1" a="1"/>
  <c r="I757" i="1" s="1"/>
  <c r="J757" i="1" a="1"/>
  <c r="J757" i="1" s="1"/>
  <c r="K757" i="1" a="1"/>
  <c r="K757" i="1" s="1"/>
  <c r="L757" i="1" a="1"/>
  <c r="L757" i="1" s="1"/>
  <c r="G758" i="1" a="1"/>
  <c r="G758" i="1" s="1"/>
  <c r="H758" i="1" a="1"/>
  <c r="H758" i="1" s="1"/>
  <c r="I758" i="1" a="1"/>
  <c r="I758" i="1" s="1"/>
  <c r="J758" i="1" a="1"/>
  <c r="J758" i="1" s="1"/>
  <c r="K758" i="1" a="1"/>
  <c r="K758" i="1" s="1"/>
  <c r="L758" i="1" a="1"/>
  <c r="L758" i="1" s="1"/>
  <c r="G759" i="1" a="1"/>
  <c r="G759" i="1" s="1"/>
  <c r="H759" i="1" a="1"/>
  <c r="H759" i="1" s="1"/>
  <c r="I759" i="1" a="1"/>
  <c r="I759" i="1" s="1"/>
  <c r="J759" i="1" a="1"/>
  <c r="J759" i="1" s="1"/>
  <c r="K759" i="1" a="1"/>
  <c r="K759" i="1" s="1"/>
  <c r="L759" i="1" a="1"/>
  <c r="L759" i="1" s="1"/>
  <c r="G760" i="1" a="1"/>
  <c r="G760" i="1" s="1"/>
  <c r="H760" i="1" a="1"/>
  <c r="H760" i="1" s="1"/>
  <c r="I760" i="1" a="1"/>
  <c r="I760" i="1" s="1"/>
  <c r="J760" i="1" a="1"/>
  <c r="J760" i="1" s="1"/>
  <c r="K760" i="1" a="1"/>
  <c r="K760" i="1" s="1"/>
  <c r="L760" i="1" a="1"/>
  <c r="L760" i="1" s="1"/>
  <c r="G761" i="1" a="1"/>
  <c r="G761" i="1" s="1"/>
  <c r="H761" i="1" a="1"/>
  <c r="H761" i="1" s="1"/>
  <c r="I761" i="1" a="1"/>
  <c r="I761" i="1" s="1"/>
  <c r="J761" i="1" a="1"/>
  <c r="J761" i="1" s="1"/>
  <c r="K761" i="1" a="1"/>
  <c r="K761" i="1" s="1"/>
  <c r="L761" i="1" a="1"/>
  <c r="L761" i="1" s="1"/>
  <c r="G762" i="1" a="1"/>
  <c r="G762" i="1" s="1"/>
  <c r="H762" i="1" a="1"/>
  <c r="H762" i="1" s="1"/>
  <c r="I762" i="1" a="1"/>
  <c r="I762" i="1" s="1"/>
  <c r="J762" i="1" a="1"/>
  <c r="J762" i="1" s="1"/>
  <c r="K762" i="1" a="1"/>
  <c r="K762" i="1" s="1"/>
  <c r="L762" i="1" a="1"/>
  <c r="L762" i="1" s="1"/>
  <c r="G763" i="1" a="1"/>
  <c r="G763" i="1" s="1"/>
  <c r="H763" i="1" a="1"/>
  <c r="H763" i="1" s="1"/>
  <c r="I763" i="1" a="1"/>
  <c r="I763" i="1" s="1"/>
  <c r="J763" i="1" a="1"/>
  <c r="J763" i="1" s="1"/>
  <c r="K763" i="1" a="1"/>
  <c r="K763" i="1" s="1"/>
  <c r="L763" i="1" a="1"/>
  <c r="L763" i="1" s="1"/>
  <c r="G764" i="1" a="1"/>
  <c r="G764" i="1" s="1"/>
  <c r="H764" i="1" a="1"/>
  <c r="H764" i="1" s="1"/>
  <c r="I764" i="1" a="1"/>
  <c r="I764" i="1" s="1"/>
  <c r="J764" i="1" a="1"/>
  <c r="J764" i="1" s="1"/>
  <c r="K764" i="1" a="1"/>
  <c r="K764" i="1" s="1"/>
  <c r="L764" i="1" a="1"/>
  <c r="L764" i="1" s="1"/>
  <c r="G765" i="1" a="1"/>
  <c r="G765" i="1" s="1"/>
  <c r="H765" i="1" a="1"/>
  <c r="H765" i="1" s="1"/>
  <c r="I765" i="1" a="1"/>
  <c r="I765" i="1" s="1"/>
  <c r="J765" i="1" a="1"/>
  <c r="J765" i="1" s="1"/>
  <c r="K765" i="1" a="1"/>
  <c r="K765" i="1" s="1"/>
  <c r="L765" i="1" a="1"/>
  <c r="L765" i="1" s="1"/>
  <c r="G766" i="1" a="1"/>
  <c r="G766" i="1" s="1"/>
  <c r="H766" i="1" a="1"/>
  <c r="H766" i="1" s="1"/>
  <c r="I766" i="1" a="1"/>
  <c r="I766" i="1" s="1"/>
  <c r="J766" i="1" a="1"/>
  <c r="J766" i="1" s="1"/>
  <c r="K766" i="1" a="1"/>
  <c r="K766" i="1" s="1"/>
  <c r="L766" i="1" a="1"/>
  <c r="L766" i="1" s="1"/>
  <c r="G767" i="1" a="1"/>
  <c r="G767" i="1" s="1"/>
  <c r="H767" i="1" a="1"/>
  <c r="H767" i="1" s="1"/>
  <c r="I767" i="1" a="1"/>
  <c r="I767" i="1" s="1"/>
  <c r="J767" i="1" a="1"/>
  <c r="J767" i="1" s="1"/>
  <c r="K767" i="1" a="1"/>
  <c r="K767" i="1" s="1"/>
  <c r="L767" i="1" a="1"/>
  <c r="L767" i="1" s="1"/>
  <c r="G768" i="1" a="1"/>
  <c r="G768" i="1" s="1"/>
  <c r="H768" i="1" a="1"/>
  <c r="H768" i="1" s="1"/>
  <c r="I768" i="1" a="1"/>
  <c r="I768" i="1" s="1"/>
  <c r="J768" i="1" a="1"/>
  <c r="J768" i="1" s="1"/>
  <c r="K768" i="1" a="1"/>
  <c r="K768" i="1" s="1"/>
  <c r="L768" i="1" a="1"/>
  <c r="L768" i="1" s="1"/>
  <c r="G769" i="1" a="1"/>
  <c r="G769" i="1" s="1"/>
  <c r="H769" i="1" a="1"/>
  <c r="H769" i="1" s="1"/>
  <c r="I769" i="1" a="1"/>
  <c r="I769" i="1" s="1"/>
  <c r="J769" i="1" a="1"/>
  <c r="J769" i="1" s="1"/>
  <c r="K769" i="1" a="1"/>
  <c r="K769" i="1" s="1"/>
  <c r="L769" i="1" a="1"/>
  <c r="L769" i="1" s="1"/>
  <c r="G770" i="1" a="1"/>
  <c r="G770" i="1" s="1"/>
  <c r="H770" i="1" a="1"/>
  <c r="H770" i="1" s="1"/>
  <c r="I770" i="1" a="1"/>
  <c r="I770" i="1" s="1"/>
  <c r="J770" i="1" a="1"/>
  <c r="J770" i="1" s="1"/>
  <c r="K770" i="1" a="1"/>
  <c r="K770" i="1" s="1"/>
  <c r="L770" i="1" a="1"/>
  <c r="L770" i="1" s="1"/>
  <c r="G771" i="1" a="1"/>
  <c r="G771" i="1" s="1"/>
  <c r="H771" i="1" a="1"/>
  <c r="H771" i="1" s="1"/>
  <c r="I771" i="1" a="1"/>
  <c r="I771" i="1" s="1"/>
  <c r="J771" i="1" a="1"/>
  <c r="J771" i="1" s="1"/>
  <c r="K771" i="1" a="1"/>
  <c r="K771" i="1" s="1"/>
  <c r="L771" i="1" a="1"/>
  <c r="L771" i="1" s="1"/>
  <c r="G772" i="1" a="1"/>
  <c r="G772" i="1" s="1"/>
  <c r="H772" i="1" a="1"/>
  <c r="H772" i="1" s="1"/>
  <c r="I772" i="1" a="1"/>
  <c r="I772" i="1" s="1"/>
  <c r="J772" i="1" a="1"/>
  <c r="J772" i="1" s="1"/>
  <c r="K772" i="1" a="1"/>
  <c r="K772" i="1" s="1"/>
  <c r="L772" i="1" a="1"/>
  <c r="L772" i="1" s="1"/>
  <c r="G773" i="1" a="1"/>
  <c r="G773" i="1" s="1"/>
  <c r="H773" i="1" a="1"/>
  <c r="H773" i="1" s="1"/>
  <c r="I773" i="1" a="1"/>
  <c r="I773" i="1" s="1"/>
  <c r="J773" i="1" a="1"/>
  <c r="J773" i="1" s="1"/>
  <c r="K773" i="1" a="1"/>
  <c r="K773" i="1" s="1"/>
  <c r="L773" i="1" a="1"/>
  <c r="L773" i="1" s="1"/>
  <c r="G774" i="1" a="1"/>
  <c r="G774" i="1" s="1"/>
  <c r="H774" i="1" a="1"/>
  <c r="H774" i="1" s="1"/>
  <c r="I774" i="1" a="1"/>
  <c r="I774" i="1" s="1"/>
  <c r="J774" i="1" a="1"/>
  <c r="J774" i="1" s="1"/>
  <c r="K774" i="1" a="1"/>
  <c r="K774" i="1" s="1"/>
  <c r="L774" i="1" a="1"/>
  <c r="L774" i="1" s="1"/>
  <c r="G775" i="1" a="1"/>
  <c r="G775" i="1" s="1"/>
  <c r="H775" i="1" a="1"/>
  <c r="H775" i="1" s="1"/>
  <c r="I775" i="1" a="1"/>
  <c r="I775" i="1" s="1"/>
  <c r="J775" i="1" a="1"/>
  <c r="J775" i="1" s="1"/>
  <c r="K775" i="1" a="1"/>
  <c r="K775" i="1" s="1"/>
  <c r="L775" i="1" a="1"/>
  <c r="L775" i="1" s="1"/>
  <c r="G776" i="1" a="1"/>
  <c r="G776" i="1" s="1"/>
  <c r="H776" i="1" a="1"/>
  <c r="H776" i="1" s="1"/>
  <c r="I776" i="1" a="1"/>
  <c r="I776" i="1" s="1"/>
  <c r="J776" i="1" a="1"/>
  <c r="J776" i="1" s="1"/>
  <c r="K776" i="1" a="1"/>
  <c r="K776" i="1" s="1"/>
  <c r="L776" i="1" a="1"/>
  <c r="L776" i="1" s="1"/>
  <c r="G777" i="1" a="1"/>
  <c r="G777" i="1" s="1"/>
  <c r="H777" i="1" a="1"/>
  <c r="H777" i="1" s="1"/>
  <c r="I777" i="1" a="1"/>
  <c r="I777" i="1" s="1"/>
  <c r="J777" i="1" a="1"/>
  <c r="J777" i="1" s="1"/>
  <c r="K777" i="1" a="1"/>
  <c r="K777" i="1" s="1"/>
  <c r="L777" i="1" a="1"/>
  <c r="L777" i="1" s="1"/>
  <c r="G778" i="1" a="1"/>
  <c r="G778" i="1" s="1"/>
  <c r="H778" i="1" a="1"/>
  <c r="H778" i="1" s="1"/>
  <c r="I778" i="1" a="1"/>
  <c r="I778" i="1" s="1"/>
  <c r="J778" i="1" a="1"/>
  <c r="J778" i="1" s="1"/>
  <c r="K778" i="1" a="1"/>
  <c r="K778" i="1" s="1"/>
  <c r="L778" i="1" a="1"/>
  <c r="L778" i="1" s="1"/>
  <c r="G779" i="1" a="1"/>
  <c r="G779" i="1" s="1"/>
  <c r="H779" i="1" a="1"/>
  <c r="H779" i="1" s="1"/>
  <c r="I779" i="1" a="1"/>
  <c r="I779" i="1" s="1"/>
  <c r="J779" i="1" a="1"/>
  <c r="J779" i="1" s="1"/>
  <c r="K779" i="1" a="1"/>
  <c r="K779" i="1" s="1"/>
  <c r="L779" i="1" a="1"/>
  <c r="L779" i="1" s="1"/>
  <c r="G780" i="1" a="1"/>
  <c r="G780" i="1" s="1"/>
  <c r="H780" i="1" a="1"/>
  <c r="H780" i="1" s="1"/>
  <c r="I780" i="1" a="1"/>
  <c r="I780" i="1" s="1"/>
  <c r="J780" i="1" a="1"/>
  <c r="J780" i="1" s="1"/>
  <c r="K780" i="1" a="1"/>
  <c r="K780" i="1" s="1"/>
  <c r="L780" i="1" a="1"/>
  <c r="L780" i="1" s="1"/>
  <c r="G781" i="1" a="1"/>
  <c r="G781" i="1" s="1"/>
  <c r="H781" i="1" a="1"/>
  <c r="H781" i="1" s="1"/>
  <c r="I781" i="1" a="1"/>
  <c r="I781" i="1" s="1"/>
  <c r="J781" i="1" a="1"/>
  <c r="J781" i="1" s="1"/>
  <c r="K781" i="1" a="1"/>
  <c r="K781" i="1" s="1"/>
  <c r="L781" i="1" a="1"/>
  <c r="L781" i="1" s="1"/>
  <c r="G782" i="1" a="1"/>
  <c r="G782" i="1" s="1"/>
  <c r="H782" i="1" a="1"/>
  <c r="H782" i="1" s="1"/>
  <c r="I782" i="1" a="1"/>
  <c r="I782" i="1" s="1"/>
  <c r="J782" i="1" a="1"/>
  <c r="J782" i="1" s="1"/>
  <c r="K782" i="1" a="1"/>
  <c r="K782" i="1" s="1"/>
  <c r="L782" i="1" a="1"/>
  <c r="L782" i="1" s="1"/>
  <c r="G783" i="1" a="1"/>
  <c r="G783" i="1" s="1"/>
  <c r="H783" i="1" a="1"/>
  <c r="H783" i="1" s="1"/>
  <c r="I783" i="1" a="1"/>
  <c r="I783" i="1" s="1"/>
  <c r="J783" i="1" a="1"/>
  <c r="J783" i="1" s="1"/>
  <c r="K783" i="1" a="1"/>
  <c r="K783" i="1" s="1"/>
  <c r="L783" i="1" a="1"/>
  <c r="L783" i="1" s="1"/>
  <c r="G784" i="1" a="1"/>
  <c r="G784" i="1" s="1"/>
  <c r="H784" i="1" a="1"/>
  <c r="H784" i="1" s="1"/>
  <c r="I784" i="1" a="1"/>
  <c r="I784" i="1" s="1"/>
  <c r="J784" i="1" a="1"/>
  <c r="J784" i="1" s="1"/>
  <c r="K784" i="1" a="1"/>
  <c r="K784" i="1" s="1"/>
  <c r="L784" i="1" a="1"/>
  <c r="L784" i="1" s="1"/>
  <c r="G785" i="1" a="1"/>
  <c r="G785" i="1" s="1"/>
  <c r="H785" i="1" a="1"/>
  <c r="H785" i="1" s="1"/>
  <c r="I785" i="1" a="1"/>
  <c r="I785" i="1" s="1"/>
  <c r="J785" i="1" a="1"/>
  <c r="J785" i="1" s="1"/>
  <c r="K785" i="1" a="1"/>
  <c r="K785" i="1" s="1"/>
  <c r="L785" i="1" a="1"/>
  <c r="L785" i="1" s="1"/>
  <c r="G786" i="1" a="1"/>
  <c r="G786" i="1" s="1"/>
  <c r="H786" i="1" a="1"/>
  <c r="H786" i="1" s="1"/>
  <c r="I786" i="1" a="1"/>
  <c r="I786" i="1" s="1"/>
  <c r="J786" i="1" a="1"/>
  <c r="J786" i="1" s="1"/>
  <c r="K786" i="1" a="1"/>
  <c r="K786" i="1" s="1"/>
  <c r="L786" i="1" a="1"/>
  <c r="L786" i="1" s="1"/>
  <c r="G787" i="1" a="1"/>
  <c r="G787" i="1" s="1"/>
  <c r="H787" i="1" a="1"/>
  <c r="H787" i="1" s="1"/>
  <c r="I787" i="1" a="1"/>
  <c r="I787" i="1" s="1"/>
  <c r="J787" i="1" a="1"/>
  <c r="J787" i="1" s="1"/>
  <c r="K787" i="1" a="1"/>
  <c r="K787" i="1" s="1"/>
  <c r="L787" i="1" a="1"/>
  <c r="L787" i="1" s="1"/>
  <c r="G788" i="1" a="1"/>
  <c r="G788" i="1" s="1"/>
  <c r="H788" i="1" a="1"/>
  <c r="H788" i="1" s="1"/>
  <c r="I788" i="1" a="1"/>
  <c r="I788" i="1" s="1"/>
  <c r="J788" i="1" a="1"/>
  <c r="J788" i="1" s="1"/>
  <c r="K788" i="1" a="1"/>
  <c r="K788" i="1" s="1"/>
  <c r="L788" i="1" a="1"/>
  <c r="L788" i="1" s="1"/>
  <c r="G789" i="1" a="1"/>
  <c r="G789" i="1" s="1"/>
  <c r="H789" i="1" a="1"/>
  <c r="H789" i="1" s="1"/>
  <c r="I789" i="1" a="1"/>
  <c r="I789" i="1" s="1"/>
  <c r="J789" i="1" a="1"/>
  <c r="J789" i="1" s="1"/>
  <c r="K789" i="1" a="1"/>
  <c r="K789" i="1" s="1"/>
  <c r="L789" i="1" a="1"/>
  <c r="L789" i="1" s="1"/>
  <c r="G790" i="1" a="1"/>
  <c r="G790" i="1" s="1"/>
  <c r="H790" i="1" a="1"/>
  <c r="H790" i="1" s="1"/>
  <c r="I790" i="1" a="1"/>
  <c r="I790" i="1" s="1"/>
  <c r="J790" i="1" a="1"/>
  <c r="J790" i="1" s="1"/>
  <c r="K790" i="1" a="1"/>
  <c r="K790" i="1" s="1"/>
  <c r="L790" i="1" a="1"/>
  <c r="L790" i="1" s="1"/>
  <c r="G791" i="1" a="1"/>
  <c r="G791" i="1" s="1"/>
  <c r="H791" i="1" a="1"/>
  <c r="H791" i="1" s="1"/>
  <c r="I791" i="1" a="1"/>
  <c r="I791" i="1" s="1"/>
  <c r="J791" i="1" a="1"/>
  <c r="J791" i="1" s="1"/>
  <c r="K791" i="1" a="1"/>
  <c r="K791" i="1" s="1"/>
  <c r="L791" i="1" a="1"/>
  <c r="L791" i="1" s="1"/>
  <c r="G792" i="1" a="1"/>
  <c r="G792" i="1" s="1"/>
  <c r="H792" i="1" a="1"/>
  <c r="H792" i="1" s="1"/>
  <c r="I792" i="1" a="1"/>
  <c r="I792" i="1" s="1"/>
  <c r="J792" i="1" a="1"/>
  <c r="J792" i="1" s="1"/>
  <c r="K792" i="1" a="1"/>
  <c r="K792" i="1" s="1"/>
  <c r="L792" i="1" a="1"/>
  <c r="L792" i="1" s="1"/>
  <c r="G793" i="1" a="1"/>
  <c r="G793" i="1" s="1"/>
  <c r="H793" i="1" a="1"/>
  <c r="H793" i="1" s="1"/>
  <c r="I793" i="1" a="1"/>
  <c r="I793" i="1" s="1"/>
  <c r="J793" i="1" a="1"/>
  <c r="J793" i="1" s="1"/>
  <c r="K793" i="1" a="1"/>
  <c r="K793" i="1" s="1"/>
  <c r="L793" i="1" a="1"/>
  <c r="L793" i="1" s="1"/>
  <c r="G794" i="1" a="1"/>
  <c r="G794" i="1" s="1"/>
  <c r="H794" i="1" a="1"/>
  <c r="H794" i="1" s="1"/>
  <c r="I794" i="1" a="1"/>
  <c r="I794" i="1" s="1"/>
  <c r="J794" i="1" a="1"/>
  <c r="J794" i="1" s="1"/>
  <c r="K794" i="1" a="1"/>
  <c r="K794" i="1" s="1"/>
  <c r="L794" i="1" a="1"/>
  <c r="L794" i="1" s="1"/>
  <c r="G795" i="1" a="1"/>
  <c r="G795" i="1" s="1"/>
  <c r="H795" i="1" a="1"/>
  <c r="H795" i="1" s="1"/>
  <c r="I795" i="1" a="1"/>
  <c r="I795" i="1" s="1"/>
  <c r="J795" i="1" a="1"/>
  <c r="J795" i="1" s="1"/>
  <c r="K795" i="1" a="1"/>
  <c r="K795" i="1" s="1"/>
  <c r="L795" i="1" a="1"/>
  <c r="L795" i="1" s="1"/>
  <c r="G796" i="1" a="1"/>
  <c r="G796" i="1" s="1"/>
  <c r="H796" i="1" a="1"/>
  <c r="H796" i="1" s="1"/>
  <c r="I796" i="1" a="1"/>
  <c r="I796" i="1" s="1"/>
  <c r="J796" i="1" a="1"/>
  <c r="J796" i="1" s="1"/>
  <c r="K796" i="1" a="1"/>
  <c r="K796" i="1" s="1"/>
  <c r="L796" i="1" a="1"/>
  <c r="L796" i="1" s="1"/>
  <c r="G797" i="1" a="1"/>
  <c r="G797" i="1" s="1"/>
  <c r="H797" i="1" a="1"/>
  <c r="H797" i="1" s="1"/>
  <c r="I797" i="1" a="1"/>
  <c r="I797" i="1" s="1"/>
  <c r="J797" i="1" a="1"/>
  <c r="J797" i="1" s="1"/>
  <c r="K797" i="1" a="1"/>
  <c r="K797" i="1" s="1"/>
  <c r="L797" i="1" a="1"/>
  <c r="L797" i="1" s="1"/>
  <c r="G798" i="1" a="1"/>
  <c r="G798" i="1" s="1"/>
  <c r="H798" i="1" a="1"/>
  <c r="H798" i="1" s="1"/>
  <c r="I798" i="1" a="1"/>
  <c r="I798" i="1" s="1"/>
  <c r="J798" i="1" a="1"/>
  <c r="J798" i="1" s="1"/>
  <c r="K798" i="1" a="1"/>
  <c r="K798" i="1" s="1"/>
  <c r="L798" i="1" a="1"/>
  <c r="L798" i="1" s="1"/>
  <c r="G799" i="1" a="1"/>
  <c r="G799" i="1" s="1"/>
  <c r="H799" i="1" a="1"/>
  <c r="H799" i="1" s="1"/>
  <c r="I799" i="1" a="1"/>
  <c r="I799" i="1" s="1"/>
  <c r="J799" i="1" a="1"/>
  <c r="J799" i="1" s="1"/>
  <c r="K799" i="1" a="1"/>
  <c r="K799" i="1" s="1"/>
  <c r="L799" i="1" a="1"/>
  <c r="L799" i="1" s="1"/>
  <c r="G800" i="1" a="1"/>
  <c r="G800" i="1" s="1"/>
  <c r="H800" i="1" a="1"/>
  <c r="H800" i="1" s="1"/>
  <c r="I800" i="1" a="1"/>
  <c r="I800" i="1" s="1"/>
  <c r="J800" i="1" a="1"/>
  <c r="J800" i="1" s="1"/>
  <c r="K800" i="1" a="1"/>
  <c r="K800" i="1" s="1"/>
  <c r="L800" i="1" a="1"/>
  <c r="L800" i="1" s="1"/>
  <c r="G801" i="1" a="1"/>
  <c r="G801" i="1" s="1"/>
  <c r="H801" i="1" a="1"/>
  <c r="H801" i="1" s="1"/>
  <c r="I801" i="1" a="1"/>
  <c r="I801" i="1" s="1"/>
  <c r="J801" i="1" a="1"/>
  <c r="J801" i="1" s="1"/>
  <c r="K801" i="1" a="1"/>
  <c r="K801" i="1" s="1"/>
  <c r="L801" i="1" a="1"/>
  <c r="L801" i="1" s="1"/>
  <c r="G802" i="1" a="1"/>
  <c r="G802" i="1" s="1"/>
  <c r="H802" i="1" a="1"/>
  <c r="H802" i="1" s="1"/>
  <c r="I802" i="1" a="1"/>
  <c r="I802" i="1" s="1"/>
  <c r="J802" i="1" a="1"/>
  <c r="J802" i="1" s="1"/>
  <c r="K802" i="1" a="1"/>
  <c r="K802" i="1" s="1"/>
  <c r="L802" i="1" a="1"/>
  <c r="L802" i="1" s="1"/>
  <c r="G803" i="1" a="1"/>
  <c r="G803" i="1" s="1"/>
  <c r="H803" i="1" a="1"/>
  <c r="H803" i="1" s="1"/>
  <c r="I803" i="1" a="1"/>
  <c r="I803" i="1" s="1"/>
  <c r="J803" i="1" a="1"/>
  <c r="J803" i="1" s="1"/>
  <c r="K803" i="1" a="1"/>
  <c r="K803" i="1" s="1"/>
  <c r="L803" i="1" a="1"/>
  <c r="L803" i="1" s="1"/>
  <c r="G804" i="1" a="1"/>
  <c r="G804" i="1" s="1"/>
  <c r="H804" i="1" a="1"/>
  <c r="H804" i="1" s="1"/>
  <c r="I804" i="1" a="1"/>
  <c r="I804" i="1" s="1"/>
  <c r="J804" i="1" a="1"/>
  <c r="J804" i="1" s="1"/>
  <c r="K804" i="1" a="1"/>
  <c r="K804" i="1" s="1"/>
  <c r="L804" i="1" a="1"/>
  <c r="L804" i="1" s="1"/>
  <c r="G805" i="1" a="1"/>
  <c r="G805" i="1" s="1"/>
  <c r="H805" i="1" a="1"/>
  <c r="H805" i="1" s="1"/>
  <c r="I805" i="1" a="1"/>
  <c r="I805" i="1" s="1"/>
  <c r="J805" i="1" a="1"/>
  <c r="J805" i="1" s="1"/>
  <c r="K805" i="1" a="1"/>
  <c r="K805" i="1" s="1"/>
  <c r="L805" i="1" a="1"/>
  <c r="L805" i="1" s="1"/>
  <c r="G806" i="1" a="1"/>
  <c r="G806" i="1" s="1"/>
  <c r="H806" i="1" a="1"/>
  <c r="H806" i="1" s="1"/>
  <c r="I806" i="1" a="1"/>
  <c r="I806" i="1" s="1"/>
  <c r="J806" i="1" a="1"/>
  <c r="J806" i="1" s="1"/>
  <c r="K806" i="1" a="1"/>
  <c r="K806" i="1" s="1"/>
  <c r="L806" i="1" a="1"/>
  <c r="L806" i="1" s="1"/>
  <c r="G807" i="1" a="1"/>
  <c r="G807" i="1" s="1"/>
  <c r="H807" i="1" a="1"/>
  <c r="H807" i="1" s="1"/>
  <c r="I807" i="1" a="1"/>
  <c r="I807" i="1" s="1"/>
  <c r="J807" i="1" a="1"/>
  <c r="J807" i="1" s="1"/>
  <c r="K807" i="1" a="1"/>
  <c r="K807" i="1" s="1"/>
  <c r="L807" i="1" a="1"/>
  <c r="L807" i="1" s="1"/>
  <c r="G808" i="1" a="1"/>
  <c r="G808" i="1" s="1"/>
  <c r="H808" i="1" a="1"/>
  <c r="H808" i="1" s="1"/>
  <c r="I808" i="1" a="1"/>
  <c r="I808" i="1" s="1"/>
  <c r="J808" i="1" a="1"/>
  <c r="J808" i="1" s="1"/>
  <c r="K808" i="1" a="1"/>
  <c r="K808" i="1" s="1"/>
  <c r="L808" i="1" a="1"/>
  <c r="L808" i="1" s="1"/>
  <c r="G809" i="1" a="1"/>
  <c r="G809" i="1" s="1"/>
  <c r="H809" i="1" a="1"/>
  <c r="H809" i="1" s="1"/>
  <c r="I809" i="1" a="1"/>
  <c r="I809" i="1" s="1"/>
  <c r="J809" i="1" a="1"/>
  <c r="J809" i="1" s="1"/>
  <c r="K809" i="1" a="1"/>
  <c r="K809" i="1" s="1"/>
  <c r="L809" i="1" a="1"/>
  <c r="L809" i="1" s="1"/>
  <c r="G810" i="1" a="1"/>
  <c r="G810" i="1" s="1"/>
  <c r="H810" i="1" a="1"/>
  <c r="H810" i="1" s="1"/>
  <c r="I810" i="1" a="1"/>
  <c r="I810" i="1" s="1"/>
  <c r="J810" i="1" a="1"/>
  <c r="J810" i="1" s="1"/>
  <c r="K810" i="1" a="1"/>
  <c r="K810" i="1" s="1"/>
  <c r="L810" i="1" a="1"/>
  <c r="L810" i="1" s="1"/>
  <c r="G811" i="1" a="1"/>
  <c r="G811" i="1" s="1"/>
  <c r="H811" i="1" a="1"/>
  <c r="H811" i="1" s="1"/>
  <c r="I811" i="1" a="1"/>
  <c r="I811" i="1" s="1"/>
  <c r="J811" i="1" a="1"/>
  <c r="J811" i="1" s="1"/>
  <c r="K811" i="1" a="1"/>
  <c r="K811" i="1" s="1"/>
  <c r="L811" i="1" a="1"/>
  <c r="L811" i="1" s="1"/>
  <c r="G812" i="1" a="1"/>
  <c r="G812" i="1" s="1"/>
  <c r="H812" i="1" a="1"/>
  <c r="H812" i="1" s="1"/>
  <c r="I812" i="1" a="1"/>
  <c r="I812" i="1" s="1"/>
  <c r="J812" i="1" a="1"/>
  <c r="J812" i="1" s="1"/>
  <c r="K812" i="1" a="1"/>
  <c r="K812" i="1" s="1"/>
  <c r="L812" i="1" a="1"/>
  <c r="L812" i="1" s="1"/>
  <c r="G813" i="1" a="1"/>
  <c r="G813" i="1" s="1"/>
  <c r="H813" i="1" a="1"/>
  <c r="H813" i="1" s="1"/>
  <c r="I813" i="1" a="1"/>
  <c r="I813" i="1" s="1"/>
  <c r="J813" i="1" a="1"/>
  <c r="J813" i="1" s="1"/>
  <c r="K813" i="1" a="1"/>
  <c r="K813" i="1" s="1"/>
  <c r="L813" i="1" a="1"/>
  <c r="L813" i="1" s="1"/>
  <c r="G814" i="1" a="1"/>
  <c r="G814" i="1" s="1"/>
  <c r="H814" i="1" a="1"/>
  <c r="H814" i="1" s="1"/>
  <c r="I814" i="1" a="1"/>
  <c r="I814" i="1" s="1"/>
  <c r="J814" i="1" a="1"/>
  <c r="J814" i="1" s="1"/>
  <c r="K814" i="1" a="1"/>
  <c r="K814" i="1" s="1"/>
  <c r="L814" i="1" a="1"/>
  <c r="L814" i="1" s="1"/>
  <c r="G815" i="1" a="1"/>
  <c r="G815" i="1" s="1"/>
  <c r="H815" i="1" a="1"/>
  <c r="H815" i="1" s="1"/>
  <c r="I815" i="1" a="1"/>
  <c r="I815" i="1" s="1"/>
  <c r="J815" i="1" a="1"/>
  <c r="J815" i="1" s="1"/>
  <c r="K815" i="1" a="1"/>
  <c r="K815" i="1" s="1"/>
  <c r="L815" i="1" a="1"/>
  <c r="L815" i="1" s="1"/>
  <c r="G816" i="1" a="1"/>
  <c r="G816" i="1" s="1"/>
  <c r="H816" i="1" a="1"/>
  <c r="H816" i="1" s="1"/>
  <c r="I816" i="1" a="1"/>
  <c r="I816" i="1" s="1"/>
  <c r="J816" i="1" a="1"/>
  <c r="J816" i="1" s="1"/>
  <c r="K816" i="1" a="1"/>
  <c r="K816" i="1" s="1"/>
  <c r="L816" i="1" a="1"/>
  <c r="L816" i="1" s="1"/>
  <c r="G817" i="1" a="1"/>
  <c r="G817" i="1" s="1"/>
  <c r="H817" i="1" a="1"/>
  <c r="H817" i="1" s="1"/>
  <c r="I817" i="1" a="1"/>
  <c r="I817" i="1" s="1"/>
  <c r="J817" i="1" a="1"/>
  <c r="J817" i="1" s="1"/>
  <c r="K817" i="1" a="1"/>
  <c r="K817" i="1" s="1"/>
  <c r="L817" i="1" a="1"/>
  <c r="L817" i="1" s="1"/>
  <c r="G818" i="1" a="1"/>
  <c r="G818" i="1" s="1"/>
  <c r="H818" i="1" a="1"/>
  <c r="H818" i="1" s="1"/>
  <c r="I818" i="1" a="1"/>
  <c r="I818" i="1" s="1"/>
  <c r="J818" i="1" a="1"/>
  <c r="J818" i="1" s="1"/>
  <c r="K818" i="1" a="1"/>
  <c r="K818" i="1" s="1"/>
  <c r="L818" i="1" a="1"/>
  <c r="L818" i="1" s="1"/>
  <c r="G819" i="1" a="1"/>
  <c r="G819" i="1" s="1"/>
  <c r="H819" i="1" a="1"/>
  <c r="H819" i="1" s="1"/>
  <c r="I819" i="1" a="1"/>
  <c r="I819" i="1" s="1"/>
  <c r="J819" i="1" a="1"/>
  <c r="J819" i="1" s="1"/>
  <c r="K819" i="1" a="1"/>
  <c r="K819" i="1" s="1"/>
  <c r="L819" i="1" a="1"/>
  <c r="L819" i="1" s="1"/>
  <c r="G820" i="1" a="1"/>
  <c r="G820" i="1" s="1"/>
  <c r="H820" i="1" a="1"/>
  <c r="H820" i="1" s="1"/>
  <c r="I820" i="1" a="1"/>
  <c r="I820" i="1" s="1"/>
  <c r="J820" i="1" a="1"/>
  <c r="J820" i="1" s="1"/>
  <c r="K820" i="1" a="1"/>
  <c r="K820" i="1" s="1"/>
  <c r="L820" i="1" a="1"/>
  <c r="L820" i="1" s="1"/>
  <c r="G821" i="1" a="1"/>
  <c r="G821" i="1" s="1"/>
  <c r="H821" i="1" a="1"/>
  <c r="H821" i="1" s="1"/>
  <c r="I821" i="1" a="1"/>
  <c r="I821" i="1" s="1"/>
  <c r="J821" i="1" a="1"/>
  <c r="J821" i="1" s="1"/>
  <c r="K821" i="1" a="1"/>
  <c r="K821" i="1" s="1"/>
  <c r="L821" i="1" a="1"/>
  <c r="L821" i="1" s="1"/>
  <c r="G822" i="1" a="1"/>
  <c r="G822" i="1" s="1"/>
  <c r="H822" i="1" a="1"/>
  <c r="H822" i="1" s="1"/>
  <c r="I822" i="1" a="1"/>
  <c r="I822" i="1" s="1"/>
  <c r="J822" i="1" a="1"/>
  <c r="J822" i="1" s="1"/>
  <c r="K822" i="1" a="1"/>
  <c r="K822" i="1" s="1"/>
  <c r="L822" i="1" a="1"/>
  <c r="L822" i="1" s="1"/>
  <c r="G823" i="1" a="1"/>
  <c r="G823" i="1" s="1"/>
  <c r="H823" i="1" a="1"/>
  <c r="H823" i="1" s="1"/>
  <c r="I823" i="1" a="1"/>
  <c r="I823" i="1" s="1"/>
  <c r="J823" i="1" a="1"/>
  <c r="J823" i="1" s="1"/>
  <c r="K823" i="1" a="1"/>
  <c r="K823" i="1" s="1"/>
  <c r="L823" i="1" a="1"/>
  <c r="L823" i="1" s="1"/>
  <c r="G824" i="1" a="1"/>
  <c r="G824" i="1" s="1"/>
  <c r="H824" i="1" a="1"/>
  <c r="H824" i="1" s="1"/>
  <c r="I824" i="1" a="1"/>
  <c r="I824" i="1" s="1"/>
  <c r="J824" i="1" a="1"/>
  <c r="J824" i="1" s="1"/>
  <c r="K824" i="1" a="1"/>
  <c r="K824" i="1" s="1"/>
  <c r="L824" i="1" a="1"/>
  <c r="L824" i="1" s="1"/>
  <c r="G825" i="1" a="1"/>
  <c r="G825" i="1" s="1"/>
  <c r="H825" i="1" a="1"/>
  <c r="H825" i="1" s="1"/>
  <c r="I825" i="1" a="1"/>
  <c r="I825" i="1" s="1"/>
  <c r="J825" i="1" a="1"/>
  <c r="J825" i="1" s="1"/>
  <c r="K825" i="1" a="1"/>
  <c r="K825" i="1" s="1"/>
  <c r="L825" i="1" a="1"/>
  <c r="L825" i="1" s="1"/>
  <c r="G826" i="1" a="1"/>
  <c r="G826" i="1" s="1"/>
  <c r="H826" i="1" a="1"/>
  <c r="H826" i="1" s="1"/>
  <c r="I826" i="1" a="1"/>
  <c r="I826" i="1" s="1"/>
  <c r="J826" i="1" a="1"/>
  <c r="J826" i="1" s="1"/>
  <c r="K826" i="1" a="1"/>
  <c r="K826" i="1" s="1"/>
  <c r="L826" i="1" a="1"/>
  <c r="L826" i="1" s="1"/>
  <c r="G827" i="1" a="1"/>
  <c r="G827" i="1" s="1"/>
  <c r="H827" i="1" a="1"/>
  <c r="H827" i="1" s="1"/>
  <c r="I827" i="1" a="1"/>
  <c r="I827" i="1" s="1"/>
  <c r="J827" i="1" a="1"/>
  <c r="J827" i="1" s="1"/>
  <c r="K827" i="1" a="1"/>
  <c r="K827" i="1" s="1"/>
  <c r="L827" i="1" a="1"/>
  <c r="L827" i="1" s="1"/>
  <c r="G828" i="1" a="1"/>
  <c r="G828" i="1" s="1"/>
  <c r="H828" i="1" a="1"/>
  <c r="H828" i="1" s="1"/>
  <c r="I828" i="1" a="1"/>
  <c r="I828" i="1" s="1"/>
  <c r="J828" i="1" a="1"/>
  <c r="J828" i="1" s="1"/>
  <c r="K828" i="1" a="1"/>
  <c r="K828" i="1" s="1"/>
  <c r="L828" i="1" a="1"/>
  <c r="L828" i="1" s="1"/>
  <c r="G829" i="1" a="1"/>
  <c r="G829" i="1" s="1"/>
  <c r="H829" i="1" a="1"/>
  <c r="H829" i="1" s="1"/>
  <c r="I829" i="1" a="1"/>
  <c r="I829" i="1" s="1"/>
  <c r="J829" i="1" a="1"/>
  <c r="J829" i="1" s="1"/>
  <c r="K829" i="1" a="1"/>
  <c r="K829" i="1" s="1"/>
  <c r="L829" i="1" a="1"/>
  <c r="L829" i="1" s="1"/>
  <c r="G830" i="1" a="1"/>
  <c r="G830" i="1" s="1"/>
  <c r="H830" i="1" a="1"/>
  <c r="H830" i="1" s="1"/>
  <c r="I830" i="1" a="1"/>
  <c r="I830" i="1" s="1"/>
  <c r="J830" i="1" a="1"/>
  <c r="J830" i="1" s="1"/>
  <c r="K830" i="1" a="1"/>
  <c r="K830" i="1" s="1"/>
  <c r="L830" i="1" a="1"/>
  <c r="L830" i="1" s="1"/>
  <c r="G831" i="1" a="1"/>
  <c r="G831" i="1" s="1"/>
  <c r="H831" i="1" a="1"/>
  <c r="H831" i="1" s="1"/>
  <c r="I831" i="1" a="1"/>
  <c r="I831" i="1" s="1"/>
  <c r="J831" i="1" a="1"/>
  <c r="J831" i="1" s="1"/>
  <c r="K831" i="1" a="1"/>
  <c r="K831" i="1" s="1"/>
  <c r="L831" i="1" a="1"/>
  <c r="L831" i="1" s="1"/>
  <c r="G832" i="1" a="1"/>
  <c r="G832" i="1" s="1"/>
  <c r="H832" i="1" a="1"/>
  <c r="H832" i="1" s="1"/>
  <c r="I832" i="1" a="1"/>
  <c r="I832" i="1" s="1"/>
  <c r="J832" i="1" a="1"/>
  <c r="J832" i="1" s="1"/>
  <c r="K832" i="1" a="1"/>
  <c r="K832" i="1" s="1"/>
  <c r="L832" i="1" a="1"/>
  <c r="L832" i="1" s="1"/>
  <c r="G833" i="1" a="1"/>
  <c r="G833" i="1" s="1"/>
  <c r="H833" i="1" a="1"/>
  <c r="H833" i="1" s="1"/>
  <c r="I833" i="1" a="1"/>
  <c r="I833" i="1" s="1"/>
  <c r="J833" i="1" a="1"/>
  <c r="J833" i="1" s="1"/>
  <c r="K833" i="1" a="1"/>
  <c r="K833" i="1" s="1"/>
  <c r="L833" i="1" a="1"/>
  <c r="L833" i="1" s="1"/>
  <c r="G834" i="1" a="1"/>
  <c r="G834" i="1" s="1"/>
  <c r="H834" i="1" a="1"/>
  <c r="H834" i="1" s="1"/>
  <c r="I834" i="1" a="1"/>
  <c r="I834" i="1" s="1"/>
  <c r="J834" i="1" a="1"/>
  <c r="J834" i="1" s="1"/>
  <c r="K834" i="1" a="1"/>
  <c r="K834" i="1" s="1"/>
  <c r="L834" i="1" a="1"/>
  <c r="L834" i="1" s="1"/>
  <c r="G835" i="1" a="1"/>
  <c r="G835" i="1" s="1"/>
  <c r="H835" i="1" a="1"/>
  <c r="H835" i="1" s="1"/>
  <c r="I835" i="1" a="1"/>
  <c r="I835" i="1" s="1"/>
  <c r="J835" i="1" a="1"/>
  <c r="J835" i="1" s="1"/>
  <c r="K835" i="1" a="1"/>
  <c r="K835" i="1" s="1"/>
  <c r="L835" i="1" a="1"/>
  <c r="L835" i="1" s="1"/>
  <c r="G836" i="1" a="1"/>
  <c r="G836" i="1" s="1"/>
  <c r="H836" i="1" a="1"/>
  <c r="H836" i="1" s="1"/>
  <c r="I836" i="1" a="1"/>
  <c r="I836" i="1" s="1"/>
  <c r="J836" i="1" a="1"/>
  <c r="J836" i="1" s="1"/>
  <c r="K836" i="1" a="1"/>
  <c r="K836" i="1" s="1"/>
  <c r="L836" i="1" a="1"/>
  <c r="L836" i="1" s="1"/>
  <c r="G837" i="1" a="1"/>
  <c r="G837" i="1" s="1"/>
  <c r="H837" i="1" a="1"/>
  <c r="H837" i="1" s="1"/>
  <c r="I837" i="1" a="1"/>
  <c r="I837" i="1" s="1"/>
  <c r="J837" i="1" a="1"/>
  <c r="J837" i="1" s="1"/>
  <c r="K837" i="1" a="1"/>
  <c r="K837" i="1" s="1"/>
  <c r="L837" i="1" a="1"/>
  <c r="L837" i="1" s="1"/>
  <c r="G838" i="1" a="1"/>
  <c r="G838" i="1" s="1"/>
  <c r="H838" i="1" a="1"/>
  <c r="H838" i="1" s="1"/>
  <c r="I838" i="1" a="1"/>
  <c r="I838" i="1" s="1"/>
  <c r="J838" i="1" a="1"/>
  <c r="J838" i="1" s="1"/>
  <c r="K838" i="1" a="1"/>
  <c r="K838" i="1" s="1"/>
  <c r="L838" i="1" a="1"/>
  <c r="L838" i="1" s="1"/>
  <c r="G839" i="1" a="1"/>
  <c r="G839" i="1" s="1"/>
  <c r="H839" i="1" a="1"/>
  <c r="H839" i="1" s="1"/>
  <c r="I839" i="1" a="1"/>
  <c r="I839" i="1" s="1"/>
  <c r="J839" i="1" a="1"/>
  <c r="J839" i="1" s="1"/>
  <c r="K839" i="1" a="1"/>
  <c r="K839" i="1" s="1"/>
  <c r="L839" i="1" a="1"/>
  <c r="L839" i="1" s="1"/>
  <c r="G840" i="1" a="1"/>
  <c r="G840" i="1" s="1"/>
  <c r="H840" i="1" a="1"/>
  <c r="H840" i="1" s="1"/>
  <c r="I840" i="1" a="1"/>
  <c r="I840" i="1" s="1"/>
  <c r="J840" i="1" a="1"/>
  <c r="J840" i="1" s="1"/>
  <c r="K840" i="1" a="1"/>
  <c r="K840" i="1" s="1"/>
  <c r="L840" i="1" a="1"/>
  <c r="L840" i="1" s="1"/>
  <c r="G841" i="1" a="1"/>
  <c r="G841" i="1" s="1"/>
  <c r="H841" i="1" a="1"/>
  <c r="H841" i="1" s="1"/>
  <c r="I841" i="1" a="1"/>
  <c r="I841" i="1" s="1"/>
  <c r="J841" i="1" a="1"/>
  <c r="J841" i="1" s="1"/>
  <c r="K841" i="1" a="1"/>
  <c r="K841" i="1" s="1"/>
  <c r="L841" i="1" a="1"/>
  <c r="L841" i="1" s="1"/>
  <c r="G842" i="1" a="1"/>
  <c r="G842" i="1" s="1"/>
  <c r="H842" i="1" a="1"/>
  <c r="H842" i="1" s="1"/>
  <c r="I842" i="1" a="1"/>
  <c r="I842" i="1" s="1"/>
  <c r="J842" i="1" a="1"/>
  <c r="J842" i="1" s="1"/>
  <c r="K842" i="1" a="1"/>
  <c r="K842" i="1" s="1"/>
  <c r="L842" i="1" a="1"/>
  <c r="L842" i="1" s="1"/>
  <c r="G843" i="1" a="1"/>
  <c r="G843" i="1" s="1"/>
  <c r="H843" i="1" a="1"/>
  <c r="H843" i="1" s="1"/>
  <c r="I843" i="1" a="1"/>
  <c r="I843" i="1" s="1"/>
  <c r="J843" i="1" a="1"/>
  <c r="J843" i="1" s="1"/>
  <c r="K843" i="1" a="1"/>
  <c r="K843" i="1" s="1"/>
  <c r="L843" i="1" a="1"/>
  <c r="L843" i="1" s="1"/>
  <c r="G844" i="1" a="1"/>
  <c r="G844" i="1" s="1"/>
  <c r="H844" i="1" a="1"/>
  <c r="H844" i="1" s="1"/>
  <c r="I844" i="1" a="1"/>
  <c r="I844" i="1" s="1"/>
  <c r="J844" i="1" a="1"/>
  <c r="J844" i="1" s="1"/>
  <c r="K844" i="1" a="1"/>
  <c r="K844" i="1" s="1"/>
  <c r="L844" i="1" a="1"/>
  <c r="L844" i="1" s="1"/>
  <c r="G845" i="1" a="1"/>
  <c r="G845" i="1" s="1"/>
  <c r="H845" i="1" a="1"/>
  <c r="H845" i="1" s="1"/>
  <c r="I845" i="1" a="1"/>
  <c r="I845" i="1" s="1"/>
  <c r="J845" i="1" a="1"/>
  <c r="J845" i="1" s="1"/>
  <c r="K845" i="1" a="1"/>
  <c r="K845" i="1" s="1"/>
  <c r="L845" i="1" a="1"/>
  <c r="L845" i="1" s="1"/>
  <c r="G846" i="1" a="1"/>
  <c r="G846" i="1" s="1"/>
  <c r="H846" i="1" a="1"/>
  <c r="H846" i="1" s="1"/>
  <c r="I846" i="1" a="1"/>
  <c r="I846" i="1" s="1"/>
  <c r="J846" i="1" a="1"/>
  <c r="J846" i="1" s="1"/>
  <c r="K846" i="1" a="1"/>
  <c r="K846" i="1" s="1"/>
  <c r="L846" i="1" a="1"/>
  <c r="L846" i="1" s="1"/>
  <c r="G847" i="1" a="1"/>
  <c r="G847" i="1" s="1"/>
  <c r="H847" i="1" a="1"/>
  <c r="H847" i="1" s="1"/>
  <c r="I847" i="1" a="1"/>
  <c r="I847" i="1" s="1"/>
  <c r="J847" i="1" a="1"/>
  <c r="J847" i="1" s="1"/>
  <c r="K847" i="1" a="1"/>
  <c r="K847" i="1" s="1"/>
  <c r="L847" i="1" a="1"/>
  <c r="L847" i="1" s="1"/>
  <c r="G848" i="1" a="1"/>
  <c r="G848" i="1" s="1"/>
  <c r="H848" i="1" a="1"/>
  <c r="H848" i="1" s="1"/>
  <c r="I848" i="1" a="1"/>
  <c r="I848" i="1" s="1"/>
  <c r="J848" i="1" a="1"/>
  <c r="J848" i="1" s="1"/>
  <c r="K848" i="1" a="1"/>
  <c r="K848" i="1" s="1"/>
  <c r="L848" i="1" a="1"/>
  <c r="L848" i="1" s="1"/>
  <c r="G849" i="1" a="1"/>
  <c r="G849" i="1" s="1"/>
  <c r="H849" i="1" a="1"/>
  <c r="H849" i="1" s="1"/>
  <c r="I849" i="1" a="1"/>
  <c r="I849" i="1" s="1"/>
  <c r="J849" i="1" a="1"/>
  <c r="J849" i="1" s="1"/>
  <c r="K849" i="1" a="1"/>
  <c r="K849" i="1" s="1"/>
  <c r="L849" i="1" a="1"/>
  <c r="L849" i="1" s="1"/>
  <c r="G850" i="1" a="1"/>
  <c r="G850" i="1" s="1"/>
  <c r="H850" i="1" a="1"/>
  <c r="H850" i="1" s="1"/>
  <c r="I850" i="1" a="1"/>
  <c r="I850" i="1" s="1"/>
  <c r="J850" i="1" a="1"/>
  <c r="J850" i="1" s="1"/>
  <c r="K850" i="1" a="1"/>
  <c r="K850" i="1" s="1"/>
  <c r="L850" i="1" a="1"/>
  <c r="L850" i="1" s="1"/>
  <c r="G851" i="1" a="1"/>
  <c r="G851" i="1" s="1"/>
  <c r="H851" i="1" a="1"/>
  <c r="H851" i="1" s="1"/>
  <c r="I851" i="1" a="1"/>
  <c r="I851" i="1" s="1"/>
  <c r="J851" i="1" a="1"/>
  <c r="J851" i="1" s="1"/>
  <c r="K851" i="1" a="1"/>
  <c r="K851" i="1" s="1"/>
  <c r="L851" i="1" a="1"/>
  <c r="L851" i="1" s="1"/>
  <c r="G852" i="1" a="1"/>
  <c r="G852" i="1" s="1"/>
  <c r="H852" i="1" a="1"/>
  <c r="H852" i="1" s="1"/>
  <c r="I852" i="1" a="1"/>
  <c r="I852" i="1" s="1"/>
  <c r="J852" i="1" a="1"/>
  <c r="J852" i="1" s="1"/>
  <c r="K852" i="1" a="1"/>
  <c r="K852" i="1" s="1"/>
  <c r="L852" i="1" a="1"/>
  <c r="L852" i="1" s="1"/>
  <c r="G853" i="1" a="1"/>
  <c r="G853" i="1" s="1"/>
  <c r="H853" i="1" a="1"/>
  <c r="H853" i="1" s="1"/>
  <c r="I853" i="1" a="1"/>
  <c r="I853" i="1" s="1"/>
  <c r="J853" i="1" a="1"/>
  <c r="J853" i="1" s="1"/>
  <c r="K853" i="1" a="1"/>
  <c r="K853" i="1" s="1"/>
  <c r="L853" i="1" a="1"/>
  <c r="L853" i="1" s="1"/>
  <c r="G854" i="1" a="1"/>
  <c r="G854" i="1" s="1"/>
  <c r="H854" i="1" a="1"/>
  <c r="H854" i="1" s="1"/>
  <c r="I854" i="1" a="1"/>
  <c r="I854" i="1" s="1"/>
  <c r="J854" i="1" a="1"/>
  <c r="J854" i="1" s="1"/>
  <c r="K854" i="1" a="1"/>
  <c r="K854" i="1" s="1"/>
  <c r="L854" i="1" a="1"/>
  <c r="L854" i="1" s="1"/>
  <c r="G855" i="1" a="1"/>
  <c r="G855" i="1" s="1"/>
  <c r="H855" i="1" a="1"/>
  <c r="H855" i="1" s="1"/>
  <c r="I855" i="1" a="1"/>
  <c r="I855" i="1" s="1"/>
  <c r="J855" i="1" a="1"/>
  <c r="J855" i="1" s="1"/>
  <c r="K855" i="1" a="1"/>
  <c r="K855" i="1" s="1"/>
  <c r="L855" i="1" a="1"/>
  <c r="L855" i="1" s="1"/>
  <c r="G856" i="1" a="1"/>
  <c r="G856" i="1" s="1"/>
  <c r="H856" i="1" a="1"/>
  <c r="H856" i="1" s="1"/>
  <c r="I856" i="1" a="1"/>
  <c r="I856" i="1" s="1"/>
  <c r="J856" i="1" a="1"/>
  <c r="J856" i="1" s="1"/>
  <c r="K856" i="1" a="1"/>
  <c r="K856" i="1" s="1"/>
  <c r="L856" i="1" a="1"/>
  <c r="L856" i="1" s="1"/>
  <c r="G857" i="1" a="1"/>
  <c r="G857" i="1" s="1"/>
  <c r="H857" i="1" a="1"/>
  <c r="H857" i="1" s="1"/>
  <c r="I857" i="1" a="1"/>
  <c r="I857" i="1" s="1"/>
  <c r="J857" i="1" a="1"/>
  <c r="J857" i="1" s="1"/>
  <c r="K857" i="1" a="1"/>
  <c r="K857" i="1" s="1"/>
  <c r="L857" i="1" a="1"/>
  <c r="L857" i="1" s="1"/>
  <c r="G858" i="1" a="1"/>
  <c r="G858" i="1" s="1"/>
  <c r="H858" i="1" a="1"/>
  <c r="H858" i="1" s="1"/>
  <c r="I858" i="1" a="1"/>
  <c r="I858" i="1" s="1"/>
  <c r="J858" i="1" a="1"/>
  <c r="J858" i="1" s="1"/>
  <c r="K858" i="1" a="1"/>
  <c r="K858" i="1" s="1"/>
  <c r="L858" i="1" a="1"/>
  <c r="L858" i="1" s="1"/>
  <c r="G859" i="1" a="1"/>
  <c r="G859" i="1" s="1"/>
  <c r="H859" i="1" a="1"/>
  <c r="H859" i="1" s="1"/>
  <c r="I859" i="1" a="1"/>
  <c r="I859" i="1" s="1"/>
  <c r="J859" i="1" a="1"/>
  <c r="J859" i="1" s="1"/>
  <c r="K859" i="1" a="1"/>
  <c r="K859" i="1" s="1"/>
  <c r="L859" i="1" a="1"/>
  <c r="L859" i="1" s="1"/>
  <c r="G860" i="1" a="1"/>
  <c r="G860" i="1" s="1"/>
  <c r="H860" i="1" a="1"/>
  <c r="H860" i="1" s="1"/>
  <c r="I860" i="1" a="1"/>
  <c r="I860" i="1" s="1"/>
  <c r="J860" i="1" a="1"/>
  <c r="J860" i="1" s="1"/>
  <c r="K860" i="1" a="1"/>
  <c r="K860" i="1" s="1"/>
  <c r="L860" i="1" a="1"/>
  <c r="L860" i="1" s="1"/>
  <c r="G861" i="1" a="1"/>
  <c r="G861" i="1" s="1"/>
  <c r="H861" i="1" a="1"/>
  <c r="H861" i="1" s="1"/>
  <c r="I861" i="1" a="1"/>
  <c r="I861" i="1" s="1"/>
  <c r="J861" i="1" a="1"/>
  <c r="J861" i="1" s="1"/>
  <c r="K861" i="1" a="1"/>
  <c r="K861" i="1" s="1"/>
  <c r="L861" i="1" a="1"/>
  <c r="L861" i="1" s="1"/>
  <c r="G862" i="1" a="1"/>
  <c r="G862" i="1" s="1"/>
  <c r="H862" i="1" a="1"/>
  <c r="H862" i="1" s="1"/>
  <c r="I862" i="1" a="1"/>
  <c r="I862" i="1" s="1"/>
  <c r="J862" i="1" a="1"/>
  <c r="J862" i="1" s="1"/>
  <c r="K862" i="1" a="1"/>
  <c r="K862" i="1" s="1"/>
  <c r="L862" i="1" a="1"/>
  <c r="L862" i="1" s="1"/>
  <c r="G863" i="1" a="1"/>
  <c r="G863" i="1" s="1"/>
  <c r="H863" i="1" a="1"/>
  <c r="H863" i="1" s="1"/>
  <c r="I863" i="1" a="1"/>
  <c r="I863" i="1" s="1"/>
  <c r="J863" i="1" a="1"/>
  <c r="J863" i="1" s="1"/>
  <c r="K863" i="1" a="1"/>
  <c r="K863" i="1" s="1"/>
  <c r="L863" i="1" a="1"/>
  <c r="L863" i="1" s="1"/>
  <c r="G864" i="1" a="1"/>
  <c r="G864" i="1" s="1"/>
  <c r="H864" i="1" a="1"/>
  <c r="H864" i="1" s="1"/>
  <c r="I864" i="1" a="1"/>
  <c r="I864" i="1" s="1"/>
  <c r="J864" i="1" a="1"/>
  <c r="J864" i="1" s="1"/>
  <c r="K864" i="1" a="1"/>
  <c r="K864" i="1" s="1"/>
  <c r="L864" i="1" a="1"/>
  <c r="L864" i="1" s="1"/>
  <c r="G865" i="1" a="1"/>
  <c r="G865" i="1" s="1"/>
  <c r="H865" i="1" a="1"/>
  <c r="H865" i="1" s="1"/>
  <c r="I865" i="1" a="1"/>
  <c r="I865" i="1" s="1"/>
  <c r="J865" i="1" a="1"/>
  <c r="J865" i="1" s="1"/>
  <c r="K865" i="1" a="1"/>
  <c r="K865" i="1" s="1"/>
  <c r="L865" i="1" a="1"/>
  <c r="L865" i="1" s="1"/>
  <c r="G866" i="1" a="1"/>
  <c r="G866" i="1" s="1"/>
  <c r="H866" i="1" a="1"/>
  <c r="H866" i="1" s="1"/>
  <c r="I866" i="1" a="1"/>
  <c r="I866" i="1" s="1"/>
  <c r="J866" i="1" a="1"/>
  <c r="J866" i="1" s="1"/>
  <c r="K866" i="1" a="1"/>
  <c r="K866" i="1" s="1"/>
  <c r="L866" i="1" a="1"/>
  <c r="L866" i="1" s="1"/>
  <c r="G867" i="1" a="1"/>
  <c r="G867" i="1" s="1"/>
  <c r="H867" i="1" a="1"/>
  <c r="H867" i="1" s="1"/>
  <c r="I867" i="1" a="1"/>
  <c r="I867" i="1" s="1"/>
  <c r="J867" i="1" a="1"/>
  <c r="J867" i="1" s="1"/>
  <c r="K867" i="1" a="1"/>
  <c r="K867" i="1" s="1"/>
  <c r="L867" i="1" a="1"/>
  <c r="L867" i="1" s="1"/>
  <c r="G868" i="1" a="1"/>
  <c r="G868" i="1" s="1"/>
  <c r="H868" i="1" a="1"/>
  <c r="H868" i="1" s="1"/>
  <c r="I868" i="1" a="1"/>
  <c r="I868" i="1" s="1"/>
  <c r="J868" i="1" a="1"/>
  <c r="J868" i="1" s="1"/>
  <c r="K868" i="1" a="1"/>
  <c r="K868" i="1" s="1"/>
  <c r="L868" i="1" a="1"/>
  <c r="L868" i="1" s="1"/>
  <c r="G869" i="1" a="1"/>
  <c r="G869" i="1" s="1"/>
  <c r="H869" i="1" a="1"/>
  <c r="H869" i="1" s="1"/>
  <c r="I869" i="1" a="1"/>
  <c r="I869" i="1" s="1"/>
  <c r="J869" i="1" a="1"/>
  <c r="J869" i="1" s="1"/>
  <c r="K869" i="1" a="1"/>
  <c r="K869" i="1" s="1"/>
  <c r="L869" i="1" a="1"/>
  <c r="L869" i="1" s="1"/>
  <c r="G870" i="1" a="1"/>
  <c r="G870" i="1" s="1"/>
  <c r="H870" i="1" a="1"/>
  <c r="H870" i="1" s="1"/>
  <c r="I870" i="1" a="1"/>
  <c r="I870" i="1" s="1"/>
  <c r="J870" i="1" a="1"/>
  <c r="J870" i="1" s="1"/>
  <c r="K870" i="1" a="1"/>
  <c r="K870" i="1" s="1"/>
  <c r="L870" i="1" a="1"/>
  <c r="L870" i="1" s="1"/>
  <c r="G871" i="1" a="1"/>
  <c r="G871" i="1" s="1"/>
  <c r="H871" i="1" a="1"/>
  <c r="H871" i="1" s="1"/>
  <c r="I871" i="1" a="1"/>
  <c r="I871" i="1" s="1"/>
  <c r="J871" i="1" a="1"/>
  <c r="J871" i="1" s="1"/>
  <c r="K871" i="1" a="1"/>
  <c r="K871" i="1" s="1"/>
  <c r="L871" i="1" a="1"/>
  <c r="L871" i="1" s="1"/>
  <c r="G872" i="1" a="1"/>
  <c r="G872" i="1" s="1"/>
  <c r="H872" i="1" a="1"/>
  <c r="H872" i="1" s="1"/>
  <c r="I872" i="1" a="1"/>
  <c r="I872" i="1" s="1"/>
  <c r="J872" i="1" a="1"/>
  <c r="J872" i="1" s="1"/>
  <c r="K872" i="1" a="1"/>
  <c r="K872" i="1" s="1"/>
  <c r="L872" i="1" a="1"/>
  <c r="L872" i="1" s="1"/>
  <c r="G873" i="1" a="1"/>
  <c r="G873" i="1" s="1"/>
  <c r="H873" i="1" a="1"/>
  <c r="H873" i="1" s="1"/>
  <c r="I873" i="1" a="1"/>
  <c r="I873" i="1" s="1"/>
  <c r="J873" i="1" a="1"/>
  <c r="J873" i="1" s="1"/>
  <c r="K873" i="1" a="1"/>
  <c r="K873" i="1" s="1"/>
  <c r="L873" i="1" a="1"/>
  <c r="L873" i="1" s="1"/>
  <c r="G874" i="1" a="1"/>
  <c r="G874" i="1" s="1"/>
  <c r="H874" i="1" a="1"/>
  <c r="H874" i="1" s="1"/>
  <c r="I874" i="1" a="1"/>
  <c r="I874" i="1" s="1"/>
  <c r="J874" i="1" a="1"/>
  <c r="J874" i="1" s="1"/>
  <c r="K874" i="1" a="1"/>
  <c r="K874" i="1" s="1"/>
  <c r="L874" i="1" a="1"/>
  <c r="L874" i="1" s="1"/>
  <c r="G875" i="1" a="1"/>
  <c r="G875" i="1" s="1"/>
  <c r="H875" i="1" a="1"/>
  <c r="H875" i="1" s="1"/>
  <c r="I875" i="1" a="1"/>
  <c r="I875" i="1" s="1"/>
  <c r="J875" i="1" a="1"/>
  <c r="J875" i="1" s="1"/>
  <c r="K875" i="1" a="1"/>
  <c r="K875" i="1" s="1"/>
  <c r="L875" i="1" a="1"/>
  <c r="L875" i="1" s="1"/>
  <c r="G876" i="1" a="1"/>
  <c r="G876" i="1" s="1"/>
  <c r="H876" i="1" a="1"/>
  <c r="H876" i="1" s="1"/>
  <c r="I876" i="1" a="1"/>
  <c r="I876" i="1" s="1"/>
  <c r="J876" i="1" a="1"/>
  <c r="J876" i="1" s="1"/>
  <c r="K876" i="1" a="1"/>
  <c r="K876" i="1" s="1"/>
  <c r="L876" i="1" a="1"/>
  <c r="L876" i="1" s="1"/>
  <c r="G877" i="1" a="1"/>
  <c r="G877" i="1" s="1"/>
  <c r="H877" i="1" a="1"/>
  <c r="H877" i="1" s="1"/>
  <c r="I877" i="1" a="1"/>
  <c r="I877" i="1" s="1"/>
  <c r="J877" i="1" a="1"/>
  <c r="J877" i="1" s="1"/>
  <c r="K877" i="1" a="1"/>
  <c r="K877" i="1" s="1"/>
  <c r="L877" i="1" a="1"/>
  <c r="L877" i="1" s="1"/>
  <c r="G878" i="1" a="1"/>
  <c r="G878" i="1" s="1"/>
  <c r="H878" i="1" a="1"/>
  <c r="H878" i="1" s="1"/>
  <c r="I878" i="1" a="1"/>
  <c r="I878" i="1" s="1"/>
  <c r="J878" i="1" a="1"/>
  <c r="J878" i="1" s="1"/>
  <c r="K878" i="1" a="1"/>
  <c r="K878" i="1" s="1"/>
  <c r="L878" i="1" a="1"/>
  <c r="L878" i="1" s="1"/>
  <c r="G879" i="1" a="1"/>
  <c r="G879" i="1" s="1"/>
  <c r="H879" i="1" a="1"/>
  <c r="H879" i="1" s="1"/>
  <c r="I879" i="1" a="1"/>
  <c r="I879" i="1" s="1"/>
  <c r="J879" i="1" a="1"/>
  <c r="J879" i="1" s="1"/>
  <c r="K879" i="1" a="1"/>
  <c r="K879" i="1" s="1"/>
  <c r="L879" i="1" a="1"/>
  <c r="L879" i="1" s="1"/>
  <c r="G880" i="1" a="1"/>
  <c r="G880" i="1" s="1"/>
  <c r="H880" i="1" a="1"/>
  <c r="H880" i="1" s="1"/>
  <c r="I880" i="1" a="1"/>
  <c r="I880" i="1" s="1"/>
  <c r="J880" i="1" a="1"/>
  <c r="J880" i="1" s="1"/>
  <c r="K880" i="1" a="1"/>
  <c r="K880" i="1" s="1"/>
  <c r="L880" i="1" a="1"/>
  <c r="L880" i="1" s="1"/>
  <c r="G881" i="1" a="1"/>
  <c r="G881" i="1" s="1"/>
  <c r="H881" i="1" a="1"/>
  <c r="H881" i="1" s="1"/>
  <c r="I881" i="1" a="1"/>
  <c r="I881" i="1" s="1"/>
  <c r="J881" i="1" a="1"/>
  <c r="J881" i="1" s="1"/>
  <c r="K881" i="1" a="1"/>
  <c r="K881" i="1" s="1"/>
  <c r="L881" i="1" a="1"/>
  <c r="L881" i="1" s="1"/>
  <c r="G882" i="1" a="1"/>
  <c r="G882" i="1" s="1"/>
  <c r="H882" i="1" a="1"/>
  <c r="H882" i="1" s="1"/>
  <c r="I882" i="1" a="1"/>
  <c r="I882" i="1" s="1"/>
  <c r="J882" i="1" a="1"/>
  <c r="J882" i="1" s="1"/>
  <c r="K882" i="1" a="1"/>
  <c r="K882" i="1" s="1"/>
  <c r="L882" i="1" a="1"/>
  <c r="L882" i="1" s="1"/>
  <c r="G883" i="1" a="1"/>
  <c r="G883" i="1" s="1"/>
  <c r="H883" i="1" a="1"/>
  <c r="H883" i="1" s="1"/>
  <c r="I883" i="1" a="1"/>
  <c r="I883" i="1" s="1"/>
  <c r="J883" i="1" a="1"/>
  <c r="J883" i="1" s="1"/>
  <c r="K883" i="1" a="1"/>
  <c r="K883" i="1" s="1"/>
  <c r="L883" i="1" a="1"/>
  <c r="L883" i="1" s="1"/>
  <c r="G884" i="1" a="1"/>
  <c r="G884" i="1" s="1"/>
  <c r="H884" i="1" a="1"/>
  <c r="H884" i="1" s="1"/>
  <c r="I884" i="1" a="1"/>
  <c r="I884" i="1" s="1"/>
  <c r="J884" i="1" a="1"/>
  <c r="J884" i="1" s="1"/>
  <c r="K884" i="1" a="1"/>
  <c r="K884" i="1" s="1"/>
  <c r="L884" i="1" a="1"/>
  <c r="L884" i="1" s="1"/>
  <c r="G885" i="1" a="1"/>
  <c r="G885" i="1" s="1"/>
  <c r="H885" i="1" a="1"/>
  <c r="H885" i="1" s="1"/>
  <c r="I885" i="1" a="1"/>
  <c r="I885" i="1" s="1"/>
  <c r="J885" i="1" a="1"/>
  <c r="J885" i="1" s="1"/>
  <c r="K885" i="1" a="1"/>
  <c r="K885" i="1" s="1"/>
  <c r="L885" i="1" a="1"/>
  <c r="L885" i="1" s="1"/>
  <c r="G886" i="1" a="1"/>
  <c r="G886" i="1" s="1"/>
  <c r="H886" i="1" a="1"/>
  <c r="H886" i="1" s="1"/>
  <c r="I886" i="1" a="1"/>
  <c r="I886" i="1" s="1"/>
  <c r="J886" i="1" a="1"/>
  <c r="J886" i="1" s="1"/>
  <c r="K886" i="1" a="1"/>
  <c r="K886" i="1" s="1"/>
  <c r="L886" i="1" a="1"/>
  <c r="L886" i="1" s="1"/>
  <c r="G887" i="1" a="1"/>
  <c r="G887" i="1" s="1"/>
  <c r="H887" i="1" a="1"/>
  <c r="H887" i="1" s="1"/>
  <c r="I887" i="1" a="1"/>
  <c r="I887" i="1" s="1"/>
  <c r="J887" i="1" a="1"/>
  <c r="J887" i="1" s="1"/>
  <c r="K887" i="1" a="1"/>
  <c r="K887" i="1" s="1"/>
  <c r="L887" i="1" a="1"/>
  <c r="L887" i="1" s="1"/>
  <c r="G888" i="1" a="1"/>
  <c r="G888" i="1" s="1"/>
  <c r="H888" i="1" a="1"/>
  <c r="H888" i="1" s="1"/>
  <c r="I888" i="1" a="1"/>
  <c r="I888" i="1" s="1"/>
  <c r="J888" i="1" a="1"/>
  <c r="J888" i="1" s="1"/>
  <c r="K888" i="1" a="1"/>
  <c r="K888" i="1" s="1"/>
  <c r="L888" i="1" a="1"/>
  <c r="L888" i="1" s="1"/>
  <c r="G889" i="1" a="1"/>
  <c r="G889" i="1" s="1"/>
  <c r="H889" i="1" a="1"/>
  <c r="H889" i="1" s="1"/>
  <c r="I889" i="1" a="1"/>
  <c r="I889" i="1" s="1"/>
  <c r="J889" i="1" a="1"/>
  <c r="J889" i="1" s="1"/>
  <c r="K889" i="1" a="1"/>
  <c r="K889" i="1" s="1"/>
  <c r="L889" i="1" a="1"/>
  <c r="L889" i="1" s="1"/>
  <c r="G890" i="1" a="1"/>
  <c r="G890" i="1" s="1"/>
  <c r="H890" i="1" a="1"/>
  <c r="H890" i="1" s="1"/>
  <c r="I890" i="1" a="1"/>
  <c r="I890" i="1" s="1"/>
  <c r="J890" i="1" a="1"/>
  <c r="J890" i="1" s="1"/>
  <c r="K890" i="1" a="1"/>
  <c r="K890" i="1" s="1"/>
  <c r="L890" i="1" a="1"/>
  <c r="L890" i="1" s="1"/>
  <c r="G891" i="1" a="1"/>
  <c r="G891" i="1" s="1"/>
  <c r="H891" i="1" a="1"/>
  <c r="H891" i="1" s="1"/>
  <c r="I891" i="1" a="1"/>
  <c r="I891" i="1" s="1"/>
  <c r="J891" i="1" a="1"/>
  <c r="J891" i="1" s="1"/>
  <c r="K891" i="1" a="1"/>
  <c r="K891" i="1" s="1"/>
  <c r="L891" i="1" a="1"/>
  <c r="L891" i="1" s="1"/>
  <c r="G892" i="1" a="1"/>
  <c r="G892" i="1" s="1"/>
  <c r="H892" i="1" a="1"/>
  <c r="H892" i="1" s="1"/>
  <c r="I892" i="1" a="1"/>
  <c r="I892" i="1" s="1"/>
  <c r="J892" i="1" a="1"/>
  <c r="J892" i="1" s="1"/>
  <c r="K892" i="1" a="1"/>
  <c r="K892" i="1" s="1"/>
  <c r="L892" i="1" a="1"/>
  <c r="L892" i="1" s="1"/>
  <c r="G893" i="1" a="1"/>
  <c r="G893" i="1" s="1"/>
  <c r="H893" i="1" a="1"/>
  <c r="H893" i="1" s="1"/>
  <c r="I893" i="1" a="1"/>
  <c r="I893" i="1" s="1"/>
  <c r="J893" i="1" a="1"/>
  <c r="J893" i="1" s="1"/>
  <c r="K893" i="1" a="1"/>
  <c r="K893" i="1" s="1"/>
  <c r="L893" i="1" a="1"/>
  <c r="L893" i="1" s="1"/>
  <c r="G894" i="1" a="1"/>
  <c r="G894" i="1" s="1"/>
  <c r="H894" i="1" a="1"/>
  <c r="H894" i="1" s="1"/>
  <c r="I894" i="1" a="1"/>
  <c r="I894" i="1" s="1"/>
  <c r="J894" i="1" a="1"/>
  <c r="J894" i="1" s="1"/>
  <c r="K894" i="1" a="1"/>
  <c r="K894" i="1" s="1"/>
  <c r="L894" i="1" a="1"/>
  <c r="L894" i="1" s="1"/>
  <c r="G895" i="1" a="1"/>
  <c r="G895" i="1" s="1"/>
  <c r="H895" i="1" a="1"/>
  <c r="H895" i="1" s="1"/>
  <c r="I895" i="1" a="1"/>
  <c r="I895" i="1" s="1"/>
  <c r="J895" i="1" a="1"/>
  <c r="J895" i="1" s="1"/>
  <c r="K895" i="1" a="1"/>
  <c r="K895" i="1" s="1"/>
  <c r="L895" i="1" a="1"/>
  <c r="L895" i="1" s="1"/>
  <c r="G896" i="1" a="1"/>
  <c r="G896" i="1" s="1"/>
  <c r="H896" i="1" a="1"/>
  <c r="H896" i="1" s="1"/>
  <c r="I896" i="1" a="1"/>
  <c r="I896" i="1" s="1"/>
  <c r="J896" i="1" a="1"/>
  <c r="J896" i="1" s="1"/>
  <c r="K896" i="1" a="1"/>
  <c r="K896" i="1" s="1"/>
  <c r="L896" i="1" a="1"/>
  <c r="L896" i="1" s="1"/>
  <c r="G897" i="1" a="1"/>
  <c r="G897" i="1" s="1"/>
  <c r="H897" i="1" a="1"/>
  <c r="H897" i="1" s="1"/>
  <c r="I897" i="1" a="1"/>
  <c r="I897" i="1" s="1"/>
  <c r="J897" i="1" a="1"/>
  <c r="J897" i="1" s="1"/>
  <c r="K897" i="1" a="1"/>
  <c r="K897" i="1" s="1"/>
  <c r="L897" i="1" a="1"/>
  <c r="L897" i="1" s="1"/>
  <c r="G898" i="1" a="1"/>
  <c r="G898" i="1" s="1"/>
  <c r="H898" i="1" a="1"/>
  <c r="H898" i="1" s="1"/>
  <c r="I898" i="1" a="1"/>
  <c r="I898" i="1" s="1"/>
  <c r="J898" i="1" a="1"/>
  <c r="J898" i="1" s="1"/>
  <c r="K898" i="1" a="1"/>
  <c r="K898" i="1" s="1"/>
  <c r="L898" i="1" a="1"/>
  <c r="L898" i="1" s="1"/>
  <c r="G899" i="1" a="1"/>
  <c r="G899" i="1" s="1"/>
  <c r="H899" i="1" a="1"/>
  <c r="H899" i="1" s="1"/>
  <c r="I899" i="1" a="1"/>
  <c r="I899" i="1" s="1"/>
  <c r="J899" i="1" a="1"/>
  <c r="J899" i="1" s="1"/>
  <c r="K899" i="1" a="1"/>
  <c r="K899" i="1" s="1"/>
  <c r="L899" i="1" a="1"/>
  <c r="L899" i="1" s="1"/>
  <c r="G900" i="1" a="1"/>
  <c r="G900" i="1" s="1"/>
  <c r="H900" i="1" a="1"/>
  <c r="H900" i="1" s="1"/>
  <c r="I900" i="1" a="1"/>
  <c r="I900" i="1" s="1"/>
  <c r="J900" i="1" a="1"/>
  <c r="J900" i="1" s="1"/>
  <c r="K900" i="1" a="1"/>
  <c r="K900" i="1" s="1"/>
  <c r="L900" i="1" a="1"/>
  <c r="L900" i="1" s="1"/>
  <c r="G901" i="1" a="1"/>
  <c r="G901" i="1" s="1"/>
  <c r="H901" i="1" a="1"/>
  <c r="H901" i="1" s="1"/>
  <c r="I901" i="1" a="1"/>
  <c r="I901" i="1" s="1"/>
  <c r="J901" i="1" a="1"/>
  <c r="J901" i="1" s="1"/>
  <c r="K901" i="1" a="1"/>
  <c r="K901" i="1" s="1"/>
  <c r="L901" i="1" a="1"/>
  <c r="L901" i="1" s="1"/>
  <c r="G902" i="1" a="1"/>
  <c r="G902" i="1" s="1"/>
  <c r="H902" i="1" a="1"/>
  <c r="H902" i="1" s="1"/>
  <c r="I902" i="1" a="1"/>
  <c r="I902" i="1" s="1"/>
  <c r="J902" i="1" a="1"/>
  <c r="J902" i="1" s="1"/>
  <c r="K902" i="1" a="1"/>
  <c r="K902" i="1" s="1"/>
  <c r="L902" i="1" a="1"/>
  <c r="L902" i="1" s="1"/>
  <c r="G903" i="1" a="1"/>
  <c r="G903" i="1" s="1"/>
  <c r="H903" i="1" a="1"/>
  <c r="H903" i="1" s="1"/>
  <c r="I903" i="1" a="1"/>
  <c r="I903" i="1" s="1"/>
  <c r="J903" i="1" a="1"/>
  <c r="J903" i="1" s="1"/>
  <c r="K903" i="1" a="1"/>
  <c r="K903" i="1" s="1"/>
  <c r="L903" i="1" a="1"/>
  <c r="L903" i="1" s="1"/>
  <c r="G904" i="1" a="1"/>
  <c r="G904" i="1" s="1"/>
  <c r="H904" i="1" a="1"/>
  <c r="H904" i="1" s="1"/>
  <c r="I904" i="1" a="1"/>
  <c r="I904" i="1" s="1"/>
  <c r="J904" i="1" a="1"/>
  <c r="J904" i="1" s="1"/>
  <c r="K904" i="1" a="1"/>
  <c r="K904" i="1" s="1"/>
  <c r="L904" i="1" a="1"/>
  <c r="L904" i="1" s="1"/>
  <c r="G905" i="1" a="1"/>
  <c r="G905" i="1" s="1"/>
  <c r="H905" i="1" a="1"/>
  <c r="H905" i="1" s="1"/>
  <c r="I905" i="1" a="1"/>
  <c r="I905" i="1" s="1"/>
  <c r="J905" i="1" a="1"/>
  <c r="J905" i="1" s="1"/>
  <c r="K905" i="1" a="1"/>
  <c r="K905" i="1" s="1"/>
  <c r="L905" i="1" a="1"/>
  <c r="L905" i="1" s="1"/>
  <c r="G906" i="1" a="1"/>
  <c r="G906" i="1" s="1"/>
  <c r="H906" i="1" a="1"/>
  <c r="H906" i="1" s="1"/>
  <c r="I906" i="1" a="1"/>
  <c r="I906" i="1" s="1"/>
  <c r="J906" i="1" a="1"/>
  <c r="J906" i="1" s="1"/>
  <c r="K906" i="1" a="1"/>
  <c r="K906" i="1" s="1"/>
  <c r="L906" i="1" a="1"/>
  <c r="L906" i="1" s="1"/>
  <c r="G907" i="1" a="1"/>
  <c r="G907" i="1" s="1"/>
  <c r="H907" i="1" a="1"/>
  <c r="H907" i="1" s="1"/>
  <c r="I907" i="1" a="1"/>
  <c r="I907" i="1" s="1"/>
  <c r="J907" i="1" a="1"/>
  <c r="J907" i="1" s="1"/>
  <c r="K907" i="1" a="1"/>
  <c r="K907" i="1" s="1"/>
  <c r="L907" i="1" a="1"/>
  <c r="L907" i="1" s="1"/>
  <c r="G908" i="1" a="1"/>
  <c r="G908" i="1" s="1"/>
  <c r="H908" i="1" a="1"/>
  <c r="H908" i="1" s="1"/>
  <c r="I908" i="1" a="1"/>
  <c r="I908" i="1" s="1"/>
  <c r="J908" i="1" a="1"/>
  <c r="J908" i="1" s="1"/>
  <c r="K908" i="1" a="1"/>
  <c r="K908" i="1" s="1"/>
  <c r="L908" i="1" a="1"/>
  <c r="L908" i="1" s="1"/>
  <c r="G909" i="1" a="1"/>
  <c r="G909" i="1" s="1"/>
  <c r="H909" i="1" a="1"/>
  <c r="H909" i="1" s="1"/>
  <c r="I909" i="1" a="1"/>
  <c r="I909" i="1" s="1"/>
  <c r="J909" i="1" a="1"/>
  <c r="J909" i="1" s="1"/>
  <c r="K909" i="1" a="1"/>
  <c r="K909" i="1" s="1"/>
  <c r="L909" i="1" a="1"/>
  <c r="L909" i="1" s="1"/>
  <c r="G910" i="1" a="1"/>
  <c r="G910" i="1" s="1"/>
  <c r="H910" i="1" a="1"/>
  <c r="H910" i="1" s="1"/>
  <c r="I910" i="1" a="1"/>
  <c r="I910" i="1" s="1"/>
  <c r="J910" i="1" a="1"/>
  <c r="J910" i="1" s="1"/>
  <c r="K910" i="1" a="1"/>
  <c r="K910" i="1" s="1"/>
  <c r="L910" i="1" a="1"/>
  <c r="L910" i="1" s="1"/>
  <c r="G911" i="1" a="1"/>
  <c r="G911" i="1" s="1"/>
  <c r="H911" i="1" a="1"/>
  <c r="H911" i="1" s="1"/>
  <c r="I911" i="1" a="1"/>
  <c r="I911" i="1" s="1"/>
  <c r="J911" i="1" a="1"/>
  <c r="J911" i="1" s="1"/>
  <c r="K911" i="1" a="1"/>
  <c r="K911" i="1" s="1"/>
  <c r="L911" i="1" a="1"/>
  <c r="L911" i="1" s="1"/>
  <c r="G912" i="1" a="1"/>
  <c r="G912" i="1" s="1"/>
  <c r="H912" i="1" a="1"/>
  <c r="H912" i="1" s="1"/>
  <c r="I912" i="1" a="1"/>
  <c r="I912" i="1" s="1"/>
  <c r="J912" i="1" a="1"/>
  <c r="J912" i="1" s="1"/>
  <c r="K912" i="1" a="1"/>
  <c r="K912" i="1" s="1"/>
  <c r="L912" i="1" a="1"/>
  <c r="L912" i="1" s="1"/>
  <c r="G913" i="1" a="1"/>
  <c r="G913" i="1" s="1"/>
  <c r="H913" i="1" a="1"/>
  <c r="H913" i="1" s="1"/>
  <c r="I913" i="1" a="1"/>
  <c r="I913" i="1" s="1"/>
  <c r="J913" i="1" a="1"/>
  <c r="J913" i="1" s="1"/>
  <c r="K913" i="1" a="1"/>
  <c r="K913" i="1" s="1"/>
  <c r="L913" i="1" a="1"/>
  <c r="L913" i="1" s="1"/>
  <c r="G914" i="1" a="1"/>
  <c r="G914" i="1" s="1"/>
  <c r="H914" i="1" a="1"/>
  <c r="H914" i="1" s="1"/>
  <c r="I914" i="1" a="1"/>
  <c r="I914" i="1" s="1"/>
  <c r="J914" i="1" a="1"/>
  <c r="J914" i="1" s="1"/>
  <c r="K914" i="1" a="1"/>
  <c r="K914" i="1" s="1"/>
  <c r="L914" i="1" a="1"/>
  <c r="L914" i="1" s="1"/>
  <c r="G915" i="1" a="1"/>
  <c r="G915" i="1" s="1"/>
  <c r="H915" i="1" a="1"/>
  <c r="H915" i="1" s="1"/>
  <c r="I915" i="1" a="1"/>
  <c r="I915" i="1" s="1"/>
  <c r="J915" i="1" a="1"/>
  <c r="J915" i="1" s="1"/>
  <c r="K915" i="1" a="1"/>
  <c r="K915" i="1" s="1"/>
  <c r="L915" i="1" a="1"/>
  <c r="L915" i="1" s="1"/>
  <c r="G916" i="1" a="1"/>
  <c r="G916" i="1" s="1"/>
  <c r="H916" i="1" a="1"/>
  <c r="H916" i="1" s="1"/>
  <c r="I916" i="1" a="1"/>
  <c r="I916" i="1" s="1"/>
  <c r="J916" i="1" a="1"/>
  <c r="J916" i="1" s="1"/>
  <c r="K916" i="1" a="1"/>
  <c r="K916" i="1" s="1"/>
  <c r="L916" i="1" a="1"/>
  <c r="L916" i="1" s="1"/>
  <c r="G917" i="1" a="1"/>
  <c r="G917" i="1" s="1"/>
  <c r="H917" i="1" a="1"/>
  <c r="H917" i="1" s="1"/>
  <c r="I917" i="1" a="1"/>
  <c r="I917" i="1" s="1"/>
  <c r="J917" i="1" a="1"/>
  <c r="J917" i="1" s="1"/>
  <c r="K917" i="1" a="1"/>
  <c r="K917" i="1" s="1"/>
  <c r="L917" i="1" a="1"/>
  <c r="L917" i="1" s="1"/>
  <c r="G918" i="1" a="1"/>
  <c r="G918" i="1" s="1"/>
  <c r="H918" i="1" a="1"/>
  <c r="H918" i="1" s="1"/>
  <c r="I918" i="1" a="1"/>
  <c r="I918" i="1" s="1"/>
  <c r="J918" i="1" a="1"/>
  <c r="J918" i="1" s="1"/>
  <c r="K918" i="1" a="1"/>
  <c r="K918" i="1" s="1"/>
  <c r="L918" i="1" a="1"/>
  <c r="L918" i="1" s="1"/>
  <c r="G919" i="1" a="1"/>
  <c r="G919" i="1" s="1"/>
  <c r="H919" i="1" a="1"/>
  <c r="H919" i="1" s="1"/>
  <c r="I919" i="1" a="1"/>
  <c r="I919" i="1" s="1"/>
  <c r="J919" i="1" a="1"/>
  <c r="J919" i="1" s="1"/>
  <c r="K919" i="1" a="1"/>
  <c r="K919" i="1" s="1"/>
  <c r="L919" i="1" a="1"/>
  <c r="L919" i="1" s="1"/>
  <c r="G920" i="1" a="1"/>
  <c r="G920" i="1" s="1"/>
  <c r="H920" i="1" a="1"/>
  <c r="H920" i="1" s="1"/>
  <c r="I920" i="1" a="1"/>
  <c r="I920" i="1" s="1"/>
  <c r="J920" i="1" a="1"/>
  <c r="J920" i="1" s="1"/>
  <c r="K920" i="1" a="1"/>
  <c r="K920" i="1" s="1"/>
  <c r="L920" i="1" a="1"/>
  <c r="L920" i="1" s="1"/>
  <c r="G921" i="1" a="1"/>
  <c r="G921" i="1" s="1"/>
  <c r="H921" i="1" a="1"/>
  <c r="H921" i="1" s="1"/>
  <c r="I921" i="1" a="1"/>
  <c r="I921" i="1" s="1"/>
  <c r="J921" i="1" a="1"/>
  <c r="J921" i="1" s="1"/>
  <c r="K921" i="1" a="1"/>
  <c r="K921" i="1" s="1"/>
  <c r="L921" i="1" a="1"/>
  <c r="L921" i="1" s="1"/>
  <c r="G922" i="1" a="1"/>
  <c r="G922" i="1" s="1"/>
  <c r="H922" i="1" a="1"/>
  <c r="H922" i="1" s="1"/>
  <c r="I922" i="1" a="1"/>
  <c r="I922" i="1" s="1"/>
  <c r="J922" i="1" a="1"/>
  <c r="J922" i="1" s="1"/>
  <c r="K922" i="1" a="1"/>
  <c r="K922" i="1" s="1"/>
  <c r="L922" i="1" a="1"/>
  <c r="L922" i="1" s="1"/>
  <c r="G923" i="1" a="1"/>
  <c r="G923" i="1" s="1"/>
  <c r="H923" i="1" a="1"/>
  <c r="H923" i="1" s="1"/>
  <c r="I923" i="1" a="1"/>
  <c r="I923" i="1" s="1"/>
  <c r="J923" i="1" a="1"/>
  <c r="J923" i="1" s="1"/>
  <c r="K923" i="1" a="1"/>
  <c r="K923" i="1" s="1"/>
  <c r="L923" i="1" a="1"/>
  <c r="L923" i="1" s="1"/>
  <c r="G924" i="1" a="1"/>
  <c r="G924" i="1" s="1"/>
  <c r="H924" i="1" a="1"/>
  <c r="H924" i="1" s="1"/>
  <c r="I924" i="1" a="1"/>
  <c r="I924" i="1" s="1"/>
  <c r="J924" i="1" a="1"/>
  <c r="J924" i="1" s="1"/>
  <c r="K924" i="1" a="1"/>
  <c r="K924" i="1" s="1"/>
  <c r="L924" i="1" a="1"/>
  <c r="L924" i="1" s="1"/>
  <c r="G925" i="1" a="1"/>
  <c r="G925" i="1" s="1"/>
  <c r="H925" i="1" a="1"/>
  <c r="H925" i="1" s="1"/>
  <c r="I925" i="1" a="1"/>
  <c r="I925" i="1" s="1"/>
  <c r="J925" i="1" a="1"/>
  <c r="J925" i="1" s="1"/>
  <c r="K925" i="1" a="1"/>
  <c r="K925" i="1" s="1"/>
  <c r="L925" i="1" a="1"/>
  <c r="L925" i="1" s="1"/>
  <c r="G926" i="1" a="1"/>
  <c r="G926" i="1" s="1"/>
  <c r="H926" i="1" a="1"/>
  <c r="H926" i="1" s="1"/>
  <c r="I926" i="1" a="1"/>
  <c r="I926" i="1" s="1"/>
  <c r="J926" i="1" a="1"/>
  <c r="J926" i="1" s="1"/>
  <c r="K926" i="1" a="1"/>
  <c r="K926" i="1" s="1"/>
  <c r="L926" i="1" a="1"/>
  <c r="L926" i="1" s="1"/>
  <c r="G927" i="1" a="1"/>
  <c r="G927" i="1" s="1"/>
  <c r="H927" i="1" a="1"/>
  <c r="H927" i="1" s="1"/>
  <c r="I927" i="1" a="1"/>
  <c r="I927" i="1" s="1"/>
  <c r="J927" i="1" a="1"/>
  <c r="J927" i="1" s="1"/>
  <c r="K927" i="1" a="1"/>
  <c r="K927" i="1" s="1"/>
  <c r="L927" i="1" a="1"/>
  <c r="L927" i="1" s="1"/>
  <c r="G928" i="1" a="1"/>
  <c r="G928" i="1" s="1"/>
  <c r="H928" i="1" a="1"/>
  <c r="H928" i="1" s="1"/>
  <c r="I928" i="1" a="1"/>
  <c r="I928" i="1" s="1"/>
  <c r="J928" i="1" a="1"/>
  <c r="J928" i="1" s="1"/>
  <c r="K928" i="1" a="1"/>
  <c r="K928" i="1" s="1"/>
  <c r="L928" i="1" a="1"/>
  <c r="L928" i="1" s="1"/>
  <c r="G929" i="1" a="1"/>
  <c r="G929" i="1" s="1"/>
  <c r="H929" i="1" a="1"/>
  <c r="H929" i="1" s="1"/>
  <c r="I929" i="1" a="1"/>
  <c r="I929" i="1" s="1"/>
  <c r="J929" i="1" a="1"/>
  <c r="J929" i="1" s="1"/>
  <c r="K929" i="1" a="1"/>
  <c r="K929" i="1" s="1"/>
  <c r="L929" i="1" a="1"/>
  <c r="L929" i="1" s="1"/>
  <c r="G930" i="1" a="1"/>
  <c r="G930" i="1" s="1"/>
  <c r="H930" i="1" a="1"/>
  <c r="H930" i="1" s="1"/>
  <c r="I930" i="1" a="1"/>
  <c r="I930" i="1" s="1"/>
  <c r="J930" i="1" a="1"/>
  <c r="J930" i="1" s="1"/>
  <c r="K930" i="1" a="1"/>
  <c r="K930" i="1" s="1"/>
  <c r="L930" i="1" a="1"/>
  <c r="L930" i="1" s="1"/>
  <c r="G931" i="1" a="1"/>
  <c r="G931" i="1" s="1"/>
  <c r="H931" i="1" a="1"/>
  <c r="H931" i="1" s="1"/>
  <c r="I931" i="1" a="1"/>
  <c r="I931" i="1" s="1"/>
  <c r="J931" i="1" a="1"/>
  <c r="J931" i="1" s="1"/>
  <c r="K931" i="1" a="1"/>
  <c r="K931" i="1" s="1"/>
  <c r="L931" i="1" a="1"/>
  <c r="L931" i="1" s="1"/>
  <c r="G932" i="1" a="1"/>
  <c r="G932" i="1" s="1"/>
  <c r="H932" i="1" a="1"/>
  <c r="H932" i="1" s="1"/>
  <c r="I932" i="1" a="1"/>
  <c r="I932" i="1" s="1"/>
  <c r="J932" i="1" a="1"/>
  <c r="J932" i="1" s="1"/>
  <c r="K932" i="1" a="1"/>
  <c r="K932" i="1" s="1"/>
  <c r="L932" i="1" a="1"/>
  <c r="L932" i="1" s="1"/>
  <c r="G933" i="1" a="1"/>
  <c r="G933" i="1" s="1"/>
  <c r="H933" i="1" a="1"/>
  <c r="H933" i="1" s="1"/>
  <c r="I933" i="1" a="1"/>
  <c r="I933" i="1" s="1"/>
  <c r="J933" i="1" a="1"/>
  <c r="J933" i="1" s="1"/>
  <c r="K933" i="1" a="1"/>
  <c r="K933" i="1" s="1"/>
  <c r="L933" i="1" a="1"/>
  <c r="L933" i="1" s="1"/>
  <c r="G934" i="1" a="1"/>
  <c r="G934" i="1" s="1"/>
  <c r="H934" i="1" a="1"/>
  <c r="H934" i="1" s="1"/>
  <c r="I934" i="1" a="1"/>
  <c r="I934" i="1" s="1"/>
  <c r="J934" i="1" a="1"/>
  <c r="J934" i="1" s="1"/>
  <c r="K934" i="1" a="1"/>
  <c r="K934" i="1" s="1"/>
  <c r="L934" i="1" a="1"/>
  <c r="L934" i="1" s="1"/>
  <c r="G935" i="1" a="1"/>
  <c r="G935" i="1" s="1"/>
  <c r="H935" i="1" a="1"/>
  <c r="H935" i="1" s="1"/>
  <c r="I935" i="1" a="1"/>
  <c r="I935" i="1" s="1"/>
  <c r="J935" i="1" a="1"/>
  <c r="J935" i="1" s="1"/>
  <c r="K935" i="1" a="1"/>
  <c r="K935" i="1" s="1"/>
  <c r="L935" i="1" a="1"/>
  <c r="L935" i="1" s="1"/>
  <c r="G936" i="1" a="1"/>
  <c r="G936" i="1" s="1"/>
  <c r="H936" i="1" a="1"/>
  <c r="H936" i="1" s="1"/>
  <c r="I936" i="1" a="1"/>
  <c r="I936" i="1" s="1"/>
  <c r="J936" i="1" a="1"/>
  <c r="J936" i="1" s="1"/>
  <c r="K936" i="1" a="1"/>
  <c r="K936" i="1" s="1"/>
  <c r="L936" i="1" a="1"/>
  <c r="L936" i="1" s="1"/>
  <c r="G937" i="1" a="1"/>
  <c r="G937" i="1" s="1"/>
  <c r="H937" i="1" a="1"/>
  <c r="H937" i="1" s="1"/>
  <c r="I937" i="1" a="1"/>
  <c r="I937" i="1" s="1"/>
  <c r="J937" i="1" a="1"/>
  <c r="J937" i="1" s="1"/>
  <c r="K937" i="1" a="1"/>
  <c r="K937" i="1" s="1"/>
  <c r="L937" i="1" a="1"/>
  <c r="L937" i="1" s="1"/>
  <c r="G938" i="1" a="1"/>
  <c r="G938" i="1" s="1"/>
  <c r="H938" i="1" a="1"/>
  <c r="H938" i="1" s="1"/>
  <c r="I938" i="1" a="1"/>
  <c r="I938" i="1" s="1"/>
  <c r="J938" i="1" a="1"/>
  <c r="J938" i="1" s="1"/>
  <c r="K938" i="1" a="1"/>
  <c r="K938" i="1" s="1"/>
  <c r="L938" i="1" a="1"/>
  <c r="L938" i="1" s="1"/>
  <c r="G939" i="1" a="1"/>
  <c r="G939" i="1" s="1"/>
  <c r="H939" i="1" a="1"/>
  <c r="H939" i="1" s="1"/>
  <c r="I939" i="1" a="1"/>
  <c r="I939" i="1" s="1"/>
  <c r="J939" i="1" a="1"/>
  <c r="J939" i="1" s="1"/>
  <c r="K939" i="1" a="1"/>
  <c r="K939" i="1" s="1"/>
  <c r="L939" i="1" a="1"/>
  <c r="L939" i="1" s="1"/>
  <c r="G940" i="1" a="1"/>
  <c r="G940" i="1" s="1"/>
  <c r="H940" i="1" a="1"/>
  <c r="H940" i="1" s="1"/>
  <c r="I940" i="1" a="1"/>
  <c r="I940" i="1" s="1"/>
  <c r="J940" i="1" a="1"/>
  <c r="J940" i="1" s="1"/>
  <c r="K940" i="1" a="1"/>
  <c r="K940" i="1" s="1"/>
  <c r="L940" i="1" a="1"/>
  <c r="L940" i="1" s="1"/>
  <c r="G941" i="1" a="1"/>
  <c r="G941" i="1" s="1"/>
  <c r="H941" i="1" a="1"/>
  <c r="H941" i="1" s="1"/>
  <c r="I941" i="1" a="1"/>
  <c r="I941" i="1" s="1"/>
  <c r="J941" i="1" a="1"/>
  <c r="J941" i="1" s="1"/>
  <c r="K941" i="1" a="1"/>
  <c r="K941" i="1" s="1"/>
  <c r="L941" i="1" a="1"/>
  <c r="L941" i="1" s="1"/>
  <c r="G942" i="1" a="1"/>
  <c r="G942" i="1" s="1"/>
  <c r="H942" i="1" a="1"/>
  <c r="H942" i="1" s="1"/>
  <c r="I942" i="1" a="1"/>
  <c r="I942" i="1" s="1"/>
  <c r="J942" i="1" a="1"/>
  <c r="J942" i="1" s="1"/>
  <c r="K942" i="1" a="1"/>
  <c r="K942" i="1" s="1"/>
  <c r="L942" i="1" a="1"/>
  <c r="L942" i="1" s="1"/>
  <c r="G943" i="1" a="1"/>
  <c r="G943" i="1" s="1"/>
  <c r="H943" i="1" a="1"/>
  <c r="H943" i="1" s="1"/>
  <c r="I943" i="1" a="1"/>
  <c r="I943" i="1" s="1"/>
  <c r="J943" i="1" a="1"/>
  <c r="J943" i="1" s="1"/>
  <c r="K943" i="1" a="1"/>
  <c r="K943" i="1" s="1"/>
  <c r="L943" i="1" a="1"/>
  <c r="L943" i="1" s="1"/>
  <c r="G944" i="1" a="1"/>
  <c r="G944" i="1" s="1"/>
  <c r="H944" i="1" a="1"/>
  <c r="H944" i="1" s="1"/>
  <c r="I944" i="1" a="1"/>
  <c r="I944" i="1" s="1"/>
  <c r="J944" i="1" a="1"/>
  <c r="J944" i="1" s="1"/>
  <c r="K944" i="1" a="1"/>
  <c r="K944" i="1" s="1"/>
  <c r="L944" i="1" a="1"/>
  <c r="L944" i="1" s="1"/>
  <c r="G945" i="1" a="1"/>
  <c r="G945" i="1" s="1"/>
  <c r="H945" i="1" a="1"/>
  <c r="H945" i="1" s="1"/>
  <c r="I945" i="1" a="1"/>
  <c r="I945" i="1" s="1"/>
  <c r="J945" i="1" a="1"/>
  <c r="J945" i="1" s="1"/>
  <c r="K945" i="1" a="1"/>
  <c r="K945" i="1" s="1"/>
  <c r="L945" i="1" a="1"/>
  <c r="L945" i="1" s="1"/>
  <c r="G946" i="1" a="1"/>
  <c r="G946" i="1" s="1"/>
  <c r="H946" i="1" a="1"/>
  <c r="H946" i="1" s="1"/>
  <c r="I946" i="1" a="1"/>
  <c r="I946" i="1" s="1"/>
  <c r="J946" i="1" a="1"/>
  <c r="J946" i="1" s="1"/>
  <c r="K946" i="1" a="1"/>
  <c r="K946" i="1" s="1"/>
  <c r="L946" i="1" a="1"/>
  <c r="L946" i="1" s="1"/>
  <c r="G947" i="1" a="1"/>
  <c r="G947" i="1" s="1"/>
  <c r="H947" i="1" a="1"/>
  <c r="H947" i="1" s="1"/>
  <c r="I947" i="1" a="1"/>
  <c r="I947" i="1" s="1"/>
  <c r="J947" i="1" a="1"/>
  <c r="J947" i="1" s="1"/>
  <c r="K947" i="1" a="1"/>
  <c r="K947" i="1" s="1"/>
  <c r="L947" i="1" a="1"/>
  <c r="L947" i="1" s="1"/>
  <c r="G948" i="1" a="1"/>
  <c r="G948" i="1" s="1"/>
  <c r="H948" i="1" a="1"/>
  <c r="H948" i="1" s="1"/>
  <c r="I948" i="1" a="1"/>
  <c r="I948" i="1" s="1"/>
  <c r="J948" i="1" a="1"/>
  <c r="J948" i="1" s="1"/>
  <c r="K948" i="1" a="1"/>
  <c r="K948" i="1" s="1"/>
  <c r="L948" i="1" a="1"/>
  <c r="L948" i="1" s="1"/>
  <c r="G949" i="1" a="1"/>
  <c r="G949" i="1" s="1"/>
  <c r="H949" i="1" a="1"/>
  <c r="H949" i="1" s="1"/>
  <c r="I949" i="1" a="1"/>
  <c r="I949" i="1" s="1"/>
  <c r="J949" i="1" a="1"/>
  <c r="J949" i="1" s="1"/>
  <c r="K949" i="1" a="1"/>
  <c r="K949" i="1" s="1"/>
  <c r="L949" i="1" a="1"/>
  <c r="L949" i="1" s="1"/>
  <c r="G950" i="1" a="1"/>
  <c r="G950" i="1" s="1"/>
  <c r="H950" i="1" a="1"/>
  <c r="H950" i="1" s="1"/>
  <c r="I950" i="1" a="1"/>
  <c r="I950" i="1" s="1"/>
  <c r="J950" i="1" a="1"/>
  <c r="J950" i="1" s="1"/>
  <c r="K950" i="1" a="1"/>
  <c r="K950" i="1" s="1"/>
  <c r="L950" i="1" a="1"/>
  <c r="L950" i="1" s="1"/>
  <c r="G951" i="1" a="1"/>
  <c r="G951" i="1" s="1"/>
  <c r="H951" i="1" a="1"/>
  <c r="H951" i="1" s="1"/>
  <c r="I951" i="1" a="1"/>
  <c r="I951" i="1" s="1"/>
  <c r="J951" i="1" a="1"/>
  <c r="J951" i="1" s="1"/>
  <c r="K951" i="1" a="1"/>
  <c r="K951" i="1" s="1"/>
  <c r="L951" i="1" a="1"/>
  <c r="L951" i="1" s="1"/>
  <c r="G952" i="1" a="1"/>
  <c r="G952" i="1" s="1"/>
  <c r="H952" i="1" a="1"/>
  <c r="H952" i="1" s="1"/>
  <c r="I952" i="1" a="1"/>
  <c r="I952" i="1" s="1"/>
  <c r="J952" i="1" a="1"/>
  <c r="J952" i="1" s="1"/>
  <c r="K952" i="1" a="1"/>
  <c r="K952" i="1" s="1"/>
  <c r="L952" i="1" a="1"/>
  <c r="L952" i="1" s="1"/>
  <c r="G953" i="1" a="1"/>
  <c r="G953" i="1" s="1"/>
  <c r="H953" i="1" a="1"/>
  <c r="H953" i="1" s="1"/>
  <c r="I953" i="1" a="1"/>
  <c r="I953" i="1" s="1"/>
  <c r="J953" i="1" a="1"/>
  <c r="J953" i="1" s="1"/>
  <c r="K953" i="1" a="1"/>
  <c r="K953" i="1" s="1"/>
  <c r="L953" i="1" a="1"/>
  <c r="L953" i="1" s="1"/>
  <c r="G954" i="1" a="1"/>
  <c r="G954" i="1" s="1"/>
  <c r="H954" i="1" a="1"/>
  <c r="H954" i="1" s="1"/>
  <c r="I954" i="1" a="1"/>
  <c r="I954" i="1" s="1"/>
  <c r="J954" i="1" a="1"/>
  <c r="J954" i="1" s="1"/>
  <c r="K954" i="1" a="1"/>
  <c r="K954" i="1" s="1"/>
  <c r="L954" i="1" a="1"/>
  <c r="L954" i="1" s="1"/>
  <c r="G955" i="1" a="1"/>
  <c r="G955" i="1" s="1"/>
  <c r="H955" i="1" a="1"/>
  <c r="H955" i="1" s="1"/>
  <c r="I955" i="1" a="1"/>
  <c r="I955" i="1" s="1"/>
  <c r="J955" i="1" a="1"/>
  <c r="J955" i="1" s="1"/>
  <c r="K955" i="1" a="1"/>
  <c r="K955" i="1" s="1"/>
  <c r="L955" i="1" a="1"/>
  <c r="L955" i="1" s="1"/>
  <c r="G956" i="1" a="1"/>
  <c r="G956" i="1" s="1"/>
  <c r="H956" i="1" a="1"/>
  <c r="H956" i="1" s="1"/>
  <c r="I956" i="1" a="1"/>
  <c r="I956" i="1" s="1"/>
  <c r="J956" i="1" a="1"/>
  <c r="J956" i="1" s="1"/>
  <c r="K956" i="1" a="1"/>
  <c r="K956" i="1" s="1"/>
  <c r="L956" i="1" a="1"/>
  <c r="L956" i="1" s="1"/>
  <c r="G957" i="1" a="1"/>
  <c r="G957" i="1" s="1"/>
  <c r="H957" i="1" a="1"/>
  <c r="H957" i="1" s="1"/>
  <c r="I957" i="1" a="1"/>
  <c r="I957" i="1" s="1"/>
  <c r="J957" i="1" a="1"/>
  <c r="J957" i="1" s="1"/>
  <c r="K957" i="1" a="1"/>
  <c r="K957" i="1" s="1"/>
  <c r="L957" i="1" a="1"/>
  <c r="L957" i="1" s="1"/>
  <c r="G958" i="1" a="1"/>
  <c r="G958" i="1" s="1"/>
  <c r="H958" i="1" a="1"/>
  <c r="H958" i="1" s="1"/>
  <c r="I958" i="1" a="1"/>
  <c r="I958" i="1" s="1"/>
  <c r="J958" i="1" a="1"/>
  <c r="J958" i="1" s="1"/>
  <c r="K958" i="1" a="1"/>
  <c r="K958" i="1" s="1"/>
  <c r="L958" i="1" a="1"/>
  <c r="L958" i="1" s="1"/>
  <c r="G959" i="1" a="1"/>
  <c r="G959" i="1" s="1"/>
  <c r="H959" i="1" a="1"/>
  <c r="H959" i="1" s="1"/>
  <c r="I959" i="1" a="1"/>
  <c r="I959" i="1" s="1"/>
  <c r="J959" i="1" a="1"/>
  <c r="J959" i="1" s="1"/>
  <c r="K959" i="1" a="1"/>
  <c r="K959" i="1" s="1"/>
  <c r="L959" i="1" a="1"/>
  <c r="L959" i="1" s="1"/>
  <c r="G960" i="1" a="1"/>
  <c r="G960" i="1" s="1"/>
  <c r="H960" i="1" a="1"/>
  <c r="H960" i="1" s="1"/>
  <c r="I960" i="1" a="1"/>
  <c r="I960" i="1" s="1"/>
  <c r="J960" i="1" a="1"/>
  <c r="J960" i="1" s="1"/>
  <c r="K960" i="1" a="1"/>
  <c r="K960" i="1" s="1"/>
  <c r="L960" i="1" a="1"/>
  <c r="L960" i="1" s="1"/>
  <c r="G961" i="1" a="1"/>
  <c r="G961" i="1" s="1"/>
  <c r="H961" i="1" a="1"/>
  <c r="H961" i="1" s="1"/>
  <c r="I961" i="1" a="1"/>
  <c r="I961" i="1" s="1"/>
  <c r="J961" i="1" a="1"/>
  <c r="J961" i="1" s="1"/>
  <c r="K961" i="1" a="1"/>
  <c r="K961" i="1" s="1"/>
  <c r="L961" i="1" a="1"/>
  <c r="L961" i="1" s="1"/>
  <c r="G962" i="1" a="1"/>
  <c r="G962" i="1" s="1"/>
  <c r="H962" i="1" a="1"/>
  <c r="H962" i="1" s="1"/>
  <c r="I962" i="1" a="1"/>
  <c r="I962" i="1" s="1"/>
  <c r="J962" i="1" a="1"/>
  <c r="J962" i="1" s="1"/>
  <c r="K962" i="1" a="1"/>
  <c r="K962" i="1" s="1"/>
  <c r="L962" i="1" a="1"/>
  <c r="L962" i="1" s="1"/>
  <c r="G963" i="1" a="1"/>
  <c r="G963" i="1" s="1"/>
  <c r="H963" i="1" a="1"/>
  <c r="H963" i="1" s="1"/>
  <c r="I963" i="1" a="1"/>
  <c r="I963" i="1" s="1"/>
  <c r="J963" i="1" a="1"/>
  <c r="J963" i="1" s="1"/>
  <c r="K963" i="1" a="1"/>
  <c r="K963" i="1" s="1"/>
  <c r="L963" i="1" a="1"/>
  <c r="L963" i="1" s="1"/>
  <c r="G964" i="1" a="1"/>
  <c r="G964" i="1" s="1"/>
  <c r="H964" i="1" a="1"/>
  <c r="H964" i="1" s="1"/>
  <c r="I964" i="1" a="1"/>
  <c r="I964" i="1" s="1"/>
  <c r="J964" i="1" a="1"/>
  <c r="J964" i="1" s="1"/>
  <c r="K964" i="1" a="1"/>
  <c r="K964" i="1" s="1"/>
  <c r="L964" i="1" a="1"/>
  <c r="L964" i="1" s="1"/>
  <c r="G965" i="1" a="1"/>
  <c r="G965" i="1" s="1"/>
  <c r="H965" i="1" a="1"/>
  <c r="H965" i="1" s="1"/>
  <c r="I965" i="1" a="1"/>
  <c r="I965" i="1" s="1"/>
  <c r="J965" i="1" a="1"/>
  <c r="J965" i="1" s="1"/>
  <c r="K965" i="1" a="1"/>
  <c r="K965" i="1" s="1"/>
  <c r="L965" i="1" a="1"/>
  <c r="L965" i="1" s="1"/>
  <c r="G966" i="1" a="1"/>
  <c r="G966" i="1" s="1"/>
  <c r="H966" i="1" a="1"/>
  <c r="H966" i="1" s="1"/>
  <c r="I966" i="1" a="1"/>
  <c r="I966" i="1" s="1"/>
  <c r="J966" i="1" a="1"/>
  <c r="J966" i="1" s="1"/>
  <c r="K966" i="1" a="1"/>
  <c r="K966" i="1" s="1"/>
  <c r="L966" i="1" a="1"/>
  <c r="L966" i="1" s="1"/>
  <c r="G967" i="1" a="1"/>
  <c r="G967" i="1" s="1"/>
  <c r="H967" i="1" a="1"/>
  <c r="H967" i="1" s="1"/>
  <c r="I967" i="1" a="1"/>
  <c r="I967" i="1" s="1"/>
  <c r="J967" i="1" a="1"/>
  <c r="J967" i="1" s="1"/>
  <c r="K967" i="1" a="1"/>
  <c r="K967" i="1" s="1"/>
  <c r="L967" i="1" a="1"/>
  <c r="L967" i="1" s="1"/>
  <c r="G968" i="1" a="1"/>
  <c r="G968" i="1" s="1"/>
  <c r="H968" i="1" a="1"/>
  <c r="H968" i="1" s="1"/>
  <c r="I968" i="1" a="1"/>
  <c r="I968" i="1" s="1"/>
  <c r="J968" i="1" a="1"/>
  <c r="J968" i="1" s="1"/>
  <c r="K968" i="1" a="1"/>
  <c r="K968" i="1" s="1"/>
  <c r="L968" i="1" a="1"/>
  <c r="L968" i="1" s="1"/>
  <c r="G969" i="1" a="1"/>
  <c r="G969" i="1" s="1"/>
  <c r="H969" i="1" a="1"/>
  <c r="H969" i="1" s="1"/>
  <c r="I969" i="1" a="1"/>
  <c r="I969" i="1" s="1"/>
  <c r="J969" i="1" a="1"/>
  <c r="J969" i="1" s="1"/>
  <c r="K969" i="1" a="1"/>
  <c r="K969" i="1" s="1"/>
  <c r="L969" i="1" a="1"/>
  <c r="L969" i="1" s="1"/>
  <c r="G970" i="1" a="1"/>
  <c r="G970" i="1" s="1"/>
  <c r="H970" i="1" a="1"/>
  <c r="H970" i="1" s="1"/>
  <c r="I970" i="1" a="1"/>
  <c r="I970" i="1" s="1"/>
  <c r="J970" i="1" a="1"/>
  <c r="J970" i="1" s="1"/>
  <c r="K970" i="1" a="1"/>
  <c r="K970" i="1" s="1"/>
  <c r="L970" i="1" a="1"/>
  <c r="L970" i="1" s="1"/>
  <c r="G971" i="1" a="1"/>
  <c r="G971" i="1" s="1"/>
  <c r="H971" i="1" a="1"/>
  <c r="H971" i="1" s="1"/>
  <c r="I971" i="1" a="1"/>
  <c r="I971" i="1" s="1"/>
  <c r="J971" i="1" a="1"/>
  <c r="J971" i="1" s="1"/>
  <c r="K971" i="1" a="1"/>
  <c r="K971" i="1" s="1"/>
  <c r="L971" i="1" a="1"/>
  <c r="L971" i="1" s="1"/>
  <c r="G972" i="1" a="1"/>
  <c r="G972" i="1" s="1"/>
  <c r="H972" i="1" a="1"/>
  <c r="H972" i="1" s="1"/>
  <c r="I972" i="1" a="1"/>
  <c r="I972" i="1" s="1"/>
  <c r="J972" i="1" a="1"/>
  <c r="J972" i="1" s="1"/>
  <c r="K972" i="1" a="1"/>
  <c r="K972" i="1" s="1"/>
  <c r="L972" i="1" a="1"/>
  <c r="L972" i="1" s="1"/>
  <c r="G973" i="1" a="1"/>
  <c r="G973" i="1" s="1"/>
  <c r="H973" i="1" a="1"/>
  <c r="H973" i="1" s="1"/>
  <c r="I973" i="1" a="1"/>
  <c r="I973" i="1" s="1"/>
  <c r="J973" i="1" a="1"/>
  <c r="J973" i="1" s="1"/>
  <c r="K973" i="1" a="1"/>
  <c r="K973" i="1" s="1"/>
  <c r="L973" i="1" a="1"/>
  <c r="L973" i="1" s="1"/>
  <c r="G974" i="1" a="1"/>
  <c r="G974" i="1" s="1"/>
  <c r="H974" i="1" a="1"/>
  <c r="H974" i="1" s="1"/>
  <c r="I974" i="1" a="1"/>
  <c r="I974" i="1" s="1"/>
  <c r="J974" i="1" a="1"/>
  <c r="J974" i="1" s="1"/>
  <c r="K974" i="1" a="1"/>
  <c r="K974" i="1" s="1"/>
  <c r="L974" i="1" a="1"/>
  <c r="L974" i="1" s="1"/>
  <c r="G975" i="1" a="1"/>
  <c r="G975" i="1" s="1"/>
  <c r="H975" i="1" a="1"/>
  <c r="H975" i="1" s="1"/>
  <c r="I975" i="1" a="1"/>
  <c r="I975" i="1" s="1"/>
  <c r="J975" i="1" a="1"/>
  <c r="J975" i="1" s="1"/>
  <c r="K975" i="1" a="1"/>
  <c r="K975" i="1" s="1"/>
  <c r="L975" i="1" a="1"/>
  <c r="L975" i="1" s="1"/>
  <c r="G976" i="1" a="1"/>
  <c r="G976" i="1" s="1"/>
  <c r="H976" i="1" a="1"/>
  <c r="H976" i="1" s="1"/>
  <c r="I976" i="1" a="1"/>
  <c r="I976" i="1" s="1"/>
  <c r="J976" i="1" a="1"/>
  <c r="J976" i="1" s="1"/>
  <c r="K976" i="1" a="1"/>
  <c r="K976" i="1" s="1"/>
  <c r="L976" i="1" a="1"/>
  <c r="L976" i="1" s="1"/>
  <c r="G977" i="1" a="1"/>
  <c r="G977" i="1" s="1"/>
  <c r="H977" i="1" a="1"/>
  <c r="H977" i="1" s="1"/>
  <c r="I977" i="1" a="1"/>
  <c r="I977" i="1" s="1"/>
  <c r="J977" i="1" a="1"/>
  <c r="J977" i="1" s="1"/>
  <c r="K977" i="1" a="1"/>
  <c r="K977" i="1" s="1"/>
  <c r="L977" i="1" a="1"/>
  <c r="L977" i="1" s="1"/>
  <c r="G978" i="1" a="1"/>
  <c r="G978" i="1" s="1"/>
  <c r="H978" i="1" a="1"/>
  <c r="H978" i="1" s="1"/>
  <c r="I978" i="1" a="1"/>
  <c r="I978" i="1" s="1"/>
  <c r="J978" i="1" a="1"/>
  <c r="J978" i="1" s="1"/>
  <c r="K978" i="1" a="1"/>
  <c r="K978" i="1" s="1"/>
  <c r="L978" i="1" a="1"/>
  <c r="L978" i="1" s="1"/>
  <c r="G979" i="1" a="1"/>
  <c r="G979" i="1" s="1"/>
  <c r="H979" i="1" a="1"/>
  <c r="H979" i="1" s="1"/>
  <c r="I979" i="1" a="1"/>
  <c r="I979" i="1" s="1"/>
  <c r="J979" i="1" a="1"/>
  <c r="J979" i="1" s="1"/>
  <c r="K979" i="1" a="1"/>
  <c r="K979" i="1" s="1"/>
  <c r="L979" i="1" a="1"/>
  <c r="L979" i="1" s="1"/>
  <c r="G980" i="1" a="1"/>
  <c r="G980" i="1" s="1"/>
  <c r="H980" i="1" a="1"/>
  <c r="H980" i="1" s="1"/>
  <c r="I980" i="1" a="1"/>
  <c r="I980" i="1" s="1"/>
  <c r="J980" i="1" a="1"/>
  <c r="J980" i="1" s="1"/>
  <c r="K980" i="1" a="1"/>
  <c r="K980" i="1" s="1"/>
  <c r="L980" i="1" a="1"/>
  <c r="L980" i="1" s="1"/>
  <c r="G981" i="1" a="1"/>
  <c r="G981" i="1" s="1"/>
  <c r="H981" i="1" a="1"/>
  <c r="H981" i="1" s="1"/>
  <c r="I981" i="1" a="1"/>
  <c r="I981" i="1" s="1"/>
  <c r="J981" i="1" a="1"/>
  <c r="J981" i="1" s="1"/>
  <c r="K981" i="1" a="1"/>
  <c r="K981" i="1" s="1"/>
  <c r="L981" i="1" a="1"/>
  <c r="L981" i="1" s="1"/>
  <c r="G982" i="1" a="1"/>
  <c r="G982" i="1" s="1"/>
  <c r="H982" i="1" a="1"/>
  <c r="H982" i="1" s="1"/>
  <c r="I982" i="1" a="1"/>
  <c r="I982" i="1" s="1"/>
  <c r="J982" i="1" a="1"/>
  <c r="J982" i="1" s="1"/>
  <c r="K982" i="1" a="1"/>
  <c r="K982" i="1" s="1"/>
  <c r="L982" i="1" a="1"/>
  <c r="L982" i="1" s="1"/>
  <c r="G983" i="1" a="1"/>
  <c r="G983" i="1" s="1"/>
  <c r="H983" i="1" a="1"/>
  <c r="H983" i="1" s="1"/>
  <c r="I983" i="1" a="1"/>
  <c r="I983" i="1" s="1"/>
  <c r="J983" i="1" a="1"/>
  <c r="J983" i="1" s="1"/>
  <c r="K983" i="1" a="1"/>
  <c r="K983" i="1" s="1"/>
  <c r="L983" i="1" a="1"/>
  <c r="L983" i="1" s="1"/>
  <c r="G984" i="1" a="1"/>
  <c r="G984" i="1" s="1"/>
  <c r="H984" i="1" a="1"/>
  <c r="H984" i="1" s="1"/>
  <c r="I984" i="1" a="1"/>
  <c r="I984" i="1" s="1"/>
  <c r="J984" i="1" a="1"/>
  <c r="J984" i="1" s="1"/>
  <c r="K984" i="1" a="1"/>
  <c r="K984" i="1" s="1"/>
  <c r="L984" i="1" a="1"/>
  <c r="L984" i="1" s="1"/>
  <c r="G985" i="1" a="1"/>
  <c r="G985" i="1" s="1"/>
  <c r="H985" i="1" a="1"/>
  <c r="H985" i="1" s="1"/>
  <c r="I985" i="1" a="1"/>
  <c r="I985" i="1" s="1"/>
  <c r="J985" i="1" a="1"/>
  <c r="J985" i="1" s="1"/>
  <c r="K985" i="1" a="1"/>
  <c r="K985" i="1" s="1"/>
  <c r="L985" i="1" a="1"/>
  <c r="L985" i="1" s="1"/>
  <c r="G986" i="1" a="1"/>
  <c r="G986" i="1" s="1"/>
  <c r="H986" i="1" a="1"/>
  <c r="H986" i="1" s="1"/>
  <c r="I986" i="1" a="1"/>
  <c r="I986" i="1" s="1"/>
  <c r="J986" i="1" a="1"/>
  <c r="J986" i="1" s="1"/>
  <c r="K986" i="1" a="1"/>
  <c r="K986" i="1" s="1"/>
  <c r="L986" i="1" a="1"/>
  <c r="L986" i="1" s="1"/>
  <c r="G987" i="1" a="1"/>
  <c r="G987" i="1" s="1"/>
  <c r="H987" i="1" a="1"/>
  <c r="H987" i="1" s="1"/>
  <c r="I987" i="1" a="1"/>
  <c r="I987" i="1" s="1"/>
  <c r="J987" i="1" a="1"/>
  <c r="J987" i="1" s="1"/>
  <c r="K987" i="1" a="1"/>
  <c r="K987" i="1" s="1"/>
  <c r="L987" i="1" a="1"/>
  <c r="L987" i="1" s="1"/>
  <c r="G988" i="1" a="1"/>
  <c r="G988" i="1" s="1"/>
  <c r="H988" i="1" a="1"/>
  <c r="H988" i="1" s="1"/>
  <c r="I988" i="1" a="1"/>
  <c r="I988" i="1" s="1"/>
  <c r="J988" i="1" a="1"/>
  <c r="J988" i="1" s="1"/>
  <c r="K988" i="1" a="1"/>
  <c r="K988" i="1" s="1"/>
  <c r="L988" i="1" a="1"/>
  <c r="L988" i="1" s="1"/>
  <c r="G989" i="1" a="1"/>
  <c r="G989" i="1" s="1"/>
  <c r="H989" i="1" a="1"/>
  <c r="H989" i="1" s="1"/>
  <c r="I989" i="1" a="1"/>
  <c r="I989" i="1" s="1"/>
  <c r="J989" i="1" a="1"/>
  <c r="J989" i="1" s="1"/>
  <c r="K989" i="1" a="1"/>
  <c r="K989" i="1" s="1"/>
  <c r="L989" i="1" a="1"/>
  <c r="L989" i="1" s="1"/>
  <c r="G990" i="1" a="1"/>
  <c r="G990" i="1" s="1"/>
  <c r="H990" i="1" a="1"/>
  <c r="H990" i="1" s="1"/>
  <c r="I990" i="1" a="1"/>
  <c r="I990" i="1" s="1"/>
  <c r="J990" i="1" a="1"/>
  <c r="J990" i="1" s="1"/>
  <c r="K990" i="1" a="1"/>
  <c r="K990" i="1" s="1"/>
  <c r="L990" i="1" a="1"/>
  <c r="L990" i="1" s="1"/>
  <c r="G991" i="1" a="1"/>
  <c r="G991" i="1" s="1"/>
  <c r="H991" i="1" a="1"/>
  <c r="H991" i="1" s="1"/>
  <c r="I991" i="1" a="1"/>
  <c r="I991" i="1" s="1"/>
  <c r="J991" i="1" a="1"/>
  <c r="J991" i="1" s="1"/>
  <c r="K991" i="1" a="1"/>
  <c r="K991" i="1" s="1"/>
  <c r="L991" i="1" a="1"/>
  <c r="L991" i="1" s="1"/>
  <c r="G992" i="1" a="1"/>
  <c r="G992" i="1" s="1"/>
  <c r="H992" i="1" a="1"/>
  <c r="H992" i="1" s="1"/>
  <c r="I992" i="1" a="1"/>
  <c r="I992" i="1" s="1"/>
  <c r="J992" i="1" a="1"/>
  <c r="J992" i="1" s="1"/>
  <c r="K992" i="1" a="1"/>
  <c r="K992" i="1" s="1"/>
  <c r="L992" i="1" a="1"/>
  <c r="L992" i="1" s="1"/>
  <c r="G993" i="1" a="1"/>
  <c r="G993" i="1" s="1"/>
  <c r="H993" i="1" a="1"/>
  <c r="H993" i="1" s="1"/>
  <c r="I993" i="1" a="1"/>
  <c r="I993" i="1" s="1"/>
  <c r="J993" i="1" a="1"/>
  <c r="J993" i="1" s="1"/>
  <c r="K993" i="1" a="1"/>
  <c r="K993" i="1" s="1"/>
  <c r="L993" i="1" a="1"/>
  <c r="L993" i="1" s="1"/>
  <c r="G994" i="1" a="1"/>
  <c r="G994" i="1" s="1"/>
  <c r="H994" i="1" a="1"/>
  <c r="H994" i="1" s="1"/>
  <c r="I994" i="1" a="1"/>
  <c r="I994" i="1" s="1"/>
  <c r="J994" i="1" a="1"/>
  <c r="J994" i="1" s="1"/>
  <c r="K994" i="1" a="1"/>
  <c r="K994" i="1" s="1"/>
  <c r="L994" i="1" a="1"/>
  <c r="L994" i="1" s="1"/>
  <c r="G995" i="1" a="1"/>
  <c r="G995" i="1" s="1"/>
  <c r="H995" i="1" a="1"/>
  <c r="H995" i="1" s="1"/>
  <c r="I995" i="1" a="1"/>
  <c r="I995" i="1" s="1"/>
  <c r="J995" i="1" a="1"/>
  <c r="J995" i="1" s="1"/>
  <c r="K995" i="1" a="1"/>
  <c r="K995" i="1" s="1"/>
  <c r="L995" i="1" a="1"/>
  <c r="L995" i="1" s="1"/>
  <c r="G996" i="1" a="1"/>
  <c r="G996" i="1" s="1"/>
  <c r="H996" i="1" a="1"/>
  <c r="H996" i="1" s="1"/>
  <c r="I996" i="1" a="1"/>
  <c r="I996" i="1" s="1"/>
  <c r="J996" i="1" a="1"/>
  <c r="J996" i="1" s="1"/>
  <c r="K996" i="1" a="1"/>
  <c r="K996" i="1" s="1"/>
  <c r="L996" i="1" a="1"/>
  <c r="L996" i="1" s="1"/>
  <c r="G997" i="1" a="1"/>
  <c r="G997" i="1" s="1"/>
  <c r="H997" i="1" a="1"/>
  <c r="H997" i="1" s="1"/>
  <c r="I997" i="1" a="1"/>
  <c r="I997" i="1" s="1"/>
  <c r="J997" i="1" a="1"/>
  <c r="J997" i="1" s="1"/>
  <c r="K997" i="1" a="1"/>
  <c r="K997" i="1" s="1"/>
  <c r="L997" i="1" a="1"/>
  <c r="L997" i="1" s="1"/>
  <c r="G998" i="1" a="1"/>
  <c r="G998" i="1" s="1"/>
  <c r="H998" i="1" a="1"/>
  <c r="H998" i="1" s="1"/>
  <c r="I998" i="1" a="1"/>
  <c r="I998" i="1" s="1"/>
  <c r="J998" i="1" a="1"/>
  <c r="J998" i="1" s="1"/>
  <c r="K998" i="1" a="1"/>
  <c r="K998" i="1" s="1"/>
  <c r="L998" i="1" a="1"/>
  <c r="L998" i="1" s="1"/>
  <c r="G999" i="1" a="1"/>
  <c r="G999" i="1" s="1"/>
  <c r="H999" i="1" a="1"/>
  <c r="H999" i="1" s="1"/>
  <c r="I999" i="1" a="1"/>
  <c r="I999" i="1" s="1"/>
  <c r="J999" i="1" a="1"/>
  <c r="J999" i="1" s="1"/>
  <c r="K999" i="1" a="1"/>
  <c r="K999" i="1" s="1"/>
  <c r="L999" i="1" a="1"/>
  <c r="L999" i="1" s="1"/>
  <c r="G1000" i="1" a="1"/>
  <c r="G1000" i="1" s="1"/>
  <c r="H1000" i="1" a="1"/>
  <c r="H1000" i="1" s="1"/>
  <c r="I1000" i="1" a="1"/>
  <c r="I1000" i="1" s="1"/>
  <c r="J1000" i="1" a="1"/>
  <c r="J1000" i="1" s="1"/>
  <c r="K1000" i="1" a="1"/>
  <c r="K1000" i="1" s="1"/>
  <c r="L1000" i="1" a="1"/>
  <c r="L1000" i="1" s="1"/>
  <c r="G1001" i="1" a="1"/>
  <c r="G1001" i="1" s="1"/>
  <c r="H1001" i="1" a="1"/>
  <c r="H1001" i="1" s="1"/>
  <c r="I1001" i="1" a="1"/>
  <c r="I1001" i="1" s="1"/>
  <c r="J1001" i="1" a="1"/>
  <c r="J1001" i="1" s="1"/>
  <c r="K1001" i="1" a="1"/>
  <c r="K1001" i="1" s="1"/>
  <c r="L1001" i="1" a="1"/>
  <c r="L1001" i="1" s="1"/>
  <c r="G1002" i="1" a="1"/>
  <c r="G1002" i="1" s="1"/>
  <c r="H1002" i="1" a="1"/>
  <c r="H1002" i="1" s="1"/>
  <c r="I1002" i="1" a="1"/>
  <c r="I1002" i="1" s="1"/>
  <c r="J1002" i="1" a="1"/>
  <c r="J1002" i="1" s="1"/>
  <c r="K1002" i="1" a="1"/>
  <c r="K1002" i="1" s="1"/>
  <c r="L1002" i="1" a="1"/>
  <c r="L1002" i="1" s="1"/>
  <c r="G1003" i="1" a="1"/>
  <c r="G1003" i="1" s="1"/>
  <c r="H1003" i="1" a="1"/>
  <c r="H1003" i="1" s="1"/>
  <c r="I1003" i="1" a="1"/>
  <c r="I1003" i="1" s="1"/>
  <c r="J1003" i="1" a="1"/>
  <c r="J1003" i="1" s="1"/>
  <c r="K1003" i="1" a="1"/>
  <c r="K1003" i="1" s="1"/>
  <c r="L1003" i="1" a="1"/>
  <c r="L1003" i="1" s="1"/>
  <c r="G1004" i="1" a="1"/>
  <c r="G1004" i="1" s="1"/>
  <c r="H1004" i="1" a="1"/>
  <c r="H1004" i="1" s="1"/>
  <c r="I1004" i="1" a="1"/>
  <c r="I1004" i="1" s="1"/>
  <c r="J1004" i="1" a="1"/>
  <c r="J1004" i="1" s="1"/>
  <c r="K1004" i="1" a="1"/>
  <c r="K1004" i="1" s="1"/>
  <c r="L1004" i="1" a="1"/>
  <c r="L1004" i="1" s="1"/>
  <c r="G1005" i="1" a="1"/>
  <c r="G1005" i="1" s="1"/>
  <c r="H1005" i="1" a="1"/>
  <c r="H1005" i="1" s="1"/>
  <c r="I1005" i="1" a="1"/>
  <c r="I1005" i="1" s="1"/>
  <c r="J1005" i="1" a="1"/>
  <c r="J1005" i="1" s="1"/>
  <c r="K1005" i="1" a="1"/>
  <c r="K1005" i="1" s="1"/>
  <c r="L1005" i="1" a="1"/>
  <c r="L1005" i="1" s="1"/>
  <c r="G1006" i="1" a="1"/>
  <c r="G1006" i="1" s="1"/>
  <c r="H1006" i="1" a="1"/>
  <c r="H1006" i="1" s="1"/>
  <c r="I1006" i="1" a="1"/>
  <c r="I1006" i="1" s="1"/>
  <c r="J1006" i="1" a="1"/>
  <c r="J1006" i="1" s="1"/>
  <c r="K1006" i="1" a="1"/>
  <c r="K1006" i="1" s="1"/>
  <c r="L1006" i="1" a="1"/>
  <c r="L1006" i="1" s="1"/>
  <c r="G1007" i="1" a="1"/>
  <c r="G1007" i="1" s="1"/>
  <c r="H1007" i="1" a="1"/>
  <c r="H1007" i="1" s="1"/>
  <c r="I1007" i="1" a="1"/>
  <c r="I1007" i="1" s="1"/>
  <c r="J1007" i="1" a="1"/>
  <c r="J1007" i="1" s="1"/>
  <c r="K1007" i="1" a="1"/>
  <c r="K1007" i="1" s="1"/>
  <c r="L1007" i="1" a="1"/>
  <c r="L1007" i="1" s="1"/>
  <c r="G1008" i="1" a="1"/>
  <c r="G1008" i="1" s="1"/>
  <c r="H1008" i="1" a="1"/>
  <c r="H1008" i="1" s="1"/>
  <c r="I1008" i="1" a="1"/>
  <c r="I1008" i="1" s="1"/>
  <c r="J1008" i="1" a="1"/>
  <c r="J1008" i="1" s="1"/>
  <c r="K1008" i="1" a="1"/>
  <c r="K1008" i="1" s="1"/>
  <c r="L1008" i="1" a="1"/>
  <c r="L1008" i="1" s="1"/>
  <c r="G1009" i="1" a="1"/>
  <c r="G1009" i="1" s="1"/>
  <c r="H1009" i="1" a="1"/>
  <c r="H1009" i="1" s="1"/>
  <c r="I1009" i="1" a="1"/>
  <c r="I1009" i="1" s="1"/>
  <c r="J1009" i="1" a="1"/>
  <c r="J1009" i="1" s="1"/>
  <c r="K1009" i="1" a="1"/>
  <c r="K1009" i="1" s="1"/>
  <c r="L1009" i="1" a="1"/>
  <c r="L1009" i="1" s="1"/>
  <c r="G1010" i="1" a="1"/>
  <c r="G1010" i="1" s="1"/>
  <c r="H1010" i="1" a="1"/>
  <c r="H1010" i="1" s="1"/>
  <c r="I1010" i="1" a="1"/>
  <c r="I1010" i="1" s="1"/>
  <c r="J1010" i="1" a="1"/>
  <c r="J1010" i="1" s="1"/>
  <c r="K1010" i="1" a="1"/>
  <c r="K1010" i="1" s="1"/>
  <c r="L1010" i="1" a="1"/>
  <c r="L1010" i="1" s="1"/>
  <c r="G1011" i="1" a="1"/>
  <c r="G1011" i="1" s="1"/>
  <c r="H1011" i="1" a="1"/>
  <c r="H1011" i="1" s="1"/>
  <c r="I1011" i="1" a="1"/>
  <c r="I1011" i="1" s="1"/>
  <c r="J1011" i="1" a="1"/>
  <c r="J1011" i="1" s="1"/>
  <c r="K1011" i="1" a="1"/>
  <c r="K1011" i="1" s="1"/>
  <c r="L1011" i="1" a="1"/>
  <c r="L1011" i="1" s="1"/>
  <c r="G1012" i="1" a="1"/>
  <c r="G1012" i="1" s="1"/>
  <c r="H1012" i="1" a="1"/>
  <c r="H1012" i="1" s="1"/>
  <c r="I1012" i="1" a="1"/>
  <c r="I1012" i="1" s="1"/>
  <c r="J1012" i="1" a="1"/>
  <c r="J1012" i="1" s="1"/>
  <c r="K1012" i="1" a="1"/>
  <c r="K1012" i="1" s="1"/>
  <c r="L1012" i="1" a="1"/>
  <c r="L1012" i="1" s="1"/>
  <c r="G1013" i="1" a="1"/>
  <c r="G1013" i="1" s="1"/>
  <c r="H1013" i="1" a="1"/>
  <c r="H1013" i="1" s="1"/>
  <c r="I1013" i="1" a="1"/>
  <c r="I1013" i="1" s="1"/>
  <c r="J1013" i="1" a="1"/>
  <c r="J1013" i="1" s="1"/>
  <c r="K1013" i="1" a="1"/>
  <c r="K1013" i="1" s="1"/>
  <c r="L1013" i="1" a="1"/>
  <c r="L1013" i="1" s="1"/>
  <c r="G1014" i="1" a="1"/>
  <c r="G1014" i="1" s="1"/>
  <c r="H1014" i="1" a="1"/>
  <c r="H1014" i="1" s="1"/>
  <c r="I1014" i="1" a="1"/>
  <c r="I1014" i="1" s="1"/>
  <c r="J1014" i="1" a="1"/>
  <c r="J1014" i="1" s="1"/>
  <c r="K1014" i="1" a="1"/>
  <c r="K1014" i="1" s="1"/>
  <c r="L1014" i="1" a="1"/>
  <c r="L1014" i="1" s="1"/>
  <c r="G1015" i="1" a="1"/>
  <c r="G1015" i="1" s="1"/>
  <c r="H1015" i="1" a="1"/>
  <c r="H1015" i="1" s="1"/>
  <c r="I1015" i="1" a="1"/>
  <c r="I1015" i="1" s="1"/>
  <c r="J1015" i="1" a="1"/>
  <c r="J1015" i="1" s="1"/>
  <c r="K1015" i="1" a="1"/>
  <c r="K1015" i="1" s="1"/>
  <c r="L1015" i="1" a="1"/>
  <c r="L1015" i="1" s="1"/>
  <c r="G1016" i="1" a="1"/>
  <c r="G1016" i="1" s="1"/>
  <c r="H1016" i="1" a="1"/>
  <c r="H1016" i="1" s="1"/>
  <c r="I1016" i="1" a="1"/>
  <c r="I1016" i="1" s="1"/>
  <c r="J1016" i="1" a="1"/>
  <c r="J1016" i="1" s="1"/>
  <c r="K1016" i="1" a="1"/>
  <c r="K1016" i="1" s="1"/>
  <c r="L1016" i="1" a="1"/>
  <c r="L1016" i="1" s="1"/>
  <c r="G1017" i="1" a="1"/>
  <c r="G1017" i="1" s="1"/>
  <c r="H1017" i="1" a="1"/>
  <c r="H1017" i="1" s="1"/>
  <c r="I1017" i="1" a="1"/>
  <c r="I1017" i="1" s="1"/>
  <c r="J1017" i="1" a="1"/>
  <c r="J1017" i="1" s="1"/>
  <c r="K1017" i="1" a="1"/>
  <c r="K1017" i="1" s="1"/>
  <c r="L1017" i="1" a="1"/>
  <c r="L1017" i="1" s="1"/>
  <c r="G1018" i="1" a="1"/>
  <c r="G1018" i="1" s="1"/>
  <c r="H1018" i="1" a="1"/>
  <c r="H1018" i="1" s="1"/>
  <c r="I1018" i="1" a="1"/>
  <c r="I1018" i="1" s="1"/>
  <c r="J1018" i="1" a="1"/>
  <c r="J1018" i="1" s="1"/>
  <c r="K1018" i="1" a="1"/>
  <c r="K1018" i="1" s="1"/>
  <c r="L1018" i="1" a="1"/>
  <c r="L1018" i="1" s="1"/>
  <c r="G1019" i="1" a="1"/>
  <c r="G1019" i="1" s="1"/>
  <c r="H1019" i="1" a="1"/>
  <c r="H1019" i="1" s="1"/>
  <c r="I1019" i="1" a="1"/>
  <c r="I1019" i="1" s="1"/>
  <c r="J1019" i="1" a="1"/>
  <c r="J1019" i="1" s="1"/>
  <c r="K1019" i="1" a="1"/>
  <c r="K1019" i="1" s="1"/>
  <c r="L1019" i="1" a="1"/>
  <c r="L1019" i="1" s="1"/>
  <c r="G1020" i="1" a="1"/>
  <c r="G1020" i="1" s="1"/>
  <c r="H1020" i="1" a="1"/>
  <c r="H1020" i="1" s="1"/>
  <c r="I1020" i="1" a="1"/>
  <c r="I1020" i="1" s="1"/>
  <c r="J1020" i="1" a="1"/>
  <c r="J1020" i="1" s="1"/>
  <c r="K1020" i="1" a="1"/>
  <c r="K1020" i="1" s="1"/>
  <c r="L1020" i="1" a="1"/>
  <c r="L1020" i="1" s="1"/>
  <c r="G1021" i="1" a="1"/>
  <c r="G1021" i="1" s="1"/>
  <c r="H1021" i="1" a="1"/>
  <c r="H1021" i="1" s="1"/>
  <c r="I1021" i="1" a="1"/>
  <c r="I1021" i="1" s="1"/>
  <c r="J1021" i="1" a="1"/>
  <c r="J1021" i="1" s="1"/>
  <c r="K1021" i="1" a="1"/>
  <c r="K1021" i="1" s="1"/>
  <c r="L1021" i="1" a="1"/>
  <c r="L1021" i="1" s="1"/>
  <c r="G1022" i="1" a="1"/>
  <c r="G1022" i="1" s="1"/>
  <c r="H1022" i="1" a="1"/>
  <c r="H1022" i="1" s="1"/>
  <c r="I1022" i="1" a="1"/>
  <c r="I1022" i="1" s="1"/>
  <c r="J1022" i="1" a="1"/>
  <c r="J1022" i="1" s="1"/>
  <c r="K1022" i="1" a="1"/>
  <c r="K1022" i="1" s="1"/>
  <c r="L1022" i="1" a="1"/>
  <c r="L1022" i="1" s="1"/>
  <c r="G1023" i="1" a="1"/>
  <c r="G1023" i="1" s="1"/>
  <c r="H1023" i="1" a="1"/>
  <c r="H1023" i="1" s="1"/>
  <c r="I1023" i="1" a="1"/>
  <c r="I1023" i="1" s="1"/>
  <c r="J1023" i="1" a="1"/>
  <c r="J1023" i="1" s="1"/>
  <c r="K1023" i="1" a="1"/>
  <c r="K1023" i="1" s="1"/>
  <c r="L1023" i="1" a="1"/>
  <c r="L1023" i="1" s="1"/>
  <c r="G1024" i="1" a="1"/>
  <c r="G1024" i="1" s="1"/>
  <c r="H1024" i="1" a="1"/>
  <c r="H1024" i="1" s="1"/>
  <c r="I1024" i="1" a="1"/>
  <c r="I1024" i="1" s="1"/>
  <c r="J1024" i="1" a="1"/>
  <c r="J1024" i="1" s="1"/>
  <c r="K1024" i="1" a="1"/>
  <c r="K1024" i="1" s="1"/>
  <c r="L1024" i="1" a="1"/>
  <c r="L1024" i="1" s="1"/>
  <c r="G1025" i="1" a="1"/>
  <c r="G1025" i="1" s="1"/>
  <c r="H1025" i="1" a="1"/>
  <c r="H1025" i="1" s="1"/>
  <c r="I1025" i="1" a="1"/>
  <c r="I1025" i="1" s="1"/>
  <c r="J1025" i="1" a="1"/>
  <c r="J1025" i="1" s="1"/>
  <c r="K1025" i="1" a="1"/>
  <c r="K1025" i="1" s="1"/>
  <c r="L1025" i="1" a="1"/>
  <c r="L1025" i="1" s="1"/>
  <c r="G1026" i="1" a="1"/>
  <c r="G1026" i="1" s="1"/>
  <c r="H1026" i="1" a="1"/>
  <c r="H1026" i="1" s="1"/>
  <c r="I1026" i="1" a="1"/>
  <c r="I1026" i="1" s="1"/>
  <c r="J1026" i="1" a="1"/>
  <c r="J1026" i="1" s="1"/>
  <c r="K1026" i="1" a="1"/>
  <c r="K1026" i="1" s="1"/>
  <c r="L1026" i="1" a="1"/>
  <c r="L1026" i="1" s="1"/>
  <c r="G1027" i="1" a="1"/>
  <c r="G1027" i="1" s="1"/>
  <c r="H1027" i="1" a="1"/>
  <c r="H1027" i="1" s="1"/>
  <c r="I1027" i="1" a="1"/>
  <c r="I1027" i="1" s="1"/>
  <c r="J1027" i="1" a="1"/>
  <c r="J1027" i="1" s="1"/>
  <c r="K1027" i="1" a="1"/>
  <c r="K1027" i="1" s="1"/>
  <c r="L1027" i="1" a="1"/>
  <c r="L1027" i="1" s="1"/>
  <c r="G1028" i="1" a="1"/>
  <c r="G1028" i="1" s="1"/>
  <c r="H1028" i="1" a="1"/>
  <c r="H1028" i="1" s="1"/>
  <c r="I1028" i="1" a="1"/>
  <c r="I1028" i="1" s="1"/>
  <c r="J1028" i="1" a="1"/>
  <c r="J1028" i="1" s="1"/>
  <c r="K1028" i="1" a="1"/>
  <c r="K1028" i="1" s="1"/>
  <c r="L1028" i="1" a="1"/>
  <c r="L1028" i="1" s="1"/>
  <c r="G1029" i="1" a="1"/>
  <c r="G1029" i="1" s="1"/>
  <c r="H1029" i="1" a="1"/>
  <c r="H1029" i="1" s="1"/>
  <c r="I1029" i="1" a="1"/>
  <c r="I1029" i="1" s="1"/>
  <c r="J1029" i="1" a="1"/>
  <c r="J1029" i="1" s="1"/>
  <c r="K1029" i="1" a="1"/>
  <c r="K1029" i="1" s="1"/>
  <c r="L1029" i="1" a="1"/>
  <c r="L1029" i="1" s="1"/>
  <c r="G1030" i="1" a="1"/>
  <c r="G1030" i="1" s="1"/>
  <c r="H1030" i="1" a="1"/>
  <c r="H1030" i="1" s="1"/>
  <c r="I1030" i="1" a="1"/>
  <c r="I1030" i="1" s="1"/>
  <c r="J1030" i="1" a="1"/>
  <c r="J1030" i="1" s="1"/>
  <c r="K1030" i="1" a="1"/>
  <c r="K1030" i="1" s="1"/>
  <c r="L1030" i="1" a="1"/>
  <c r="L1030" i="1" s="1"/>
  <c r="G1031" i="1" a="1"/>
  <c r="G1031" i="1" s="1"/>
  <c r="H1031" i="1" a="1"/>
  <c r="H1031" i="1" s="1"/>
  <c r="I1031" i="1" a="1"/>
  <c r="I1031" i="1" s="1"/>
  <c r="J1031" i="1" a="1"/>
  <c r="J1031" i="1" s="1"/>
  <c r="K1031" i="1" a="1"/>
  <c r="K1031" i="1" s="1"/>
  <c r="L1031" i="1" a="1"/>
  <c r="L1031" i="1" s="1"/>
  <c r="G1032" i="1" a="1"/>
  <c r="G1032" i="1" s="1"/>
  <c r="H1032" i="1" a="1"/>
  <c r="H1032" i="1" s="1"/>
  <c r="I1032" i="1" a="1"/>
  <c r="I1032" i="1" s="1"/>
  <c r="J1032" i="1" a="1"/>
  <c r="J1032" i="1" s="1"/>
  <c r="K1032" i="1" a="1"/>
  <c r="K1032" i="1" s="1"/>
  <c r="L1032" i="1" a="1"/>
  <c r="L1032" i="1" s="1"/>
  <c r="G1033" i="1" a="1"/>
  <c r="G1033" i="1" s="1"/>
  <c r="H1033" i="1" a="1"/>
  <c r="H1033" i="1" s="1"/>
  <c r="I1033" i="1" a="1"/>
  <c r="I1033" i="1" s="1"/>
  <c r="J1033" i="1" a="1"/>
  <c r="J1033" i="1" s="1"/>
  <c r="K1033" i="1" a="1"/>
  <c r="K1033" i="1" s="1"/>
  <c r="L1033" i="1" a="1"/>
  <c r="L1033" i="1" s="1"/>
  <c r="G1034" i="1" a="1"/>
  <c r="G1034" i="1" s="1"/>
  <c r="H1034" i="1" a="1"/>
  <c r="H1034" i="1" s="1"/>
  <c r="I1034" i="1" a="1"/>
  <c r="I1034" i="1" s="1"/>
  <c r="J1034" i="1" a="1"/>
  <c r="J1034" i="1" s="1"/>
  <c r="K1034" i="1" a="1"/>
  <c r="K1034" i="1" s="1"/>
  <c r="L1034" i="1" a="1"/>
  <c r="L1034" i="1" s="1"/>
  <c r="G1035" i="1" a="1"/>
  <c r="G1035" i="1" s="1"/>
  <c r="H1035" i="1" a="1"/>
  <c r="H1035" i="1" s="1"/>
  <c r="I1035" i="1" a="1"/>
  <c r="I1035" i="1" s="1"/>
  <c r="J1035" i="1" a="1"/>
  <c r="J1035" i="1" s="1"/>
  <c r="K1035" i="1" a="1"/>
  <c r="K1035" i="1" s="1"/>
  <c r="L1035" i="1" a="1"/>
  <c r="L1035" i="1" s="1"/>
  <c r="G1036" i="1" a="1"/>
  <c r="G1036" i="1" s="1"/>
  <c r="H1036" i="1" a="1"/>
  <c r="H1036" i="1" s="1"/>
  <c r="I1036" i="1" a="1"/>
  <c r="I1036" i="1" s="1"/>
  <c r="J1036" i="1" a="1"/>
  <c r="J1036" i="1" s="1"/>
  <c r="K1036" i="1" a="1"/>
  <c r="K1036" i="1" s="1"/>
  <c r="L1036" i="1" a="1"/>
  <c r="L1036" i="1" s="1"/>
  <c r="G1037" i="1" a="1"/>
  <c r="G1037" i="1" s="1"/>
  <c r="H1037" i="1" a="1"/>
  <c r="H1037" i="1" s="1"/>
  <c r="I1037" i="1" a="1"/>
  <c r="I1037" i="1" s="1"/>
  <c r="J1037" i="1" a="1"/>
  <c r="J1037" i="1" s="1"/>
  <c r="K1037" i="1" a="1"/>
  <c r="K1037" i="1" s="1"/>
  <c r="L1037" i="1" a="1"/>
  <c r="L1037" i="1" s="1"/>
  <c r="G1038" i="1" a="1"/>
  <c r="G1038" i="1" s="1"/>
  <c r="H1038" i="1" a="1"/>
  <c r="H1038" i="1" s="1"/>
  <c r="I1038" i="1" a="1"/>
  <c r="I1038" i="1" s="1"/>
  <c r="J1038" i="1" a="1"/>
  <c r="J1038" i="1" s="1"/>
  <c r="K1038" i="1" a="1"/>
  <c r="K1038" i="1" s="1"/>
  <c r="L1038" i="1" a="1"/>
  <c r="L1038" i="1" s="1"/>
  <c r="G1039" i="1" a="1"/>
  <c r="G1039" i="1" s="1"/>
  <c r="H1039" i="1" a="1"/>
  <c r="H1039" i="1" s="1"/>
  <c r="I1039" i="1" a="1"/>
  <c r="I1039" i="1" s="1"/>
  <c r="J1039" i="1" a="1"/>
  <c r="J1039" i="1" s="1"/>
  <c r="K1039" i="1" a="1"/>
  <c r="K1039" i="1" s="1"/>
  <c r="L1039" i="1" a="1"/>
  <c r="L1039" i="1" s="1"/>
  <c r="G1040" i="1" a="1"/>
  <c r="G1040" i="1" s="1"/>
  <c r="H1040" i="1" a="1"/>
  <c r="H1040" i="1" s="1"/>
  <c r="I1040" i="1" a="1"/>
  <c r="I1040" i="1" s="1"/>
  <c r="J1040" i="1" a="1"/>
  <c r="J1040" i="1" s="1"/>
  <c r="K1040" i="1" a="1"/>
  <c r="K1040" i="1" s="1"/>
  <c r="L1040" i="1" a="1"/>
  <c r="L1040" i="1" s="1"/>
  <c r="G1041" i="1" a="1"/>
  <c r="G1041" i="1" s="1"/>
  <c r="H1041" i="1" a="1"/>
  <c r="H1041" i="1" s="1"/>
  <c r="I1041" i="1" a="1"/>
  <c r="I1041" i="1" s="1"/>
  <c r="J1041" i="1" a="1"/>
  <c r="J1041" i="1" s="1"/>
  <c r="K1041" i="1" a="1"/>
  <c r="K1041" i="1" s="1"/>
  <c r="L1041" i="1" a="1"/>
  <c r="L1041" i="1" s="1"/>
  <c r="G1042" i="1" a="1"/>
  <c r="G1042" i="1" s="1"/>
  <c r="H1042" i="1" a="1"/>
  <c r="H1042" i="1" s="1"/>
  <c r="I1042" i="1" a="1"/>
  <c r="I1042" i="1" s="1"/>
  <c r="J1042" i="1" a="1"/>
  <c r="J1042" i="1" s="1"/>
  <c r="K1042" i="1" a="1"/>
  <c r="K1042" i="1" s="1"/>
  <c r="L1042" i="1" a="1"/>
  <c r="L1042" i="1" s="1"/>
  <c r="G1043" i="1" a="1"/>
  <c r="G1043" i="1" s="1"/>
  <c r="H1043" i="1" a="1"/>
  <c r="H1043" i="1" s="1"/>
  <c r="I1043" i="1" a="1"/>
  <c r="I1043" i="1" s="1"/>
  <c r="J1043" i="1" a="1"/>
  <c r="J1043" i="1" s="1"/>
  <c r="K1043" i="1" a="1"/>
  <c r="K1043" i="1" s="1"/>
  <c r="L1043" i="1" a="1"/>
  <c r="L1043" i="1" s="1"/>
  <c r="G1044" i="1" a="1"/>
  <c r="G1044" i="1" s="1"/>
  <c r="H1044" i="1" a="1"/>
  <c r="H1044" i="1" s="1"/>
  <c r="I1044" i="1" a="1"/>
  <c r="I1044" i="1" s="1"/>
  <c r="J1044" i="1" a="1"/>
  <c r="J1044" i="1" s="1"/>
  <c r="K1044" i="1" a="1"/>
  <c r="K1044" i="1" s="1"/>
  <c r="L1044" i="1" a="1"/>
  <c r="L1044" i="1" s="1"/>
  <c r="G1045" i="1" a="1"/>
  <c r="G1045" i="1" s="1"/>
  <c r="H1045" i="1" a="1"/>
  <c r="H1045" i="1" s="1"/>
  <c r="I1045" i="1" a="1"/>
  <c r="I1045" i="1" s="1"/>
  <c r="J1045" i="1" a="1"/>
  <c r="J1045" i="1" s="1"/>
  <c r="K1045" i="1" a="1"/>
  <c r="K1045" i="1" s="1"/>
  <c r="L1045" i="1" a="1"/>
  <c r="L1045" i="1" s="1"/>
  <c r="G1046" i="1" a="1"/>
  <c r="G1046" i="1" s="1"/>
  <c r="H1046" i="1" a="1"/>
  <c r="H1046" i="1" s="1"/>
  <c r="I1046" i="1" a="1"/>
  <c r="I1046" i="1" s="1"/>
  <c r="J1046" i="1" a="1"/>
  <c r="J1046" i="1" s="1"/>
  <c r="K1046" i="1" a="1"/>
  <c r="K1046" i="1" s="1"/>
  <c r="L1046" i="1" a="1"/>
  <c r="L1046" i="1" s="1"/>
  <c r="G1047" i="1" a="1"/>
  <c r="G1047" i="1" s="1"/>
  <c r="H1047" i="1" a="1"/>
  <c r="H1047" i="1" s="1"/>
  <c r="I1047" i="1" a="1"/>
  <c r="I1047" i="1" s="1"/>
  <c r="J1047" i="1" a="1"/>
  <c r="J1047" i="1" s="1"/>
  <c r="K1047" i="1" a="1"/>
  <c r="K1047" i="1" s="1"/>
  <c r="L1047" i="1" a="1"/>
  <c r="L1047" i="1" s="1"/>
  <c r="G1048" i="1" a="1"/>
  <c r="G1048" i="1" s="1"/>
  <c r="H1048" i="1" a="1"/>
  <c r="H1048" i="1" s="1"/>
  <c r="I1048" i="1" a="1"/>
  <c r="I1048" i="1" s="1"/>
  <c r="J1048" i="1" a="1"/>
  <c r="J1048" i="1" s="1"/>
  <c r="K1048" i="1" a="1"/>
  <c r="K1048" i="1" s="1"/>
  <c r="L1048" i="1" a="1"/>
  <c r="L1048" i="1" s="1"/>
  <c r="G1049" i="1" a="1"/>
  <c r="G1049" i="1" s="1"/>
  <c r="H1049" i="1" a="1"/>
  <c r="H1049" i="1" s="1"/>
  <c r="I1049" i="1" a="1"/>
  <c r="I1049" i="1" s="1"/>
  <c r="J1049" i="1" a="1"/>
  <c r="J1049" i="1" s="1"/>
  <c r="K1049" i="1" a="1"/>
  <c r="K1049" i="1" s="1"/>
  <c r="L1049" i="1" a="1"/>
  <c r="L1049" i="1" s="1"/>
  <c r="G1050" i="1" a="1"/>
  <c r="G1050" i="1" s="1"/>
  <c r="H1050" i="1" a="1"/>
  <c r="H1050" i="1" s="1"/>
  <c r="I1050" i="1" a="1"/>
  <c r="I1050" i="1" s="1"/>
  <c r="J1050" i="1" a="1"/>
  <c r="J1050" i="1" s="1"/>
  <c r="K1050" i="1" a="1"/>
  <c r="K1050" i="1" s="1"/>
  <c r="L1050" i="1" a="1"/>
  <c r="L1050" i="1" s="1"/>
  <c r="G1051" i="1" a="1"/>
  <c r="G1051" i="1" s="1"/>
  <c r="H1051" i="1" a="1"/>
  <c r="H1051" i="1" s="1"/>
  <c r="I1051" i="1" a="1"/>
  <c r="I1051" i="1" s="1"/>
  <c r="J1051" i="1" a="1"/>
  <c r="J1051" i="1" s="1"/>
  <c r="K1051" i="1" a="1"/>
  <c r="K1051" i="1" s="1"/>
  <c r="L1051" i="1" a="1"/>
  <c r="L1051" i="1" s="1"/>
  <c r="G1052" i="1" a="1"/>
  <c r="G1052" i="1" s="1"/>
  <c r="H1052" i="1" a="1"/>
  <c r="H1052" i="1" s="1"/>
  <c r="I1052" i="1" a="1"/>
  <c r="I1052" i="1" s="1"/>
  <c r="J1052" i="1" a="1"/>
  <c r="J1052" i="1" s="1"/>
  <c r="K1052" i="1" a="1"/>
  <c r="K1052" i="1" s="1"/>
  <c r="L1052" i="1" a="1"/>
  <c r="L1052" i="1" s="1"/>
  <c r="G1053" i="1" a="1"/>
  <c r="G1053" i="1" s="1"/>
  <c r="H1053" i="1" a="1"/>
  <c r="H1053" i="1" s="1"/>
  <c r="I1053" i="1" a="1"/>
  <c r="I1053" i="1" s="1"/>
  <c r="J1053" i="1" a="1"/>
  <c r="J1053" i="1" s="1"/>
  <c r="K1053" i="1" a="1"/>
  <c r="K1053" i="1" s="1"/>
  <c r="L1053" i="1" a="1"/>
  <c r="L1053" i="1" s="1"/>
  <c r="G1054" i="1" a="1"/>
  <c r="G1054" i="1" s="1"/>
  <c r="H1054" i="1" a="1"/>
  <c r="H1054" i="1" s="1"/>
  <c r="I1054" i="1" a="1"/>
  <c r="I1054" i="1" s="1"/>
  <c r="J1054" i="1" a="1"/>
  <c r="J1054" i="1" s="1"/>
  <c r="K1054" i="1" a="1"/>
  <c r="K1054" i="1" s="1"/>
  <c r="L1054" i="1" a="1"/>
  <c r="L1054" i="1" s="1"/>
  <c r="G1055" i="1" a="1"/>
  <c r="G1055" i="1" s="1"/>
  <c r="H1055" i="1" a="1"/>
  <c r="H1055" i="1" s="1"/>
  <c r="I1055" i="1" a="1"/>
  <c r="I1055" i="1" s="1"/>
  <c r="J1055" i="1" a="1"/>
  <c r="J1055" i="1" s="1"/>
  <c r="K1055" i="1" a="1"/>
  <c r="K1055" i="1" s="1"/>
  <c r="L1055" i="1" a="1"/>
  <c r="L1055" i="1" s="1"/>
  <c r="G1056" i="1" a="1"/>
  <c r="G1056" i="1" s="1"/>
  <c r="H1056" i="1" a="1"/>
  <c r="H1056" i="1" s="1"/>
  <c r="I1056" i="1" a="1"/>
  <c r="I1056" i="1" s="1"/>
  <c r="J1056" i="1" a="1"/>
  <c r="J1056" i="1" s="1"/>
  <c r="K1056" i="1" a="1"/>
  <c r="K1056" i="1" s="1"/>
  <c r="L1056" i="1" a="1"/>
  <c r="L1056" i="1" s="1"/>
  <c r="G1057" i="1" a="1"/>
  <c r="G1057" i="1" s="1"/>
  <c r="H1057" i="1" a="1"/>
  <c r="H1057" i="1" s="1"/>
  <c r="I1057" i="1" a="1"/>
  <c r="I1057" i="1" s="1"/>
  <c r="J1057" i="1" a="1"/>
  <c r="J1057" i="1" s="1"/>
  <c r="K1057" i="1" a="1"/>
  <c r="K1057" i="1" s="1"/>
  <c r="L1057" i="1" a="1"/>
  <c r="L1057" i="1" s="1"/>
  <c r="G1058" i="1" a="1"/>
  <c r="G1058" i="1" s="1"/>
  <c r="H1058" i="1" a="1"/>
  <c r="H1058" i="1" s="1"/>
  <c r="I1058" i="1" a="1"/>
  <c r="I1058" i="1" s="1"/>
  <c r="J1058" i="1" a="1"/>
  <c r="J1058" i="1" s="1"/>
  <c r="K1058" i="1" a="1"/>
  <c r="K1058" i="1" s="1"/>
  <c r="L1058" i="1" a="1"/>
  <c r="L1058" i="1" s="1"/>
  <c r="G1059" i="1" a="1"/>
  <c r="G1059" i="1" s="1"/>
  <c r="H1059" i="1" a="1"/>
  <c r="H1059" i="1" s="1"/>
  <c r="I1059" i="1" a="1"/>
  <c r="I1059" i="1" s="1"/>
  <c r="J1059" i="1" a="1"/>
  <c r="J1059" i="1" s="1"/>
  <c r="K1059" i="1" a="1"/>
  <c r="K1059" i="1" s="1"/>
  <c r="L1059" i="1" a="1"/>
  <c r="L1059" i="1" s="1"/>
  <c r="G1060" i="1" a="1"/>
  <c r="G1060" i="1" s="1"/>
  <c r="H1060" i="1" a="1"/>
  <c r="H1060" i="1" s="1"/>
  <c r="I1060" i="1" a="1"/>
  <c r="I1060" i="1" s="1"/>
  <c r="J1060" i="1" a="1"/>
  <c r="J1060" i="1" s="1"/>
  <c r="K1060" i="1" a="1"/>
  <c r="K1060" i="1" s="1"/>
  <c r="L1060" i="1" a="1"/>
  <c r="L1060" i="1" s="1"/>
  <c r="G1061" i="1" a="1"/>
  <c r="G1061" i="1" s="1"/>
  <c r="H1061" i="1" a="1"/>
  <c r="H1061" i="1" s="1"/>
  <c r="I1061" i="1" a="1"/>
  <c r="I1061" i="1" s="1"/>
  <c r="J1061" i="1" a="1"/>
  <c r="J1061" i="1" s="1"/>
  <c r="K1061" i="1" a="1"/>
  <c r="K1061" i="1" s="1"/>
  <c r="L1061" i="1" a="1"/>
  <c r="L1061" i="1" s="1"/>
  <c r="G1062" i="1" a="1"/>
  <c r="G1062" i="1" s="1"/>
  <c r="H1062" i="1" a="1"/>
  <c r="H1062" i="1" s="1"/>
  <c r="I1062" i="1" a="1"/>
  <c r="I1062" i="1" s="1"/>
  <c r="J1062" i="1" a="1"/>
  <c r="J1062" i="1" s="1"/>
  <c r="K1062" i="1" a="1"/>
  <c r="K1062" i="1" s="1"/>
  <c r="L1062" i="1" a="1"/>
  <c r="L1062" i="1" s="1"/>
  <c r="G1063" i="1" a="1"/>
  <c r="G1063" i="1" s="1"/>
  <c r="H1063" i="1" a="1"/>
  <c r="H1063" i="1" s="1"/>
  <c r="I1063" i="1" a="1"/>
  <c r="I1063" i="1" s="1"/>
  <c r="J1063" i="1" a="1"/>
  <c r="J1063" i="1" s="1"/>
  <c r="K1063" i="1" a="1"/>
  <c r="K1063" i="1" s="1"/>
  <c r="L1063" i="1" a="1"/>
  <c r="L1063" i="1" s="1"/>
  <c r="G1064" i="1" a="1"/>
  <c r="G1064" i="1" s="1"/>
  <c r="H1064" i="1" a="1"/>
  <c r="H1064" i="1" s="1"/>
  <c r="I1064" i="1" a="1"/>
  <c r="I1064" i="1" s="1"/>
  <c r="J1064" i="1" a="1"/>
  <c r="J1064" i="1" s="1"/>
  <c r="K1064" i="1" a="1"/>
  <c r="K1064" i="1" s="1"/>
  <c r="L1064" i="1" a="1"/>
  <c r="L1064" i="1" s="1"/>
  <c r="G1065" i="1" a="1"/>
  <c r="G1065" i="1" s="1"/>
  <c r="H1065" i="1" a="1"/>
  <c r="H1065" i="1" s="1"/>
  <c r="I1065" i="1" a="1"/>
  <c r="I1065" i="1" s="1"/>
  <c r="J1065" i="1" a="1"/>
  <c r="J1065" i="1" s="1"/>
  <c r="K1065" i="1" a="1"/>
  <c r="K1065" i="1" s="1"/>
  <c r="L1065" i="1" a="1"/>
  <c r="L1065" i="1" s="1"/>
  <c r="G1066" i="1" a="1"/>
  <c r="G1066" i="1" s="1"/>
  <c r="H1066" i="1" a="1"/>
  <c r="H1066" i="1" s="1"/>
  <c r="I1066" i="1" a="1"/>
  <c r="I1066" i="1" s="1"/>
  <c r="J1066" i="1" a="1"/>
  <c r="J1066" i="1" s="1"/>
  <c r="K1066" i="1" a="1"/>
  <c r="K1066" i="1" s="1"/>
  <c r="L1066" i="1" a="1"/>
  <c r="L1066" i="1" s="1"/>
  <c r="G1067" i="1" a="1"/>
  <c r="G1067" i="1" s="1"/>
  <c r="H1067" i="1" a="1"/>
  <c r="H1067" i="1" s="1"/>
  <c r="I1067" i="1" a="1"/>
  <c r="I1067" i="1" s="1"/>
  <c r="J1067" i="1" a="1"/>
  <c r="J1067" i="1" s="1"/>
  <c r="K1067" i="1" a="1"/>
  <c r="K1067" i="1" s="1"/>
  <c r="L1067" i="1" a="1"/>
  <c r="L1067" i="1" s="1"/>
  <c r="G1068" i="1" a="1"/>
  <c r="G1068" i="1" s="1"/>
  <c r="H1068" i="1" a="1"/>
  <c r="H1068" i="1" s="1"/>
  <c r="I1068" i="1" a="1"/>
  <c r="I1068" i="1" s="1"/>
  <c r="J1068" i="1" a="1"/>
  <c r="J1068" i="1" s="1"/>
  <c r="K1068" i="1" a="1"/>
  <c r="K1068" i="1" s="1"/>
  <c r="L1068" i="1" a="1"/>
  <c r="L1068" i="1" s="1"/>
  <c r="G1069" i="1" a="1"/>
  <c r="G1069" i="1" s="1"/>
  <c r="H1069" i="1" a="1"/>
  <c r="H1069" i="1" s="1"/>
  <c r="I1069" i="1" a="1"/>
  <c r="I1069" i="1" s="1"/>
  <c r="J1069" i="1" a="1"/>
  <c r="J1069" i="1" s="1"/>
  <c r="K1069" i="1" a="1"/>
  <c r="K1069" i="1" s="1"/>
  <c r="L1069" i="1" a="1"/>
  <c r="L1069" i="1" s="1"/>
  <c r="G1070" i="1" a="1"/>
  <c r="G1070" i="1" s="1"/>
  <c r="H1070" i="1" a="1"/>
  <c r="H1070" i="1" s="1"/>
  <c r="I1070" i="1" a="1"/>
  <c r="I1070" i="1" s="1"/>
  <c r="J1070" i="1" a="1"/>
  <c r="J1070" i="1" s="1"/>
  <c r="K1070" i="1" a="1"/>
  <c r="K1070" i="1" s="1"/>
  <c r="L1070" i="1" a="1"/>
  <c r="L1070" i="1" s="1"/>
  <c r="G1071" i="1" a="1"/>
  <c r="G1071" i="1" s="1"/>
  <c r="H1071" i="1" a="1"/>
  <c r="H1071" i="1" s="1"/>
  <c r="I1071" i="1" a="1"/>
  <c r="I1071" i="1" s="1"/>
  <c r="J1071" i="1" a="1"/>
  <c r="J1071" i="1" s="1"/>
  <c r="K1071" i="1" a="1"/>
  <c r="K1071" i="1" s="1"/>
  <c r="L1071" i="1" a="1"/>
  <c r="L1071" i="1" s="1"/>
  <c r="G1072" i="1" a="1"/>
  <c r="G1072" i="1" s="1"/>
  <c r="H1072" i="1" a="1"/>
  <c r="H1072" i="1" s="1"/>
  <c r="I1072" i="1" a="1"/>
  <c r="I1072" i="1" s="1"/>
  <c r="J1072" i="1" a="1"/>
  <c r="J1072" i="1" s="1"/>
  <c r="K1072" i="1" a="1"/>
  <c r="K1072" i="1" s="1"/>
  <c r="L1072" i="1" a="1"/>
  <c r="L1072" i="1" s="1"/>
  <c r="G1073" i="1" a="1"/>
  <c r="G1073" i="1" s="1"/>
  <c r="H1073" i="1" a="1"/>
  <c r="H1073" i="1" s="1"/>
  <c r="I1073" i="1" a="1"/>
  <c r="I1073" i="1" s="1"/>
  <c r="J1073" i="1" a="1"/>
  <c r="J1073" i="1" s="1"/>
  <c r="K1073" i="1" a="1"/>
  <c r="K1073" i="1" s="1"/>
  <c r="L1073" i="1" a="1"/>
  <c r="L1073" i="1" s="1"/>
  <c r="G1074" i="1" a="1"/>
  <c r="G1074" i="1" s="1"/>
  <c r="H1074" i="1" a="1"/>
  <c r="H1074" i="1" s="1"/>
  <c r="I1074" i="1" a="1"/>
  <c r="I1074" i="1" s="1"/>
  <c r="J1074" i="1" a="1"/>
  <c r="J1074" i="1" s="1"/>
  <c r="K1074" i="1" a="1"/>
  <c r="K1074" i="1" s="1"/>
  <c r="L1074" i="1" a="1"/>
  <c r="L1074" i="1" s="1"/>
  <c r="G1075" i="1" a="1"/>
  <c r="G1075" i="1" s="1"/>
  <c r="H1075" i="1" a="1"/>
  <c r="H1075" i="1" s="1"/>
  <c r="I1075" i="1" a="1"/>
  <c r="I1075" i="1" s="1"/>
  <c r="J1075" i="1" a="1"/>
  <c r="J1075" i="1" s="1"/>
  <c r="K1075" i="1" a="1"/>
  <c r="K1075" i="1" s="1"/>
  <c r="L1075" i="1" a="1"/>
  <c r="L1075" i="1" s="1"/>
  <c r="G1076" i="1" a="1"/>
  <c r="G1076" i="1" s="1"/>
  <c r="H1076" i="1" a="1"/>
  <c r="H1076" i="1" s="1"/>
  <c r="I1076" i="1" a="1"/>
  <c r="I1076" i="1" s="1"/>
  <c r="J1076" i="1" a="1"/>
  <c r="J1076" i="1" s="1"/>
  <c r="K1076" i="1" a="1"/>
  <c r="K1076" i="1" s="1"/>
  <c r="L1076" i="1" a="1"/>
  <c r="L1076" i="1" s="1"/>
  <c r="G1077" i="1" a="1"/>
  <c r="G1077" i="1" s="1"/>
  <c r="H1077" i="1" a="1"/>
  <c r="H1077" i="1" s="1"/>
  <c r="I1077" i="1" a="1"/>
  <c r="I1077" i="1" s="1"/>
  <c r="J1077" i="1" a="1"/>
  <c r="J1077" i="1" s="1"/>
  <c r="K1077" i="1" a="1"/>
  <c r="K1077" i="1" s="1"/>
  <c r="L1077" i="1" a="1"/>
  <c r="L1077" i="1" s="1"/>
  <c r="G1078" i="1" a="1"/>
  <c r="G1078" i="1" s="1"/>
  <c r="H1078" i="1" a="1"/>
  <c r="H1078" i="1" s="1"/>
  <c r="I1078" i="1" a="1"/>
  <c r="I1078" i="1" s="1"/>
  <c r="J1078" i="1" a="1"/>
  <c r="J1078" i="1" s="1"/>
  <c r="K1078" i="1" a="1"/>
  <c r="K1078" i="1" s="1"/>
  <c r="L1078" i="1" a="1"/>
  <c r="L1078" i="1" s="1"/>
  <c r="G1079" i="1" a="1"/>
  <c r="G1079" i="1" s="1"/>
  <c r="H1079" i="1" a="1"/>
  <c r="H1079" i="1" s="1"/>
  <c r="I1079" i="1" a="1"/>
  <c r="I1079" i="1" s="1"/>
  <c r="J1079" i="1" a="1"/>
  <c r="J1079" i="1" s="1"/>
  <c r="K1079" i="1" a="1"/>
  <c r="K1079" i="1" s="1"/>
  <c r="L1079" i="1" a="1"/>
  <c r="L1079" i="1" s="1"/>
  <c r="G1080" i="1" a="1"/>
  <c r="G1080" i="1" s="1"/>
  <c r="H1080" i="1" a="1"/>
  <c r="H1080" i="1" s="1"/>
  <c r="I1080" i="1" a="1"/>
  <c r="I1080" i="1" s="1"/>
  <c r="J1080" i="1" a="1"/>
  <c r="J1080" i="1" s="1"/>
  <c r="K1080" i="1" a="1"/>
  <c r="K1080" i="1" s="1"/>
  <c r="L1080" i="1" a="1"/>
  <c r="L1080" i="1" s="1"/>
  <c r="G1081" i="1" a="1"/>
  <c r="G1081" i="1" s="1"/>
  <c r="H1081" i="1" a="1"/>
  <c r="H1081" i="1" s="1"/>
  <c r="I1081" i="1" a="1"/>
  <c r="I1081" i="1" s="1"/>
  <c r="J1081" i="1" a="1"/>
  <c r="J1081" i="1" s="1"/>
  <c r="K1081" i="1" a="1"/>
  <c r="K1081" i="1" s="1"/>
  <c r="L1081" i="1" a="1"/>
  <c r="L1081" i="1" s="1"/>
  <c r="G1082" i="1" a="1"/>
  <c r="G1082" i="1" s="1"/>
  <c r="H1082" i="1" a="1"/>
  <c r="H1082" i="1" s="1"/>
  <c r="I1082" i="1" a="1"/>
  <c r="I1082" i="1" s="1"/>
  <c r="J1082" i="1" a="1"/>
  <c r="J1082" i="1" s="1"/>
  <c r="K1082" i="1" a="1"/>
  <c r="K1082" i="1" s="1"/>
  <c r="L1082" i="1" a="1"/>
  <c r="L1082" i="1" s="1"/>
  <c r="G1083" i="1" a="1"/>
  <c r="G1083" i="1" s="1"/>
  <c r="H1083" i="1" a="1"/>
  <c r="H1083" i="1" s="1"/>
  <c r="I1083" i="1" a="1"/>
  <c r="I1083" i="1" s="1"/>
  <c r="J1083" i="1" a="1"/>
  <c r="J1083" i="1" s="1"/>
  <c r="K1083" i="1" a="1"/>
  <c r="K1083" i="1" s="1"/>
  <c r="L1083" i="1" a="1"/>
  <c r="L1083" i="1" s="1"/>
  <c r="G1084" i="1" a="1"/>
  <c r="G1084" i="1" s="1"/>
  <c r="H1084" i="1" a="1"/>
  <c r="H1084" i="1" s="1"/>
  <c r="I1084" i="1" a="1"/>
  <c r="I1084" i="1" s="1"/>
  <c r="J1084" i="1" a="1"/>
  <c r="J1084" i="1" s="1"/>
  <c r="K1084" i="1" a="1"/>
  <c r="K1084" i="1" s="1"/>
  <c r="L1084" i="1" a="1"/>
  <c r="L1084" i="1" s="1"/>
  <c r="G1085" i="1" a="1"/>
  <c r="G1085" i="1" s="1"/>
  <c r="H1085" i="1" a="1"/>
  <c r="H1085" i="1" s="1"/>
  <c r="I1085" i="1" a="1"/>
  <c r="I1085" i="1" s="1"/>
  <c r="J1085" i="1" a="1"/>
  <c r="J1085" i="1" s="1"/>
  <c r="K1085" i="1" a="1"/>
  <c r="K1085" i="1" s="1"/>
  <c r="L1085" i="1" a="1"/>
  <c r="L1085" i="1" s="1"/>
  <c r="G1086" i="1" a="1"/>
  <c r="G1086" i="1" s="1"/>
  <c r="H1086" i="1" a="1"/>
  <c r="H1086" i="1" s="1"/>
  <c r="I1086" i="1" a="1"/>
  <c r="I1086" i="1" s="1"/>
  <c r="J1086" i="1" a="1"/>
  <c r="J1086" i="1" s="1"/>
  <c r="K1086" i="1" a="1"/>
  <c r="K1086" i="1" s="1"/>
  <c r="L1086" i="1" a="1"/>
  <c r="L1086" i="1" s="1"/>
  <c r="G1087" i="1" a="1"/>
  <c r="G1087" i="1" s="1"/>
  <c r="H1087" i="1" a="1"/>
  <c r="H1087" i="1" s="1"/>
  <c r="I1087" i="1" a="1"/>
  <c r="I1087" i="1" s="1"/>
  <c r="J1087" i="1" a="1"/>
  <c r="J1087" i="1" s="1"/>
  <c r="K1087" i="1" a="1"/>
  <c r="K1087" i="1" s="1"/>
  <c r="L1087" i="1" a="1"/>
  <c r="L1087" i="1" s="1"/>
  <c r="G1088" i="1" a="1"/>
  <c r="G1088" i="1" s="1"/>
  <c r="H1088" i="1" a="1"/>
  <c r="H1088" i="1" s="1"/>
  <c r="I1088" i="1" a="1"/>
  <c r="I1088" i="1" s="1"/>
  <c r="J1088" i="1" a="1"/>
  <c r="J1088" i="1" s="1"/>
  <c r="K1088" i="1" a="1"/>
  <c r="K1088" i="1" s="1"/>
  <c r="L1088" i="1" a="1"/>
  <c r="L1088" i="1" s="1"/>
  <c r="G1089" i="1" a="1"/>
  <c r="G1089" i="1" s="1"/>
  <c r="H1089" i="1" a="1"/>
  <c r="H1089" i="1" s="1"/>
  <c r="I1089" i="1" a="1"/>
  <c r="I1089" i="1" s="1"/>
  <c r="J1089" i="1" a="1"/>
  <c r="J1089" i="1" s="1"/>
  <c r="K1089" i="1" a="1"/>
  <c r="K1089" i="1" s="1"/>
  <c r="L1089" i="1" a="1"/>
  <c r="L1089" i="1" s="1"/>
  <c r="G1090" i="1" a="1"/>
  <c r="G1090" i="1" s="1"/>
  <c r="H1090" i="1" a="1"/>
  <c r="H1090" i="1" s="1"/>
  <c r="I1090" i="1" a="1"/>
  <c r="I1090" i="1" s="1"/>
  <c r="J1090" i="1" a="1"/>
  <c r="J1090" i="1" s="1"/>
  <c r="K1090" i="1" a="1"/>
  <c r="K1090" i="1" s="1"/>
  <c r="L1090" i="1" a="1"/>
  <c r="L1090" i="1" s="1"/>
  <c r="G1091" i="1" a="1"/>
  <c r="G1091" i="1" s="1"/>
  <c r="H1091" i="1" a="1"/>
  <c r="H1091" i="1" s="1"/>
  <c r="I1091" i="1" a="1"/>
  <c r="I1091" i="1" s="1"/>
  <c r="J1091" i="1" a="1"/>
  <c r="J1091" i="1" s="1"/>
  <c r="K1091" i="1" a="1"/>
  <c r="K1091" i="1" s="1"/>
  <c r="L1091" i="1" a="1"/>
  <c r="L1091" i="1" s="1"/>
  <c r="G1092" i="1" a="1"/>
  <c r="G1092" i="1" s="1"/>
  <c r="H1092" i="1" a="1"/>
  <c r="H1092" i="1" s="1"/>
  <c r="I1092" i="1" a="1"/>
  <c r="I1092" i="1" s="1"/>
  <c r="J1092" i="1" a="1"/>
  <c r="J1092" i="1" s="1"/>
  <c r="K1092" i="1" a="1"/>
  <c r="K1092" i="1" s="1"/>
  <c r="L1092" i="1" a="1"/>
  <c r="L1092" i="1" s="1"/>
  <c r="G1093" i="1" a="1"/>
  <c r="G1093" i="1" s="1"/>
  <c r="H1093" i="1" a="1"/>
  <c r="H1093" i="1" s="1"/>
  <c r="I1093" i="1" a="1"/>
  <c r="I1093" i="1" s="1"/>
  <c r="J1093" i="1" a="1"/>
  <c r="J1093" i="1" s="1"/>
  <c r="K1093" i="1" a="1"/>
  <c r="K1093" i="1" s="1"/>
  <c r="L1093" i="1" a="1"/>
  <c r="L1093" i="1" s="1"/>
  <c r="G1094" i="1" a="1"/>
  <c r="G1094" i="1" s="1"/>
  <c r="H1094" i="1" a="1"/>
  <c r="H1094" i="1" s="1"/>
  <c r="I1094" i="1" a="1"/>
  <c r="I1094" i="1" s="1"/>
  <c r="J1094" i="1" a="1"/>
  <c r="J1094" i="1" s="1"/>
  <c r="K1094" i="1" a="1"/>
  <c r="K1094" i="1" s="1"/>
  <c r="L1094" i="1" a="1"/>
  <c r="L1094" i="1" s="1"/>
  <c r="G1095" i="1" a="1"/>
  <c r="G1095" i="1" s="1"/>
  <c r="H1095" i="1" a="1"/>
  <c r="H1095" i="1" s="1"/>
  <c r="I1095" i="1" a="1"/>
  <c r="I1095" i="1" s="1"/>
  <c r="J1095" i="1" a="1"/>
  <c r="J1095" i="1" s="1"/>
  <c r="K1095" i="1" a="1"/>
  <c r="K1095" i="1" s="1"/>
  <c r="L1095" i="1" a="1"/>
  <c r="L1095" i="1" s="1"/>
  <c r="G1096" i="1" a="1"/>
  <c r="G1096" i="1" s="1"/>
  <c r="H1096" i="1" a="1"/>
  <c r="H1096" i="1" s="1"/>
  <c r="I1096" i="1" a="1"/>
  <c r="I1096" i="1" s="1"/>
  <c r="J1096" i="1" a="1"/>
  <c r="J1096" i="1" s="1"/>
  <c r="K1096" i="1" a="1"/>
  <c r="K1096" i="1" s="1"/>
  <c r="L1096" i="1" a="1"/>
  <c r="L1096" i="1" s="1"/>
  <c r="G1097" i="1" a="1"/>
  <c r="G1097" i="1" s="1"/>
  <c r="H1097" i="1" a="1"/>
  <c r="H1097" i="1" s="1"/>
  <c r="I1097" i="1" a="1"/>
  <c r="I1097" i="1" s="1"/>
  <c r="J1097" i="1" a="1"/>
  <c r="J1097" i="1" s="1"/>
  <c r="K1097" i="1" a="1"/>
  <c r="K1097" i="1" s="1"/>
  <c r="L1097" i="1" a="1"/>
  <c r="L1097" i="1" s="1"/>
  <c r="G1098" i="1" a="1"/>
  <c r="G1098" i="1" s="1"/>
  <c r="H1098" i="1" a="1"/>
  <c r="H1098" i="1" s="1"/>
  <c r="I1098" i="1" a="1"/>
  <c r="I1098" i="1" s="1"/>
  <c r="J1098" i="1" a="1"/>
  <c r="J1098" i="1" s="1"/>
  <c r="K1098" i="1" a="1"/>
  <c r="K1098" i="1" s="1"/>
  <c r="L1098" i="1" a="1"/>
  <c r="L1098" i="1" s="1"/>
  <c r="G1099" i="1" a="1"/>
  <c r="G1099" i="1" s="1"/>
  <c r="H1099" i="1" a="1"/>
  <c r="H1099" i="1" s="1"/>
  <c r="I1099" i="1" a="1"/>
  <c r="I1099" i="1" s="1"/>
  <c r="J1099" i="1" a="1"/>
  <c r="J1099" i="1" s="1"/>
  <c r="K1099" i="1" a="1"/>
  <c r="K1099" i="1" s="1"/>
  <c r="L1099" i="1" a="1"/>
  <c r="L1099" i="1" s="1"/>
  <c r="G1100" i="1" a="1"/>
  <c r="G1100" i="1" s="1"/>
  <c r="H1100" i="1" a="1"/>
  <c r="H1100" i="1" s="1"/>
  <c r="I1100" i="1" a="1"/>
  <c r="I1100" i="1" s="1"/>
  <c r="J1100" i="1" a="1"/>
  <c r="J1100" i="1" s="1"/>
  <c r="K1100" i="1" a="1"/>
  <c r="K1100" i="1" s="1"/>
  <c r="L1100" i="1" a="1"/>
  <c r="L1100" i="1" s="1"/>
  <c r="G1101" i="1" a="1"/>
  <c r="G1101" i="1" s="1"/>
  <c r="H1101" i="1" a="1"/>
  <c r="H1101" i="1" s="1"/>
  <c r="I1101" i="1" a="1"/>
  <c r="I1101" i="1" s="1"/>
  <c r="J1101" i="1" a="1"/>
  <c r="J1101" i="1" s="1"/>
  <c r="K1101" i="1" a="1"/>
  <c r="K1101" i="1" s="1"/>
  <c r="L1101" i="1" a="1"/>
  <c r="L1101" i="1" s="1"/>
  <c r="G1102" i="1" a="1"/>
  <c r="G1102" i="1" s="1"/>
  <c r="H1102" i="1" a="1"/>
  <c r="H1102" i="1" s="1"/>
  <c r="I1102" i="1" a="1"/>
  <c r="I1102" i="1" s="1"/>
  <c r="J1102" i="1" a="1"/>
  <c r="J1102" i="1" s="1"/>
  <c r="K1102" i="1" a="1"/>
  <c r="K1102" i="1" s="1"/>
  <c r="L1102" i="1" a="1"/>
  <c r="L1102" i="1" s="1"/>
  <c r="G1103" i="1" a="1"/>
  <c r="G1103" i="1" s="1"/>
  <c r="H1103" i="1" a="1"/>
  <c r="H1103" i="1" s="1"/>
  <c r="I1103" i="1" a="1"/>
  <c r="I1103" i="1" s="1"/>
  <c r="J1103" i="1" a="1"/>
  <c r="J1103" i="1" s="1"/>
  <c r="K1103" i="1" a="1"/>
  <c r="K1103" i="1" s="1"/>
  <c r="L1103" i="1" a="1"/>
  <c r="L1103" i="1" s="1"/>
  <c r="G1104" i="1" a="1"/>
  <c r="G1104" i="1" s="1"/>
  <c r="H1104" i="1" a="1"/>
  <c r="H1104" i="1" s="1"/>
  <c r="I1104" i="1" a="1"/>
  <c r="I1104" i="1" s="1"/>
  <c r="J1104" i="1" a="1"/>
  <c r="J1104" i="1" s="1"/>
  <c r="K1104" i="1" a="1"/>
  <c r="K1104" i="1" s="1"/>
  <c r="L1104" i="1" a="1"/>
  <c r="L1104" i="1" s="1"/>
  <c r="G1105" i="1" a="1"/>
  <c r="G1105" i="1" s="1"/>
  <c r="H1105" i="1" a="1"/>
  <c r="H1105" i="1" s="1"/>
  <c r="I1105" i="1" a="1"/>
  <c r="I1105" i="1" s="1"/>
  <c r="J1105" i="1" a="1"/>
  <c r="J1105" i="1" s="1"/>
  <c r="K1105" i="1" a="1"/>
  <c r="K1105" i="1" s="1"/>
  <c r="L1105" i="1" a="1"/>
  <c r="L1105" i="1" s="1"/>
  <c r="G1106" i="1" a="1"/>
  <c r="G1106" i="1" s="1"/>
  <c r="H1106" i="1" a="1"/>
  <c r="H1106" i="1" s="1"/>
  <c r="I1106" i="1" a="1"/>
  <c r="I1106" i="1" s="1"/>
  <c r="J1106" i="1" a="1"/>
  <c r="J1106" i="1" s="1"/>
  <c r="K1106" i="1" a="1"/>
  <c r="K1106" i="1" s="1"/>
  <c r="L1106" i="1" a="1"/>
  <c r="L1106" i="1" s="1"/>
  <c r="G1107" i="1" a="1"/>
  <c r="G1107" i="1" s="1"/>
  <c r="H1107" i="1" a="1"/>
  <c r="H1107" i="1" s="1"/>
  <c r="I1107" i="1" a="1"/>
  <c r="I1107" i="1" s="1"/>
  <c r="J1107" i="1" a="1"/>
  <c r="J1107" i="1" s="1"/>
  <c r="K1107" i="1" a="1"/>
  <c r="K1107" i="1" s="1"/>
  <c r="L1107" i="1" a="1"/>
  <c r="L1107" i="1" s="1"/>
  <c r="G1108" i="1" a="1"/>
  <c r="G1108" i="1" s="1"/>
  <c r="H1108" i="1" a="1"/>
  <c r="H1108" i="1" s="1"/>
  <c r="I1108" i="1" a="1"/>
  <c r="I1108" i="1" s="1"/>
  <c r="J1108" i="1" a="1"/>
  <c r="J1108" i="1" s="1"/>
  <c r="K1108" i="1" a="1"/>
  <c r="K1108" i="1" s="1"/>
  <c r="L1108" i="1" a="1"/>
  <c r="L1108" i="1" s="1"/>
  <c r="G1109" i="1" a="1"/>
  <c r="G1109" i="1" s="1"/>
  <c r="H1109" i="1" a="1"/>
  <c r="H1109" i="1" s="1"/>
  <c r="I1109" i="1" a="1"/>
  <c r="I1109" i="1" s="1"/>
  <c r="J1109" i="1" a="1"/>
  <c r="J1109" i="1" s="1"/>
  <c r="K1109" i="1" a="1"/>
  <c r="K1109" i="1" s="1"/>
  <c r="L1109" i="1" a="1"/>
  <c r="L1109" i="1" s="1"/>
  <c r="G1110" i="1" a="1"/>
  <c r="G1110" i="1" s="1"/>
  <c r="H1110" i="1" a="1"/>
  <c r="H1110" i="1" s="1"/>
  <c r="I1110" i="1" a="1"/>
  <c r="I1110" i="1" s="1"/>
  <c r="J1110" i="1" a="1"/>
  <c r="J1110" i="1" s="1"/>
  <c r="K1110" i="1" a="1"/>
  <c r="K1110" i="1" s="1"/>
  <c r="L1110" i="1" a="1"/>
  <c r="L1110" i="1" s="1"/>
  <c r="G1111" i="1" a="1"/>
  <c r="G1111" i="1" s="1"/>
  <c r="H1111" i="1" a="1"/>
  <c r="H1111" i="1" s="1"/>
  <c r="I1111" i="1" a="1"/>
  <c r="I1111" i="1" s="1"/>
  <c r="J1111" i="1" a="1"/>
  <c r="J1111" i="1" s="1"/>
  <c r="K1111" i="1" a="1"/>
  <c r="K1111" i="1" s="1"/>
  <c r="L1111" i="1" a="1"/>
  <c r="L1111" i="1" s="1"/>
  <c r="G1112" i="1" a="1"/>
  <c r="G1112" i="1" s="1"/>
  <c r="H1112" i="1" a="1"/>
  <c r="H1112" i="1" s="1"/>
  <c r="I1112" i="1" a="1"/>
  <c r="I1112" i="1" s="1"/>
  <c r="J1112" i="1" a="1"/>
  <c r="J1112" i="1" s="1"/>
  <c r="K1112" i="1" a="1"/>
  <c r="K1112" i="1" s="1"/>
  <c r="L1112" i="1" a="1"/>
  <c r="L1112" i="1" s="1"/>
  <c r="G1113" i="1" a="1"/>
  <c r="G1113" i="1" s="1"/>
  <c r="H1113" i="1" a="1"/>
  <c r="H1113" i="1" s="1"/>
  <c r="I1113" i="1" a="1"/>
  <c r="I1113" i="1" s="1"/>
  <c r="J1113" i="1" a="1"/>
  <c r="J1113" i="1" s="1"/>
  <c r="K1113" i="1" a="1"/>
  <c r="K1113" i="1" s="1"/>
  <c r="L1113" i="1" a="1"/>
  <c r="L1113" i="1" s="1"/>
  <c r="G1114" i="1" a="1"/>
  <c r="G1114" i="1" s="1"/>
  <c r="H1114" i="1" a="1"/>
  <c r="H1114" i="1" s="1"/>
  <c r="I1114" i="1" a="1"/>
  <c r="I1114" i="1" s="1"/>
  <c r="J1114" i="1" a="1"/>
  <c r="J1114" i="1" s="1"/>
  <c r="K1114" i="1" a="1"/>
  <c r="K1114" i="1" s="1"/>
  <c r="L1114" i="1" a="1"/>
  <c r="L1114" i="1" s="1"/>
  <c r="G1115" i="1" a="1"/>
  <c r="G1115" i="1" s="1"/>
  <c r="H1115" i="1" a="1"/>
  <c r="H1115" i="1" s="1"/>
  <c r="I1115" i="1" a="1"/>
  <c r="I1115" i="1" s="1"/>
  <c r="J1115" i="1" a="1"/>
  <c r="J1115" i="1" s="1"/>
  <c r="K1115" i="1" a="1"/>
  <c r="K1115" i="1" s="1"/>
  <c r="L1115" i="1" a="1"/>
  <c r="L1115" i="1" s="1"/>
  <c r="G1116" i="1" a="1"/>
  <c r="G1116" i="1" s="1"/>
  <c r="H1116" i="1" a="1"/>
  <c r="H1116" i="1" s="1"/>
  <c r="I1116" i="1" a="1"/>
  <c r="I1116" i="1" s="1"/>
  <c r="J1116" i="1" a="1"/>
  <c r="J1116" i="1" s="1"/>
  <c r="K1116" i="1" a="1"/>
  <c r="K1116" i="1" s="1"/>
  <c r="L1116" i="1" a="1"/>
  <c r="L1116" i="1" s="1"/>
  <c r="G1117" i="1" a="1"/>
  <c r="G1117" i="1" s="1"/>
  <c r="H1117" i="1" a="1"/>
  <c r="H1117" i="1" s="1"/>
  <c r="I1117" i="1" a="1"/>
  <c r="I1117" i="1" s="1"/>
  <c r="J1117" i="1" a="1"/>
  <c r="J1117" i="1" s="1"/>
  <c r="K1117" i="1" a="1"/>
  <c r="K1117" i="1" s="1"/>
  <c r="L1117" i="1" a="1"/>
  <c r="L1117" i="1" s="1"/>
  <c r="G1118" i="1" a="1"/>
  <c r="G1118" i="1" s="1"/>
  <c r="H1118" i="1" a="1"/>
  <c r="H1118" i="1" s="1"/>
  <c r="I1118" i="1" a="1"/>
  <c r="I1118" i="1" s="1"/>
  <c r="J1118" i="1" a="1"/>
  <c r="J1118" i="1" s="1"/>
  <c r="K1118" i="1" a="1"/>
  <c r="K1118" i="1" s="1"/>
  <c r="L1118" i="1" a="1"/>
  <c r="L1118" i="1" s="1"/>
  <c r="G1119" i="1" a="1"/>
  <c r="G1119" i="1" s="1"/>
  <c r="H1119" i="1" a="1"/>
  <c r="H1119" i="1" s="1"/>
  <c r="I1119" i="1" a="1"/>
  <c r="I1119" i="1" s="1"/>
  <c r="J1119" i="1" a="1"/>
  <c r="J1119" i="1" s="1"/>
  <c r="K1119" i="1" a="1"/>
  <c r="K1119" i="1" s="1"/>
  <c r="L1119" i="1" a="1"/>
  <c r="L1119" i="1" s="1"/>
  <c r="G1120" i="1" a="1"/>
  <c r="G1120" i="1" s="1"/>
  <c r="H1120" i="1" a="1"/>
  <c r="H1120" i="1" s="1"/>
  <c r="I1120" i="1" a="1"/>
  <c r="I1120" i="1" s="1"/>
  <c r="J1120" i="1" a="1"/>
  <c r="J1120" i="1" s="1"/>
  <c r="K1120" i="1" a="1"/>
  <c r="K1120" i="1" s="1"/>
  <c r="L1120" i="1" a="1"/>
  <c r="L1120" i="1" s="1"/>
  <c r="G1121" i="1" a="1"/>
  <c r="G1121" i="1" s="1"/>
  <c r="H1121" i="1" a="1"/>
  <c r="H1121" i="1" s="1"/>
  <c r="I1121" i="1" a="1"/>
  <c r="I1121" i="1" s="1"/>
  <c r="J1121" i="1" a="1"/>
  <c r="J1121" i="1" s="1"/>
  <c r="K1121" i="1" a="1"/>
  <c r="K1121" i="1" s="1"/>
  <c r="L1121" i="1" a="1"/>
  <c r="L1121" i="1" s="1"/>
  <c r="G1122" i="1" a="1"/>
  <c r="G1122" i="1" s="1"/>
  <c r="H1122" i="1" a="1"/>
  <c r="H1122" i="1" s="1"/>
  <c r="I1122" i="1" a="1"/>
  <c r="I1122" i="1" s="1"/>
  <c r="J1122" i="1" a="1"/>
  <c r="J1122" i="1" s="1"/>
  <c r="K1122" i="1" a="1"/>
  <c r="K1122" i="1" s="1"/>
  <c r="L1122" i="1" a="1"/>
  <c r="L1122" i="1" s="1"/>
  <c r="G1123" i="1" a="1"/>
  <c r="G1123" i="1" s="1"/>
  <c r="H1123" i="1" a="1"/>
  <c r="H1123" i="1" s="1"/>
  <c r="I1123" i="1" a="1"/>
  <c r="I1123" i="1" s="1"/>
  <c r="J1123" i="1" a="1"/>
  <c r="J1123" i="1" s="1"/>
  <c r="K1123" i="1" a="1"/>
  <c r="K1123" i="1" s="1"/>
  <c r="L1123" i="1" a="1"/>
  <c r="L1123" i="1" s="1"/>
  <c r="G1124" i="1" a="1"/>
  <c r="G1124" i="1" s="1"/>
  <c r="H1124" i="1" a="1"/>
  <c r="H1124" i="1" s="1"/>
  <c r="I1124" i="1" a="1"/>
  <c r="I1124" i="1" s="1"/>
  <c r="J1124" i="1" a="1"/>
  <c r="J1124" i="1" s="1"/>
  <c r="K1124" i="1" a="1"/>
  <c r="K1124" i="1" s="1"/>
  <c r="L1124" i="1" a="1"/>
  <c r="L1124" i="1" s="1"/>
  <c r="G1125" i="1" a="1"/>
  <c r="G1125" i="1" s="1"/>
  <c r="H1125" i="1" a="1"/>
  <c r="H1125" i="1" s="1"/>
  <c r="I1125" i="1" a="1"/>
  <c r="I1125" i="1" s="1"/>
  <c r="J1125" i="1" a="1"/>
  <c r="J1125" i="1" s="1"/>
  <c r="K1125" i="1" a="1"/>
  <c r="K1125" i="1" s="1"/>
  <c r="L1125" i="1" a="1"/>
  <c r="L1125" i="1" s="1"/>
  <c r="G1126" i="1" a="1"/>
  <c r="G1126" i="1" s="1"/>
  <c r="H1126" i="1" a="1"/>
  <c r="H1126" i="1" s="1"/>
  <c r="I1126" i="1" a="1"/>
  <c r="I1126" i="1" s="1"/>
  <c r="J1126" i="1" a="1"/>
  <c r="J1126" i="1" s="1"/>
  <c r="K1126" i="1" a="1"/>
  <c r="K1126" i="1" s="1"/>
  <c r="L1126" i="1" a="1"/>
  <c r="L1126" i="1" s="1"/>
  <c r="G1127" i="1" a="1"/>
  <c r="G1127" i="1" s="1"/>
  <c r="H1127" i="1" a="1"/>
  <c r="H1127" i="1" s="1"/>
  <c r="I1127" i="1" a="1"/>
  <c r="I1127" i="1" s="1"/>
  <c r="J1127" i="1" a="1"/>
  <c r="J1127" i="1" s="1"/>
  <c r="K1127" i="1" a="1"/>
  <c r="K1127" i="1" s="1"/>
  <c r="L1127" i="1" a="1"/>
  <c r="L1127" i="1" s="1"/>
  <c r="G1128" i="1" a="1"/>
  <c r="G1128" i="1" s="1"/>
  <c r="H1128" i="1" a="1"/>
  <c r="H1128" i="1" s="1"/>
  <c r="I1128" i="1" a="1"/>
  <c r="I1128" i="1" s="1"/>
  <c r="J1128" i="1" a="1"/>
  <c r="J1128" i="1" s="1"/>
  <c r="K1128" i="1" a="1"/>
  <c r="K1128" i="1" s="1"/>
  <c r="L1128" i="1" a="1"/>
  <c r="L1128" i="1" s="1"/>
  <c r="G1129" i="1" a="1"/>
  <c r="G1129" i="1" s="1"/>
  <c r="H1129" i="1" a="1"/>
  <c r="H1129" i="1" s="1"/>
  <c r="I1129" i="1" a="1"/>
  <c r="I1129" i="1" s="1"/>
  <c r="J1129" i="1" a="1"/>
  <c r="J1129" i="1" s="1"/>
  <c r="K1129" i="1" a="1"/>
  <c r="K1129" i="1" s="1"/>
  <c r="L1129" i="1" a="1"/>
  <c r="L1129" i="1" s="1"/>
  <c r="G1130" i="1" a="1"/>
  <c r="G1130" i="1" s="1"/>
  <c r="H1130" i="1" a="1"/>
  <c r="H1130" i="1" s="1"/>
  <c r="I1130" i="1" a="1"/>
  <c r="I1130" i="1" s="1"/>
  <c r="J1130" i="1" a="1"/>
  <c r="J1130" i="1" s="1"/>
  <c r="K1130" i="1" a="1"/>
  <c r="K1130" i="1" s="1"/>
  <c r="L1130" i="1" a="1"/>
  <c r="L1130" i="1" s="1"/>
  <c r="G1131" i="1" a="1"/>
  <c r="G1131" i="1" s="1"/>
  <c r="H1131" i="1" a="1"/>
  <c r="H1131" i="1" s="1"/>
  <c r="I1131" i="1" a="1"/>
  <c r="I1131" i="1" s="1"/>
  <c r="J1131" i="1" a="1"/>
  <c r="J1131" i="1" s="1"/>
  <c r="K1131" i="1" a="1"/>
  <c r="K1131" i="1" s="1"/>
  <c r="L1131" i="1" a="1"/>
  <c r="L1131" i="1" s="1"/>
  <c r="G1132" i="1" a="1"/>
  <c r="G1132" i="1" s="1"/>
  <c r="H1132" i="1" a="1"/>
  <c r="H1132" i="1" s="1"/>
  <c r="I1132" i="1" a="1"/>
  <c r="I1132" i="1" s="1"/>
  <c r="J1132" i="1" a="1"/>
  <c r="J1132" i="1" s="1"/>
  <c r="K1132" i="1" a="1"/>
  <c r="K1132" i="1" s="1"/>
  <c r="L1132" i="1" a="1"/>
  <c r="L1132" i="1" s="1"/>
  <c r="G1133" i="1" a="1"/>
  <c r="G1133" i="1" s="1"/>
  <c r="H1133" i="1" a="1"/>
  <c r="H1133" i="1" s="1"/>
  <c r="I1133" i="1" a="1"/>
  <c r="I1133" i="1" s="1"/>
  <c r="J1133" i="1" a="1"/>
  <c r="J1133" i="1" s="1"/>
  <c r="K1133" i="1" a="1"/>
  <c r="K1133" i="1" s="1"/>
  <c r="L1133" i="1" a="1"/>
  <c r="L1133" i="1" s="1"/>
  <c r="G1134" i="1" a="1"/>
  <c r="G1134" i="1" s="1"/>
  <c r="H1134" i="1" a="1"/>
  <c r="H1134" i="1" s="1"/>
  <c r="I1134" i="1" a="1"/>
  <c r="I1134" i="1" s="1"/>
  <c r="J1134" i="1" a="1"/>
  <c r="J1134" i="1" s="1"/>
  <c r="K1134" i="1" a="1"/>
  <c r="K1134" i="1" s="1"/>
  <c r="L1134" i="1" a="1"/>
  <c r="L1134" i="1" s="1"/>
  <c r="G1135" i="1" a="1"/>
  <c r="G1135" i="1" s="1"/>
  <c r="H1135" i="1" a="1"/>
  <c r="H1135" i="1" s="1"/>
  <c r="I1135" i="1" a="1"/>
  <c r="I1135" i="1" s="1"/>
  <c r="J1135" i="1" a="1"/>
  <c r="J1135" i="1" s="1"/>
  <c r="K1135" i="1" a="1"/>
  <c r="K1135" i="1" s="1"/>
  <c r="L1135" i="1" a="1"/>
  <c r="L1135" i="1" s="1"/>
  <c r="G1136" i="1" a="1"/>
  <c r="G1136" i="1" s="1"/>
  <c r="H1136" i="1" a="1"/>
  <c r="H1136" i="1" s="1"/>
  <c r="I1136" i="1" a="1"/>
  <c r="I1136" i="1" s="1"/>
  <c r="J1136" i="1" a="1"/>
  <c r="J1136" i="1" s="1"/>
  <c r="K1136" i="1" a="1"/>
  <c r="K1136" i="1" s="1"/>
  <c r="L1136" i="1" a="1"/>
  <c r="L1136" i="1" s="1"/>
  <c r="G1137" i="1" a="1"/>
  <c r="G1137" i="1" s="1"/>
  <c r="H1137" i="1" a="1"/>
  <c r="H1137" i="1" s="1"/>
  <c r="I1137" i="1" a="1"/>
  <c r="I1137" i="1" s="1"/>
  <c r="J1137" i="1" a="1"/>
  <c r="J1137" i="1" s="1"/>
  <c r="K1137" i="1" a="1"/>
  <c r="K1137" i="1" s="1"/>
  <c r="L1137" i="1" a="1"/>
  <c r="L1137" i="1" s="1"/>
  <c r="G1138" i="1" a="1"/>
  <c r="G1138" i="1" s="1"/>
  <c r="H1138" i="1" a="1"/>
  <c r="H1138" i="1" s="1"/>
  <c r="I1138" i="1" a="1"/>
  <c r="I1138" i="1" s="1"/>
  <c r="J1138" i="1" a="1"/>
  <c r="J1138" i="1" s="1"/>
  <c r="K1138" i="1" a="1"/>
  <c r="K1138" i="1" s="1"/>
  <c r="L1138" i="1" a="1"/>
  <c r="L1138" i="1" s="1"/>
  <c r="G1139" i="1" a="1"/>
  <c r="G1139" i="1" s="1"/>
  <c r="H1139" i="1" a="1"/>
  <c r="H1139" i="1" s="1"/>
  <c r="I1139" i="1" a="1"/>
  <c r="I1139" i="1" s="1"/>
  <c r="J1139" i="1" a="1"/>
  <c r="J1139" i="1" s="1"/>
  <c r="K1139" i="1" a="1"/>
  <c r="K1139" i="1" s="1"/>
  <c r="L1139" i="1" a="1"/>
  <c r="L1139" i="1" s="1"/>
  <c r="G1140" i="1" a="1"/>
  <c r="G1140" i="1" s="1"/>
  <c r="H1140" i="1" a="1"/>
  <c r="H1140" i="1" s="1"/>
  <c r="I1140" i="1" a="1"/>
  <c r="I1140" i="1" s="1"/>
  <c r="J1140" i="1" a="1"/>
  <c r="J1140" i="1" s="1"/>
  <c r="K1140" i="1" a="1"/>
  <c r="K1140" i="1" s="1"/>
  <c r="L1140" i="1" a="1"/>
  <c r="L1140" i="1" s="1"/>
  <c r="G1141" i="1" a="1"/>
  <c r="G1141" i="1" s="1"/>
  <c r="H1141" i="1" a="1"/>
  <c r="H1141" i="1" s="1"/>
  <c r="I1141" i="1" a="1"/>
  <c r="I1141" i="1" s="1"/>
  <c r="J1141" i="1" a="1"/>
  <c r="J1141" i="1" s="1"/>
  <c r="K1141" i="1" a="1"/>
  <c r="K1141" i="1" s="1"/>
  <c r="L1141" i="1" a="1"/>
  <c r="L1141" i="1" s="1"/>
  <c r="G1142" i="1" a="1"/>
  <c r="G1142" i="1" s="1"/>
  <c r="H1142" i="1" a="1"/>
  <c r="H1142" i="1" s="1"/>
  <c r="I1142" i="1" a="1"/>
  <c r="I1142" i="1" s="1"/>
  <c r="J1142" i="1" a="1"/>
  <c r="J1142" i="1" s="1"/>
  <c r="K1142" i="1" a="1"/>
  <c r="K1142" i="1" s="1"/>
  <c r="L1142" i="1" a="1"/>
  <c r="L1142" i="1" s="1"/>
  <c r="G1143" i="1" a="1"/>
  <c r="G1143" i="1" s="1"/>
  <c r="H1143" i="1" a="1"/>
  <c r="H1143" i="1" s="1"/>
  <c r="I1143" i="1" a="1"/>
  <c r="I1143" i="1" s="1"/>
  <c r="J1143" i="1" a="1"/>
  <c r="J1143" i="1" s="1"/>
  <c r="K1143" i="1" a="1"/>
  <c r="K1143" i="1" s="1"/>
  <c r="L1143" i="1" a="1"/>
  <c r="L1143" i="1" s="1"/>
  <c r="G1144" i="1" a="1"/>
  <c r="G1144" i="1" s="1"/>
  <c r="H1144" i="1" a="1"/>
  <c r="H1144" i="1" s="1"/>
  <c r="I1144" i="1" a="1"/>
  <c r="I1144" i="1" s="1"/>
  <c r="J1144" i="1" a="1"/>
  <c r="J1144" i="1" s="1"/>
  <c r="K1144" i="1" a="1"/>
  <c r="K1144" i="1" s="1"/>
  <c r="L1144" i="1" a="1"/>
  <c r="L1144" i="1" s="1"/>
  <c r="G1145" i="1" a="1"/>
  <c r="G1145" i="1" s="1"/>
  <c r="H1145" i="1" a="1"/>
  <c r="H1145" i="1" s="1"/>
  <c r="I1145" i="1" a="1"/>
  <c r="I1145" i="1" s="1"/>
  <c r="J1145" i="1" a="1"/>
  <c r="J1145" i="1" s="1"/>
  <c r="K1145" i="1" a="1"/>
  <c r="K1145" i="1" s="1"/>
  <c r="L1145" i="1" a="1"/>
  <c r="L1145" i="1" s="1"/>
  <c r="G1146" i="1" a="1"/>
  <c r="G1146" i="1" s="1"/>
  <c r="H1146" i="1" a="1"/>
  <c r="H1146" i="1" s="1"/>
  <c r="I1146" i="1" a="1"/>
  <c r="I1146" i="1" s="1"/>
  <c r="J1146" i="1" a="1"/>
  <c r="J1146" i="1" s="1"/>
  <c r="K1146" i="1" a="1"/>
  <c r="K1146" i="1" s="1"/>
  <c r="L1146" i="1" a="1"/>
  <c r="L1146" i="1" s="1"/>
  <c r="G1147" i="1" a="1"/>
  <c r="G1147" i="1" s="1"/>
  <c r="H1147" i="1" a="1"/>
  <c r="H1147" i="1" s="1"/>
  <c r="I1147" i="1" a="1"/>
  <c r="I1147" i="1" s="1"/>
  <c r="J1147" i="1" a="1"/>
  <c r="J1147" i="1" s="1"/>
  <c r="K1147" i="1" a="1"/>
  <c r="K1147" i="1" s="1"/>
  <c r="L1147" i="1" a="1"/>
  <c r="L1147" i="1" s="1"/>
  <c r="G1148" i="1" a="1"/>
  <c r="G1148" i="1" s="1"/>
  <c r="H1148" i="1" a="1"/>
  <c r="H1148" i="1" s="1"/>
  <c r="I1148" i="1" a="1"/>
  <c r="I1148" i="1" s="1"/>
  <c r="J1148" i="1" a="1"/>
  <c r="J1148" i="1" s="1"/>
  <c r="K1148" i="1" a="1"/>
  <c r="K1148" i="1" s="1"/>
  <c r="L1148" i="1" a="1"/>
  <c r="L1148" i="1" s="1"/>
  <c r="G1149" i="1" a="1"/>
  <c r="G1149" i="1" s="1"/>
  <c r="H1149" i="1" a="1"/>
  <c r="H1149" i="1" s="1"/>
  <c r="I1149" i="1" a="1"/>
  <c r="I1149" i="1" s="1"/>
  <c r="J1149" i="1" a="1"/>
  <c r="J1149" i="1" s="1"/>
  <c r="K1149" i="1" a="1"/>
  <c r="K1149" i="1" s="1"/>
  <c r="L1149" i="1" a="1"/>
  <c r="L1149" i="1" s="1"/>
  <c r="G1150" i="1" a="1"/>
  <c r="G1150" i="1" s="1"/>
  <c r="H1150" i="1" a="1"/>
  <c r="H1150" i="1" s="1"/>
  <c r="I1150" i="1" a="1"/>
  <c r="I1150" i="1" s="1"/>
  <c r="J1150" i="1" a="1"/>
  <c r="J1150" i="1" s="1"/>
  <c r="K1150" i="1" a="1"/>
  <c r="K1150" i="1" s="1"/>
  <c r="L1150" i="1" a="1"/>
  <c r="L1150" i="1" s="1"/>
  <c r="G1151" i="1" a="1"/>
  <c r="G1151" i="1" s="1"/>
  <c r="H1151" i="1" a="1"/>
  <c r="H1151" i="1" s="1"/>
  <c r="I1151" i="1" a="1"/>
  <c r="I1151" i="1" s="1"/>
  <c r="J1151" i="1" a="1"/>
  <c r="J1151" i="1" s="1"/>
  <c r="K1151" i="1" a="1"/>
  <c r="K1151" i="1" s="1"/>
  <c r="L1151" i="1" a="1"/>
  <c r="L1151" i="1" s="1"/>
  <c r="G1152" i="1" a="1"/>
  <c r="G1152" i="1" s="1"/>
  <c r="H1152" i="1" a="1"/>
  <c r="H1152" i="1" s="1"/>
  <c r="I1152" i="1" a="1"/>
  <c r="I1152" i="1" s="1"/>
  <c r="J1152" i="1" a="1"/>
  <c r="J1152" i="1" s="1"/>
  <c r="K1152" i="1" a="1"/>
  <c r="K1152" i="1" s="1"/>
  <c r="L1152" i="1" a="1"/>
  <c r="L1152" i="1" s="1"/>
  <c r="G1153" i="1" a="1"/>
  <c r="G1153" i="1" s="1"/>
  <c r="H1153" i="1" a="1"/>
  <c r="H1153" i="1" s="1"/>
  <c r="I1153" i="1" a="1"/>
  <c r="I1153" i="1" s="1"/>
  <c r="J1153" i="1" a="1"/>
  <c r="J1153" i="1" s="1"/>
  <c r="K1153" i="1" a="1"/>
  <c r="K1153" i="1" s="1"/>
  <c r="L1153" i="1" a="1"/>
  <c r="L1153" i="1" s="1"/>
  <c r="G1154" i="1" a="1"/>
  <c r="G1154" i="1" s="1"/>
  <c r="H1154" i="1" a="1"/>
  <c r="H1154" i="1" s="1"/>
  <c r="I1154" i="1" a="1"/>
  <c r="I1154" i="1" s="1"/>
  <c r="J1154" i="1" a="1"/>
  <c r="J1154" i="1" s="1"/>
  <c r="K1154" i="1" a="1"/>
  <c r="K1154" i="1" s="1"/>
  <c r="L1154" i="1" a="1"/>
  <c r="L1154" i="1" s="1"/>
  <c r="G1155" i="1" a="1"/>
  <c r="G1155" i="1" s="1"/>
  <c r="H1155" i="1" a="1"/>
  <c r="H1155" i="1" s="1"/>
  <c r="I1155" i="1" a="1"/>
  <c r="I1155" i="1" s="1"/>
  <c r="J1155" i="1" a="1"/>
  <c r="J1155" i="1" s="1"/>
  <c r="K1155" i="1" a="1"/>
  <c r="K1155" i="1" s="1"/>
  <c r="L1155" i="1" a="1"/>
  <c r="L1155" i="1" s="1"/>
  <c r="G1156" i="1" a="1"/>
  <c r="G1156" i="1" s="1"/>
  <c r="H1156" i="1" a="1"/>
  <c r="H1156" i="1" s="1"/>
  <c r="I1156" i="1" a="1"/>
  <c r="I1156" i="1" s="1"/>
  <c r="J1156" i="1" a="1"/>
  <c r="J1156" i="1" s="1"/>
  <c r="K1156" i="1" a="1"/>
  <c r="K1156" i="1" s="1"/>
  <c r="L1156" i="1" a="1"/>
  <c r="L1156" i="1" s="1"/>
  <c r="G1157" i="1" a="1"/>
  <c r="G1157" i="1" s="1"/>
  <c r="H1157" i="1" a="1"/>
  <c r="H1157" i="1" s="1"/>
  <c r="I1157" i="1" a="1"/>
  <c r="I1157" i="1" s="1"/>
  <c r="J1157" i="1" a="1"/>
  <c r="J1157" i="1" s="1"/>
  <c r="K1157" i="1" a="1"/>
  <c r="K1157" i="1" s="1"/>
  <c r="L1157" i="1" a="1"/>
  <c r="L1157" i="1" s="1"/>
  <c r="G1158" i="1" a="1"/>
  <c r="G1158" i="1" s="1"/>
  <c r="H1158" i="1" a="1"/>
  <c r="H1158" i="1" s="1"/>
  <c r="I1158" i="1" a="1"/>
  <c r="I1158" i="1" s="1"/>
  <c r="J1158" i="1" a="1"/>
  <c r="J1158" i="1" s="1"/>
  <c r="K1158" i="1" a="1"/>
  <c r="K1158" i="1" s="1"/>
  <c r="L1158" i="1" a="1"/>
  <c r="L1158" i="1" s="1"/>
  <c r="G1159" i="1" a="1"/>
  <c r="G1159" i="1" s="1"/>
  <c r="H1159" i="1" a="1"/>
  <c r="H1159" i="1" s="1"/>
  <c r="I1159" i="1" a="1"/>
  <c r="I1159" i="1" s="1"/>
  <c r="J1159" i="1" a="1"/>
  <c r="J1159" i="1" s="1"/>
  <c r="K1159" i="1" a="1"/>
  <c r="K1159" i="1" s="1"/>
  <c r="L1159" i="1" a="1"/>
  <c r="L1159" i="1" s="1"/>
  <c r="G1160" i="1" a="1"/>
  <c r="G1160" i="1" s="1"/>
  <c r="H1160" i="1" a="1"/>
  <c r="H1160" i="1" s="1"/>
  <c r="I1160" i="1" a="1"/>
  <c r="I1160" i="1" s="1"/>
  <c r="J1160" i="1" a="1"/>
  <c r="J1160" i="1" s="1"/>
  <c r="K1160" i="1" a="1"/>
  <c r="K1160" i="1" s="1"/>
  <c r="L1160" i="1" a="1"/>
  <c r="L1160" i="1" s="1"/>
  <c r="G1161" i="1" a="1"/>
  <c r="G1161" i="1" s="1"/>
  <c r="H1161" i="1" a="1"/>
  <c r="H1161" i="1" s="1"/>
  <c r="I1161" i="1" a="1"/>
  <c r="I1161" i="1" s="1"/>
  <c r="J1161" i="1" a="1"/>
  <c r="J1161" i="1" s="1"/>
  <c r="K1161" i="1" a="1"/>
  <c r="K1161" i="1" s="1"/>
  <c r="L1161" i="1" a="1"/>
  <c r="L1161" i="1" s="1"/>
  <c r="G1162" i="1" a="1"/>
  <c r="G1162" i="1" s="1"/>
  <c r="H1162" i="1" a="1"/>
  <c r="H1162" i="1" s="1"/>
  <c r="I1162" i="1" a="1"/>
  <c r="I1162" i="1" s="1"/>
  <c r="J1162" i="1" a="1"/>
  <c r="J1162" i="1" s="1"/>
  <c r="K1162" i="1" a="1"/>
  <c r="K1162" i="1" s="1"/>
  <c r="L1162" i="1" a="1"/>
  <c r="L1162" i="1" s="1"/>
  <c r="G1163" i="1" a="1"/>
  <c r="G1163" i="1" s="1"/>
  <c r="H1163" i="1" a="1"/>
  <c r="H1163" i="1" s="1"/>
  <c r="I1163" i="1" a="1"/>
  <c r="I1163" i="1" s="1"/>
  <c r="J1163" i="1" a="1"/>
  <c r="J1163" i="1" s="1"/>
  <c r="K1163" i="1" a="1"/>
  <c r="K1163" i="1" s="1"/>
  <c r="L1163" i="1" a="1"/>
  <c r="L1163" i="1" s="1"/>
  <c r="G1164" i="1" a="1"/>
  <c r="G1164" i="1" s="1"/>
  <c r="H1164" i="1" a="1"/>
  <c r="H1164" i="1" s="1"/>
  <c r="I1164" i="1" a="1"/>
  <c r="I1164" i="1" s="1"/>
  <c r="J1164" i="1" a="1"/>
  <c r="J1164" i="1" s="1"/>
  <c r="K1164" i="1" a="1"/>
  <c r="K1164" i="1" s="1"/>
  <c r="L1164" i="1" a="1"/>
  <c r="L1164" i="1" s="1"/>
  <c r="G1165" i="1" a="1"/>
  <c r="G1165" i="1" s="1"/>
  <c r="H1165" i="1" a="1"/>
  <c r="H1165" i="1" s="1"/>
  <c r="I1165" i="1" a="1"/>
  <c r="I1165" i="1" s="1"/>
  <c r="J1165" i="1" a="1"/>
  <c r="J1165" i="1" s="1"/>
  <c r="K1165" i="1" a="1"/>
  <c r="K1165" i="1" s="1"/>
  <c r="L1165" i="1" a="1"/>
  <c r="L1165" i="1" s="1"/>
  <c r="G1166" i="1" a="1"/>
  <c r="G1166" i="1" s="1"/>
  <c r="H1166" i="1" a="1"/>
  <c r="H1166" i="1" s="1"/>
  <c r="I1166" i="1" a="1"/>
  <c r="I1166" i="1" s="1"/>
  <c r="J1166" i="1" a="1"/>
  <c r="J1166" i="1" s="1"/>
  <c r="K1166" i="1" a="1"/>
  <c r="K1166" i="1" s="1"/>
  <c r="L1166" i="1" a="1"/>
  <c r="L1166" i="1" s="1"/>
  <c r="G1167" i="1" a="1"/>
  <c r="G1167" i="1" s="1"/>
  <c r="H1167" i="1" a="1"/>
  <c r="H1167" i="1" s="1"/>
  <c r="I1167" i="1" a="1"/>
  <c r="I1167" i="1" s="1"/>
  <c r="J1167" i="1" a="1"/>
  <c r="J1167" i="1" s="1"/>
  <c r="K1167" i="1" a="1"/>
  <c r="K1167" i="1" s="1"/>
  <c r="L1167" i="1" a="1"/>
  <c r="L1167" i="1" s="1"/>
  <c r="G1168" i="1" a="1"/>
  <c r="G1168" i="1" s="1"/>
  <c r="H1168" i="1" a="1"/>
  <c r="H1168" i="1" s="1"/>
  <c r="I1168" i="1" a="1"/>
  <c r="I1168" i="1" s="1"/>
  <c r="J1168" i="1" a="1"/>
  <c r="J1168" i="1" s="1"/>
  <c r="K1168" i="1" a="1"/>
  <c r="K1168" i="1" s="1"/>
  <c r="L1168" i="1" a="1"/>
  <c r="L1168" i="1" s="1"/>
  <c r="G1169" i="1" a="1"/>
  <c r="G1169" i="1" s="1"/>
  <c r="H1169" i="1" a="1"/>
  <c r="H1169" i="1" s="1"/>
  <c r="I1169" i="1" a="1"/>
  <c r="I1169" i="1" s="1"/>
  <c r="J1169" i="1" a="1"/>
  <c r="J1169" i="1" s="1"/>
  <c r="K1169" i="1" a="1"/>
  <c r="K1169" i="1" s="1"/>
  <c r="L1169" i="1" a="1"/>
  <c r="L1169" i="1" s="1"/>
  <c r="G1170" i="1" a="1"/>
  <c r="G1170" i="1" s="1"/>
  <c r="H1170" i="1" a="1"/>
  <c r="H1170" i="1" s="1"/>
  <c r="I1170" i="1" a="1"/>
  <c r="I1170" i="1" s="1"/>
  <c r="J1170" i="1" a="1"/>
  <c r="J1170" i="1" s="1"/>
  <c r="K1170" i="1" a="1"/>
  <c r="K1170" i="1" s="1"/>
  <c r="L1170" i="1" a="1"/>
  <c r="L1170" i="1" s="1"/>
  <c r="G1171" i="1" a="1"/>
  <c r="G1171" i="1" s="1"/>
  <c r="H1171" i="1" a="1"/>
  <c r="H1171" i="1" s="1"/>
  <c r="I1171" i="1" a="1"/>
  <c r="I1171" i="1" s="1"/>
  <c r="J1171" i="1" a="1"/>
  <c r="J1171" i="1" s="1"/>
  <c r="K1171" i="1" a="1"/>
  <c r="K1171" i="1" s="1"/>
  <c r="L1171" i="1" a="1"/>
  <c r="L1171" i="1" s="1"/>
  <c r="G1172" i="1" a="1"/>
  <c r="G1172" i="1" s="1"/>
  <c r="H1172" i="1" a="1"/>
  <c r="H1172" i="1" s="1"/>
  <c r="I1172" i="1" a="1"/>
  <c r="I1172" i="1" s="1"/>
  <c r="J1172" i="1" a="1"/>
  <c r="J1172" i="1" s="1"/>
  <c r="K1172" i="1" a="1"/>
  <c r="K1172" i="1" s="1"/>
  <c r="L1172" i="1" a="1"/>
  <c r="L1172" i="1" s="1"/>
  <c r="G1173" i="1" a="1"/>
  <c r="G1173" i="1" s="1"/>
  <c r="H1173" i="1" a="1"/>
  <c r="H1173" i="1" s="1"/>
  <c r="I1173" i="1" a="1"/>
  <c r="I1173" i="1" s="1"/>
  <c r="J1173" i="1" a="1"/>
  <c r="J1173" i="1" s="1"/>
  <c r="K1173" i="1" a="1"/>
  <c r="K1173" i="1" s="1"/>
  <c r="L1173" i="1" a="1"/>
  <c r="L1173" i="1" s="1"/>
  <c r="G1174" i="1" a="1"/>
  <c r="G1174" i="1" s="1"/>
  <c r="H1174" i="1" a="1"/>
  <c r="H1174" i="1" s="1"/>
  <c r="I1174" i="1" a="1"/>
  <c r="I1174" i="1" s="1"/>
  <c r="J1174" i="1" a="1"/>
  <c r="J1174" i="1" s="1"/>
  <c r="K1174" i="1" a="1"/>
  <c r="K1174" i="1" s="1"/>
  <c r="L1174" i="1" a="1"/>
  <c r="L1174" i="1" s="1"/>
  <c r="G1175" i="1" a="1"/>
  <c r="G1175" i="1" s="1"/>
  <c r="H1175" i="1" a="1"/>
  <c r="H1175" i="1" s="1"/>
  <c r="I1175" i="1" a="1"/>
  <c r="I1175" i="1" s="1"/>
  <c r="J1175" i="1" a="1"/>
  <c r="J1175" i="1" s="1"/>
  <c r="K1175" i="1" a="1"/>
  <c r="K1175" i="1" s="1"/>
  <c r="L1175" i="1" a="1"/>
  <c r="L1175" i="1" s="1"/>
  <c r="G1176" i="1" a="1"/>
  <c r="G1176" i="1" s="1"/>
  <c r="H1176" i="1" a="1"/>
  <c r="H1176" i="1" s="1"/>
  <c r="I1176" i="1" a="1"/>
  <c r="I1176" i="1" s="1"/>
  <c r="J1176" i="1" a="1"/>
  <c r="J1176" i="1" s="1"/>
  <c r="K1176" i="1" a="1"/>
  <c r="K1176" i="1" s="1"/>
  <c r="L1176" i="1" a="1"/>
  <c r="L1176" i="1" s="1"/>
  <c r="G1177" i="1" a="1"/>
  <c r="G1177" i="1" s="1"/>
  <c r="H1177" i="1" a="1"/>
  <c r="H1177" i="1" s="1"/>
  <c r="I1177" i="1" a="1"/>
  <c r="I1177" i="1" s="1"/>
  <c r="J1177" i="1" a="1"/>
  <c r="J1177" i="1" s="1"/>
  <c r="K1177" i="1" a="1"/>
  <c r="K1177" i="1" s="1"/>
  <c r="L1177" i="1" a="1"/>
  <c r="L1177" i="1" s="1"/>
  <c r="G1178" i="1" a="1"/>
  <c r="G1178" i="1" s="1"/>
  <c r="H1178" i="1" a="1"/>
  <c r="H1178" i="1" s="1"/>
  <c r="I1178" i="1" a="1"/>
  <c r="I1178" i="1" s="1"/>
  <c r="J1178" i="1" a="1"/>
  <c r="J1178" i="1" s="1"/>
  <c r="K1178" i="1" a="1"/>
  <c r="K1178" i="1" s="1"/>
  <c r="L1178" i="1" a="1"/>
  <c r="L1178" i="1" s="1"/>
  <c r="G1179" i="1" a="1"/>
  <c r="G1179" i="1" s="1"/>
  <c r="H1179" i="1" a="1"/>
  <c r="H1179" i="1" s="1"/>
  <c r="I1179" i="1" a="1"/>
  <c r="I1179" i="1" s="1"/>
  <c r="J1179" i="1" a="1"/>
  <c r="J1179" i="1" s="1"/>
  <c r="K1179" i="1" a="1"/>
  <c r="K1179" i="1" s="1"/>
  <c r="L1179" i="1" a="1"/>
  <c r="L1179" i="1" s="1"/>
  <c r="G1180" i="1" a="1"/>
  <c r="G1180" i="1" s="1"/>
  <c r="H1180" i="1" a="1"/>
  <c r="H1180" i="1" s="1"/>
  <c r="I1180" i="1" a="1"/>
  <c r="I1180" i="1" s="1"/>
  <c r="J1180" i="1" a="1"/>
  <c r="J1180" i="1" s="1"/>
  <c r="K1180" i="1" a="1"/>
  <c r="K1180" i="1" s="1"/>
  <c r="L1180" i="1" a="1"/>
  <c r="L1180" i="1" s="1"/>
  <c r="G1181" i="1" a="1"/>
  <c r="G1181" i="1" s="1"/>
  <c r="H1181" i="1" a="1"/>
  <c r="H1181" i="1" s="1"/>
  <c r="I1181" i="1" a="1"/>
  <c r="I1181" i="1" s="1"/>
  <c r="J1181" i="1" a="1"/>
  <c r="J1181" i="1" s="1"/>
  <c r="K1181" i="1" a="1"/>
  <c r="K1181" i="1" s="1"/>
  <c r="L1181" i="1" a="1"/>
  <c r="L1181" i="1" s="1"/>
  <c r="G1182" i="1" a="1"/>
  <c r="G1182" i="1" s="1"/>
  <c r="H1182" i="1" a="1"/>
  <c r="H1182" i="1" s="1"/>
  <c r="I1182" i="1" a="1"/>
  <c r="I1182" i="1" s="1"/>
  <c r="J1182" i="1" a="1"/>
  <c r="J1182" i="1" s="1"/>
  <c r="K1182" i="1" a="1"/>
  <c r="K1182" i="1" s="1"/>
  <c r="L1182" i="1" a="1"/>
  <c r="L1182" i="1" s="1"/>
  <c r="G1183" i="1" a="1"/>
  <c r="G1183" i="1" s="1"/>
  <c r="H1183" i="1" a="1"/>
  <c r="H1183" i="1" s="1"/>
  <c r="I1183" i="1" a="1"/>
  <c r="I1183" i="1" s="1"/>
  <c r="J1183" i="1" a="1"/>
  <c r="J1183" i="1" s="1"/>
  <c r="K1183" i="1" a="1"/>
  <c r="K1183" i="1" s="1"/>
  <c r="L1183" i="1" a="1"/>
  <c r="L1183" i="1" s="1"/>
  <c r="G1184" i="1" a="1"/>
  <c r="G1184" i="1" s="1"/>
  <c r="H1184" i="1" a="1"/>
  <c r="H1184" i="1" s="1"/>
  <c r="I1184" i="1" a="1"/>
  <c r="I1184" i="1" s="1"/>
  <c r="J1184" i="1" a="1"/>
  <c r="J1184" i="1" s="1"/>
  <c r="K1184" i="1" a="1"/>
  <c r="K1184" i="1" s="1"/>
  <c r="L1184" i="1" a="1"/>
  <c r="L1184" i="1" s="1"/>
  <c r="G1185" i="1" a="1"/>
  <c r="G1185" i="1" s="1"/>
  <c r="H1185" i="1" a="1"/>
  <c r="H1185" i="1" s="1"/>
  <c r="I1185" i="1" a="1"/>
  <c r="I1185" i="1" s="1"/>
  <c r="J1185" i="1" a="1"/>
  <c r="J1185" i="1" s="1"/>
  <c r="K1185" i="1" a="1"/>
  <c r="K1185" i="1" s="1"/>
  <c r="L1185" i="1" a="1"/>
  <c r="L1185" i="1" s="1"/>
  <c r="G1186" i="1" a="1"/>
  <c r="G1186" i="1" s="1"/>
  <c r="H1186" i="1" a="1"/>
  <c r="H1186" i="1" s="1"/>
  <c r="I1186" i="1" a="1"/>
  <c r="I1186" i="1" s="1"/>
  <c r="J1186" i="1" a="1"/>
  <c r="J1186" i="1" s="1"/>
  <c r="K1186" i="1" a="1"/>
  <c r="K1186" i="1" s="1"/>
  <c r="L1186" i="1" a="1"/>
  <c r="L1186" i="1" s="1"/>
  <c r="G1187" i="1" a="1"/>
  <c r="G1187" i="1" s="1"/>
  <c r="H1187" i="1" a="1"/>
  <c r="H1187" i="1" s="1"/>
  <c r="I1187" i="1" a="1"/>
  <c r="I1187" i="1" s="1"/>
  <c r="J1187" i="1" a="1"/>
  <c r="J1187" i="1" s="1"/>
  <c r="K1187" i="1" a="1"/>
  <c r="K1187" i="1" s="1"/>
  <c r="L1187" i="1" a="1"/>
  <c r="L1187" i="1" s="1"/>
  <c r="G1188" i="1" a="1"/>
  <c r="G1188" i="1" s="1"/>
  <c r="H1188" i="1" a="1"/>
  <c r="H1188" i="1" s="1"/>
  <c r="I1188" i="1" a="1"/>
  <c r="I1188" i="1" s="1"/>
  <c r="J1188" i="1" a="1"/>
  <c r="J1188" i="1" s="1"/>
  <c r="K1188" i="1" a="1"/>
  <c r="K1188" i="1" s="1"/>
  <c r="L1188" i="1" a="1"/>
  <c r="L1188" i="1" s="1"/>
  <c r="G1189" i="1" a="1"/>
  <c r="G1189" i="1" s="1"/>
  <c r="H1189" i="1" a="1"/>
  <c r="H1189" i="1" s="1"/>
  <c r="I1189" i="1" a="1"/>
  <c r="I1189" i="1" s="1"/>
  <c r="J1189" i="1" a="1"/>
  <c r="J1189" i="1" s="1"/>
  <c r="K1189" i="1" a="1"/>
  <c r="K1189" i="1" s="1"/>
  <c r="L1189" i="1" a="1"/>
  <c r="L1189" i="1" s="1"/>
  <c r="G1190" i="1" a="1"/>
  <c r="G1190" i="1" s="1"/>
  <c r="H1190" i="1" a="1"/>
  <c r="H1190" i="1" s="1"/>
  <c r="I1190" i="1" a="1"/>
  <c r="I1190" i="1" s="1"/>
  <c r="J1190" i="1" a="1"/>
  <c r="J1190" i="1" s="1"/>
  <c r="K1190" i="1" a="1"/>
  <c r="K1190" i="1" s="1"/>
  <c r="L1190" i="1" a="1"/>
  <c r="L1190" i="1" s="1"/>
  <c r="I3" i="1" a="1"/>
  <c r="I3" i="1" s="1"/>
  <c r="J3" i="1" a="1"/>
  <c r="J3" i="1" s="1"/>
  <c r="K3" i="1" a="1"/>
  <c r="K3" i="1" s="1"/>
  <c r="L3" i="1" a="1"/>
  <c r="L3" i="1" s="1"/>
  <c r="H3" i="1" a="1"/>
  <c r="H3" i="1" s="1"/>
  <c r="G3" i="1" a="1"/>
  <c r="G3" i="1" s="1"/>
  <c r="E158" i="1"/>
  <c r="E403" i="1"/>
  <c r="E412" i="1"/>
  <c r="M416" i="1"/>
  <c r="E416" i="1"/>
  <c r="E428" i="1"/>
  <c r="E430" i="1"/>
  <c r="E435" i="1"/>
  <c r="E438" i="1"/>
  <c r="E439" i="1"/>
  <c r="E441" i="1"/>
  <c r="E445" i="1"/>
  <c r="E448" i="1"/>
  <c r="E451" i="1"/>
  <c r="E453" i="1"/>
  <c r="E454" i="1"/>
  <c r="E456" i="1"/>
  <c r="E462" i="1"/>
  <c r="E464" i="1"/>
  <c r="E472" i="1"/>
  <c r="E475" i="1"/>
  <c r="E476" i="1"/>
  <c r="E478" i="1"/>
  <c r="E480" i="1"/>
  <c r="E486" i="1"/>
  <c r="E488" i="1"/>
  <c r="E494" i="1"/>
  <c r="E495" i="1"/>
  <c r="E499" i="1"/>
  <c r="E502" i="1"/>
  <c r="E504" i="1"/>
  <c r="E508" i="1"/>
  <c r="E512" i="1"/>
  <c r="E515" i="1"/>
  <c r="E518" i="1"/>
  <c r="E520" i="1"/>
  <c r="E528" i="1"/>
  <c r="E542" i="1"/>
  <c r="E543" i="1"/>
  <c r="E544" i="1"/>
  <c r="E548" i="1"/>
  <c r="E550" i="1"/>
  <c r="E436" i="1"/>
  <c r="E450" i="1"/>
  <c r="E460" i="1"/>
  <c r="E479" i="1"/>
  <c r="E484" i="1"/>
  <c r="E503" i="1"/>
  <c r="E522" i="1"/>
  <c r="E524" i="1"/>
  <c r="E527" i="1"/>
  <c r="E540" i="1"/>
  <c r="E414" i="1"/>
  <c r="E444" i="1"/>
  <c r="E466" i="1"/>
  <c r="E468" i="1"/>
  <c r="E490" i="1"/>
  <c r="E492" i="1"/>
  <c r="E500" i="1"/>
  <c r="E516" i="1"/>
  <c r="E534" i="1"/>
  <c r="E538" i="1"/>
  <c r="E156" i="1"/>
  <c r="E164" i="1"/>
  <c r="M1191" i="1" l="1"/>
  <c r="F1191" i="1" s="1"/>
  <c r="O1191" i="1"/>
  <c r="E1191" i="1"/>
  <c r="N1191" i="1"/>
  <c r="F416" i="1"/>
  <c r="M430" i="1"/>
  <c r="F430" i="1" s="1"/>
  <c r="E418" i="1"/>
  <c r="N418" i="1"/>
  <c r="M412" i="1"/>
  <c r="P412" i="1" s="1"/>
  <c r="M477" i="1"/>
  <c r="Q477" i="1" s="1"/>
  <c r="M473" i="1"/>
  <c r="F473" i="1" s="1"/>
  <c r="M469" i="1"/>
  <c r="F469" i="1" s="1"/>
  <c r="M424" i="1"/>
  <c r="F424" i="1" s="1"/>
  <c r="M418" i="1"/>
  <c r="Q418" i="1" s="1"/>
  <c r="M552" i="1"/>
  <c r="Q552" i="1" s="1"/>
  <c r="M548" i="1"/>
  <c r="F548" i="1" s="1"/>
  <c r="M459" i="1"/>
  <c r="P459" i="1" s="1"/>
  <c r="M435" i="1"/>
  <c r="Q435" i="1" s="1"/>
  <c r="N459" i="1"/>
  <c r="N455" i="1"/>
  <c r="N408" i="1"/>
  <c r="O546" i="1"/>
  <c r="N466" i="1"/>
  <c r="O556" i="1"/>
  <c r="O512" i="1"/>
  <c r="N465" i="1"/>
  <c r="N461" i="1"/>
  <c r="M411" i="1"/>
  <c r="F411" i="1" s="1"/>
  <c r="O407" i="1"/>
  <c r="O522" i="1"/>
  <c r="O452" i="1"/>
  <c r="O440" i="1"/>
  <c r="O432" i="1"/>
  <c r="O428" i="1"/>
  <c r="O553" i="1"/>
  <c r="N402" i="1"/>
  <c r="M413" i="1"/>
  <c r="P413" i="1" s="1"/>
  <c r="O495" i="1"/>
  <c r="M440" i="1"/>
  <c r="F440" i="1" s="1"/>
  <c r="M436" i="1"/>
  <c r="F436" i="1" s="1"/>
  <c r="M540" i="1"/>
  <c r="Q540" i="1" s="1"/>
  <c r="N498" i="1"/>
  <c r="O462" i="1"/>
  <c r="O548" i="1"/>
  <c r="M160" i="1"/>
  <c r="Q160" i="1" s="1"/>
  <c r="M155" i="1"/>
  <c r="F155" i="1" s="1"/>
  <c r="M438" i="1"/>
  <c r="P438" i="1" s="1"/>
  <c r="O465" i="1"/>
  <c r="O453" i="1"/>
  <c r="N490" i="1"/>
  <c r="O455" i="1"/>
  <c r="N551" i="1"/>
  <c r="M490" i="1"/>
  <c r="P490" i="1" s="1"/>
  <c r="O478" i="1"/>
  <c r="N517" i="1"/>
  <c r="E498" i="1"/>
  <c r="N420" i="1"/>
  <c r="N546" i="1"/>
  <c r="N493" i="1"/>
  <c r="N454" i="1"/>
  <c r="O549" i="1"/>
  <c r="N430" i="1"/>
  <c r="N163" i="1"/>
  <c r="O457" i="1"/>
  <c r="M500" i="1"/>
  <c r="F500" i="1" s="1"/>
  <c r="O422" i="1"/>
  <c r="N460" i="1"/>
  <c r="M472" i="1"/>
  <c r="P472" i="1" s="1"/>
  <c r="O429" i="1"/>
  <c r="M460" i="1"/>
  <c r="P460" i="1" s="1"/>
  <c r="M534" i="1"/>
  <c r="P534" i="1" s="1"/>
  <c r="N495" i="1"/>
  <c r="O475" i="1"/>
  <c r="N448" i="1"/>
  <c r="O417" i="1"/>
  <c r="O448" i="1"/>
  <c r="M462" i="1"/>
  <c r="P462" i="1" s="1"/>
  <c r="O534" i="1"/>
  <c r="M519" i="1"/>
  <c r="P519" i="1" s="1"/>
  <c r="O511" i="1"/>
  <c r="N496" i="1"/>
  <c r="O431" i="1"/>
  <c r="N438" i="1"/>
  <c r="M507" i="1"/>
  <c r="P507" i="1" s="1"/>
  <c r="N435" i="1"/>
  <c r="M514" i="1"/>
  <c r="P514" i="1" s="1"/>
  <c r="M465" i="1"/>
  <c r="Q465" i="1" s="1"/>
  <c r="M427" i="1"/>
  <c r="F427" i="1" s="1"/>
  <c r="M550" i="1"/>
  <c r="P550" i="1" s="1"/>
  <c r="O510" i="1"/>
  <c r="O506" i="1"/>
  <c r="N491" i="1"/>
  <c r="M423" i="1"/>
  <c r="Q423" i="1" s="1"/>
  <c r="N514" i="1"/>
  <c r="O464" i="1"/>
  <c r="M453" i="1"/>
  <c r="F453" i="1" s="1"/>
  <c r="O441" i="1"/>
  <c r="O434" i="1"/>
  <c r="N427" i="1"/>
  <c r="O517" i="1"/>
  <c r="O498" i="1"/>
  <c r="O411" i="1"/>
  <c r="M163" i="1"/>
  <c r="F163" i="1" s="1"/>
  <c r="N533" i="1"/>
  <c r="M487" i="1"/>
  <c r="F487" i="1" s="1"/>
  <c r="N411" i="1"/>
  <c r="N536" i="1"/>
  <c r="E517" i="1"/>
  <c r="N475" i="1"/>
  <c r="O433" i="1"/>
  <c r="M505" i="1"/>
  <c r="P505" i="1" s="1"/>
  <c r="O425" i="1"/>
  <c r="M556" i="1"/>
  <c r="F556" i="1" s="1"/>
  <c r="E536" i="1"/>
  <c r="N520" i="1"/>
  <c r="M501" i="1"/>
  <c r="P501" i="1" s="1"/>
  <c r="O466" i="1"/>
  <c r="M447" i="1"/>
  <c r="Q447" i="1" s="1"/>
  <c r="N440" i="1"/>
  <c r="M414" i="1"/>
  <c r="Q414" i="1" s="1"/>
  <c r="N556" i="1"/>
  <c r="M497" i="1"/>
  <c r="F497" i="1" s="1"/>
  <c r="O539" i="1"/>
  <c r="M474" i="1"/>
  <c r="F474" i="1" s="1"/>
  <c r="O439" i="1"/>
  <c r="O413" i="1"/>
  <c r="O409" i="1"/>
  <c r="O542" i="1"/>
  <c r="O555" i="1"/>
  <c r="N531" i="1"/>
  <c r="O477" i="1"/>
  <c r="N443" i="1"/>
  <c r="N545" i="1"/>
  <c r="M529" i="1"/>
  <c r="P529" i="1" s="1"/>
  <c r="M525" i="1"/>
  <c r="P525" i="1" s="1"/>
  <c r="M521" i="1"/>
  <c r="P521" i="1" s="1"/>
  <c r="O514" i="1"/>
  <c r="N507" i="1"/>
  <c r="O499" i="1"/>
  <c r="O496" i="1"/>
  <c r="O467" i="1"/>
  <c r="N555" i="1"/>
  <c r="O532" i="1"/>
  <c r="O486" i="1"/>
  <c r="O482" i="1"/>
  <c r="M471" i="1"/>
  <c r="P471" i="1" s="1"/>
  <c r="O163" i="1"/>
  <c r="N499" i="1"/>
  <c r="M496" i="1"/>
  <c r="Q496" i="1" s="1"/>
  <c r="N467" i="1"/>
  <c r="M464" i="1"/>
  <c r="F464" i="1" s="1"/>
  <c r="N407" i="1"/>
  <c r="M554" i="1"/>
  <c r="F554" i="1" s="1"/>
  <c r="O550" i="1"/>
  <c r="M517" i="1"/>
  <c r="P517" i="1" s="1"/>
  <c r="E493" i="1"/>
  <c r="N489" i="1"/>
  <c r="M457" i="1"/>
  <c r="Q457" i="1" s="1"/>
  <c r="M450" i="1"/>
  <c r="P450" i="1" s="1"/>
  <c r="E443" i="1"/>
  <c r="O540" i="1"/>
  <c r="M524" i="1"/>
  <c r="P524" i="1" s="1"/>
  <c r="E514" i="1"/>
  <c r="N510" i="1"/>
  <c r="N506" i="1"/>
  <c r="E496" i="1"/>
  <c r="O489" i="1"/>
  <c r="O463" i="1"/>
  <c r="O460" i="1"/>
  <c r="O442" i="1"/>
  <c r="O414" i="1"/>
  <c r="M407" i="1"/>
  <c r="P407" i="1" s="1"/>
  <c r="M546" i="1"/>
  <c r="Q546" i="1" s="1"/>
  <c r="N535" i="1"/>
  <c r="O523" i="1"/>
  <c r="O421" i="1"/>
  <c r="N519" i="1"/>
  <c r="N442" i="1"/>
  <c r="N534" i="1"/>
  <c r="N513" i="1"/>
  <c r="N431" i="1"/>
  <c r="O410" i="1"/>
  <c r="M456" i="1"/>
  <c r="F456" i="1" s="1"/>
  <c r="O166" i="1"/>
  <c r="N509" i="1"/>
  <c r="N505" i="1"/>
  <c r="M498" i="1"/>
  <c r="P498" i="1" s="1"/>
  <c r="M495" i="1"/>
  <c r="P495" i="1" s="1"/>
  <c r="M481" i="1"/>
  <c r="F481" i="1" s="1"/>
  <c r="M445" i="1"/>
  <c r="P445" i="1" s="1"/>
  <c r="E442" i="1"/>
  <c r="O438" i="1"/>
  <c r="M431" i="1"/>
  <c r="Q431" i="1" s="1"/>
  <c r="M428" i="1"/>
  <c r="F428" i="1" s="1"/>
  <c r="N417" i="1"/>
  <c r="O537" i="1"/>
  <c r="N501" i="1"/>
  <c r="N462" i="1"/>
  <c r="O420" i="1"/>
  <c r="M553" i="1"/>
  <c r="Q553" i="1" s="1"/>
  <c r="N166" i="1"/>
  <c r="N515" i="1"/>
  <c r="N497" i="1"/>
  <c r="M491" i="1"/>
  <c r="F491" i="1" s="1"/>
  <c r="O476" i="1"/>
  <c r="O472" i="1"/>
  <c r="N452" i="1"/>
  <c r="O444" i="1"/>
  <c r="O515" i="1"/>
  <c r="E501" i="1"/>
  <c r="M494" i="1"/>
  <c r="Q494" i="1" s="1"/>
  <c r="M452" i="1"/>
  <c r="P452" i="1" s="1"/>
  <c r="N537" i="1"/>
  <c r="N526" i="1"/>
  <c r="O518" i="1"/>
  <c r="M515" i="1"/>
  <c r="F515" i="1" s="1"/>
  <c r="O468" i="1"/>
  <c r="E424" i="1"/>
  <c r="N548" i="1"/>
  <c r="N494" i="1"/>
  <c r="M448" i="1"/>
  <c r="F448" i="1" s="1"/>
  <c r="M441" i="1"/>
  <c r="P441" i="1" s="1"/>
  <c r="N412" i="1"/>
  <c r="M544" i="1"/>
  <c r="F544" i="1" s="1"/>
  <c r="O160" i="1"/>
  <c r="M444" i="1"/>
  <c r="F444" i="1" s="1"/>
  <c r="O419" i="1"/>
  <c r="O483" i="1"/>
  <c r="M458" i="1"/>
  <c r="Q458" i="1" s="1"/>
  <c r="E556" i="1"/>
  <c r="N552" i="1"/>
  <c r="N426" i="1"/>
  <c r="M511" i="1"/>
  <c r="F511" i="1" s="1"/>
  <c r="O503" i="1"/>
  <c r="E497" i="1"/>
  <c r="O490" i="1"/>
  <c r="E465" i="1"/>
  <c r="N458" i="1"/>
  <c r="O426" i="1"/>
  <c r="N423" i="1"/>
  <c r="N419" i="1"/>
  <c r="M415" i="1"/>
  <c r="F415" i="1" s="1"/>
  <c r="M555" i="1"/>
  <c r="F555" i="1" s="1"/>
  <c r="O551" i="1"/>
  <c r="O493" i="1"/>
  <c r="N479" i="1"/>
  <c r="N447" i="1"/>
  <c r="O443" i="1"/>
  <c r="M408" i="1"/>
  <c r="F408" i="1" s="1"/>
  <c r="O541" i="1"/>
  <c r="M551" i="1"/>
  <c r="F551" i="1" s="1"/>
  <c r="O529" i="1"/>
  <c r="M526" i="1"/>
  <c r="P526" i="1" s="1"/>
  <c r="O507" i="1"/>
  <c r="N485" i="1"/>
  <c r="N434" i="1"/>
  <c r="N422" i="1"/>
  <c r="M482" i="1"/>
  <c r="F482" i="1" s="1"/>
  <c r="N470" i="1"/>
  <c r="N446" i="1"/>
  <c r="N436" i="1"/>
  <c r="N424" i="1"/>
  <c r="O535" i="1"/>
  <c r="N523" i="1"/>
  <c r="O491" i="1"/>
  <c r="O488" i="1"/>
  <c r="M535" i="1"/>
  <c r="F535" i="1" s="1"/>
  <c r="O516" i="1"/>
  <c r="O513" i="1"/>
  <c r="O494" i="1"/>
  <c r="N482" i="1"/>
  <c r="M476" i="1"/>
  <c r="F476" i="1" s="1"/>
  <c r="E455" i="1"/>
  <c r="E440" i="1"/>
  <c r="O436" i="1"/>
  <c r="E434" i="1"/>
  <c r="O430" i="1"/>
  <c r="O427" i="1"/>
  <c r="O424" i="1"/>
  <c r="E422" i="1"/>
  <c r="E419" i="1"/>
  <c r="M410" i="1"/>
  <c r="Q410" i="1" s="1"/>
  <c r="E473" i="1"/>
  <c r="E470" i="1"/>
  <c r="E452" i="1"/>
  <c r="E446" i="1"/>
  <c r="M545" i="1"/>
  <c r="F545" i="1" s="1"/>
  <c r="N532" i="1"/>
  <c r="E526" i="1"/>
  <c r="N522" i="1"/>
  <c r="O519" i="1"/>
  <c r="M510" i="1"/>
  <c r="P510" i="1" s="1"/>
  <c r="N503" i="1"/>
  <c r="O500" i="1"/>
  <c r="M485" i="1"/>
  <c r="F485" i="1" s="1"/>
  <c r="N478" i="1"/>
  <c r="N472" i="1"/>
  <c r="O469" i="1"/>
  <c r="M466" i="1"/>
  <c r="P466" i="1" s="1"/>
  <c r="M463" i="1"/>
  <c r="F463" i="1" s="1"/>
  <c r="E458" i="1"/>
  <c r="O454" i="1"/>
  <c r="O451" i="1"/>
  <c r="O445" i="1"/>
  <c r="M442" i="1"/>
  <c r="P442" i="1" s="1"/>
  <c r="M439" i="1"/>
  <c r="F439" i="1" s="1"/>
  <c r="O418" i="1"/>
  <c r="O415" i="1"/>
  <c r="N410" i="1"/>
  <c r="N540" i="1"/>
  <c r="O552" i="1"/>
  <c r="E529" i="1"/>
  <c r="N525" i="1"/>
  <c r="E507" i="1"/>
  <c r="M488" i="1"/>
  <c r="F488" i="1" s="1"/>
  <c r="E482" i="1"/>
  <c r="M454" i="1"/>
  <c r="P454" i="1" s="1"/>
  <c r="M451" i="1"/>
  <c r="F451" i="1" s="1"/>
  <c r="M159" i="1"/>
  <c r="Q159" i="1" s="1"/>
  <c r="N159" i="1"/>
  <c r="O528" i="1"/>
  <c r="O525" i="1"/>
  <c r="M522" i="1"/>
  <c r="P522" i="1" s="1"/>
  <c r="N516" i="1"/>
  <c r="M513" i="1"/>
  <c r="P513" i="1" s="1"/>
  <c r="E510" i="1"/>
  <c r="M503" i="1"/>
  <c r="Q503" i="1" s="1"/>
  <c r="O481" i="1"/>
  <c r="M478" i="1"/>
  <c r="P478" i="1" s="1"/>
  <c r="M475" i="1"/>
  <c r="F475" i="1" s="1"/>
  <c r="N463" i="1"/>
  <c r="N439" i="1"/>
  <c r="M506" i="1"/>
  <c r="Q506" i="1" s="1"/>
  <c r="N484" i="1"/>
  <c r="N451" i="1"/>
  <c r="N415" i="1"/>
  <c r="O412" i="1"/>
  <c r="M549" i="1"/>
  <c r="Q549" i="1" s="1"/>
  <c r="M406" i="1"/>
  <c r="F406" i="1" s="1"/>
  <c r="O531" i="1"/>
  <c r="O487" i="1"/>
  <c r="O484" i="1"/>
  <c r="M433" i="1"/>
  <c r="P433" i="1" s="1"/>
  <c r="E427" i="1"/>
  <c r="M421" i="1"/>
  <c r="F421" i="1" s="1"/>
  <c r="N549" i="1"/>
  <c r="N528" i="1"/>
  <c r="E457" i="1"/>
  <c r="N450" i="1"/>
  <c r="E555" i="1"/>
  <c r="M531" i="1"/>
  <c r="P531" i="1" s="1"/>
  <c r="N521" i="1"/>
  <c r="M518" i="1"/>
  <c r="P518" i="1" s="1"/>
  <c r="M509" i="1"/>
  <c r="P509" i="1" s="1"/>
  <c r="E506" i="1"/>
  <c r="N502" i="1"/>
  <c r="M499" i="1"/>
  <c r="F499" i="1" s="1"/>
  <c r="N487" i="1"/>
  <c r="M484" i="1"/>
  <c r="Q484" i="1" s="1"/>
  <c r="E481" i="1"/>
  <c r="N474" i="1"/>
  <c r="O456" i="1"/>
  <c r="O450" i="1"/>
  <c r="M409" i="1"/>
  <c r="P409" i="1" s="1"/>
  <c r="N527" i="1"/>
  <c r="N524" i="1"/>
  <c r="M512" i="1"/>
  <c r="F512" i="1" s="1"/>
  <c r="O502" i="1"/>
  <c r="O480" i="1"/>
  <c r="N477" i="1"/>
  <c r="O474" i="1"/>
  <c r="N471" i="1"/>
  <c r="O435" i="1"/>
  <c r="N432" i="1"/>
  <c r="N429" i="1"/>
  <c r="O423" i="1"/>
  <c r="O404" i="1"/>
  <c r="E531" i="1"/>
  <c r="O527" i="1"/>
  <c r="O524" i="1"/>
  <c r="N518" i="1"/>
  <c r="E509" i="1"/>
  <c r="O505" i="1"/>
  <c r="M502" i="1"/>
  <c r="P502" i="1" s="1"/>
  <c r="M493" i="1"/>
  <c r="P493" i="1" s="1"/>
  <c r="O471" i="1"/>
  <c r="N468" i="1"/>
  <c r="O447" i="1"/>
  <c r="N444" i="1"/>
  <c r="N441" i="1"/>
  <c r="M432" i="1"/>
  <c r="F432" i="1" s="1"/>
  <c r="M429" i="1"/>
  <c r="Q429" i="1" s="1"/>
  <c r="M426" i="1"/>
  <c r="P426" i="1" s="1"/>
  <c r="M542" i="1"/>
  <c r="Q542" i="1" s="1"/>
  <c r="O530" i="1"/>
  <c r="M527" i="1"/>
  <c r="F527" i="1" s="1"/>
  <c r="O508" i="1"/>
  <c r="N486" i="1"/>
  <c r="N483" i="1"/>
  <c r="O459" i="1"/>
  <c r="N456" i="1"/>
  <c r="N453" i="1"/>
  <c r="M420" i="1"/>
  <c r="F420" i="1" s="1"/>
  <c r="M417" i="1"/>
  <c r="P417" i="1" s="1"/>
  <c r="M547" i="1"/>
  <c r="P547" i="1" s="1"/>
  <c r="M530" i="1"/>
  <c r="P530" i="1" s="1"/>
  <c r="E432" i="1"/>
  <c r="E429" i="1"/>
  <c r="O408" i="1"/>
  <c r="N404" i="1"/>
  <c r="O492" i="1"/>
  <c r="N480" i="1"/>
  <c r="E417" i="1"/>
  <c r="O536" i="1"/>
  <c r="N530" i="1"/>
  <c r="N428" i="1"/>
  <c r="E420" i="1"/>
  <c r="P416" i="1"/>
  <c r="O544" i="1"/>
  <c r="E551" i="1"/>
  <c r="E521" i="1"/>
  <c r="N508" i="1"/>
  <c r="E474" i="1"/>
  <c r="O416" i="1"/>
  <c r="E404" i="1"/>
  <c r="O520" i="1"/>
  <c r="N511" i="1"/>
  <c r="E505" i="1"/>
  <c r="M486" i="1"/>
  <c r="P486" i="1" s="1"/>
  <c r="M483" i="1"/>
  <c r="P483" i="1" s="1"/>
  <c r="N473" i="1"/>
  <c r="E471" i="1"/>
  <c r="M467" i="1"/>
  <c r="F467" i="1" s="1"/>
  <c r="E447" i="1"/>
  <c r="M443" i="1"/>
  <c r="Q443" i="1" s="1"/>
  <c r="N416" i="1"/>
  <c r="M541" i="1"/>
  <c r="P541" i="1" s="1"/>
  <c r="N544" i="1"/>
  <c r="O403" i="1"/>
  <c r="M533" i="1"/>
  <c r="Q533" i="1" s="1"/>
  <c r="E530" i="1"/>
  <c r="O504" i="1"/>
  <c r="O501" i="1"/>
  <c r="N492" i="1"/>
  <c r="O479" i="1"/>
  <c r="O470" i="1"/>
  <c r="E459" i="1"/>
  <c r="M455" i="1"/>
  <c r="Q455" i="1" s="1"/>
  <c r="O446" i="1"/>
  <c r="M437" i="1"/>
  <c r="P437" i="1" s="1"/>
  <c r="M434" i="1"/>
  <c r="Q434" i="1" s="1"/>
  <c r="M425" i="1"/>
  <c r="Q425" i="1" s="1"/>
  <c r="M422" i="1"/>
  <c r="Q422" i="1" s="1"/>
  <c r="M419" i="1"/>
  <c r="P419" i="1" s="1"/>
  <c r="M403" i="1"/>
  <c r="Q403" i="1" s="1"/>
  <c r="M536" i="1"/>
  <c r="Q536" i="1" s="1"/>
  <c r="N529" i="1"/>
  <c r="O526" i="1"/>
  <c r="M523" i="1"/>
  <c r="F523" i="1" s="1"/>
  <c r="M489" i="1"/>
  <c r="Q489" i="1" s="1"/>
  <c r="M479" i="1"/>
  <c r="Q479" i="1" s="1"/>
  <c r="M470" i="1"/>
  <c r="F470" i="1" s="1"/>
  <c r="M461" i="1"/>
  <c r="Q461" i="1" s="1"/>
  <c r="O458" i="1"/>
  <c r="M449" i="1"/>
  <c r="P449" i="1" s="1"/>
  <c r="M446" i="1"/>
  <c r="F446" i="1" s="1"/>
  <c r="Q416" i="1"/>
  <c r="N541" i="1"/>
  <c r="E545" i="1"/>
  <c r="N550" i="1"/>
  <c r="O554" i="1"/>
  <c r="N554" i="1"/>
  <c r="E554" i="1"/>
  <c r="N553" i="1"/>
  <c r="E552" i="1"/>
  <c r="E549" i="1"/>
  <c r="E547" i="1"/>
  <c r="O545" i="1"/>
  <c r="E546" i="1"/>
  <c r="N547" i="1"/>
  <c r="O547" i="1"/>
  <c r="N542" i="1"/>
  <c r="E541" i="1"/>
  <c r="M539" i="1"/>
  <c r="F539" i="1" s="1"/>
  <c r="N539" i="1"/>
  <c r="N504" i="1"/>
  <c r="O533" i="1"/>
  <c r="M528" i="1"/>
  <c r="F528" i="1" s="1"/>
  <c r="O521" i="1"/>
  <c r="M516" i="1"/>
  <c r="F516" i="1" s="1"/>
  <c r="O509" i="1"/>
  <c r="M504" i="1"/>
  <c r="F504" i="1" s="1"/>
  <c r="O497" i="1"/>
  <c r="M492" i="1"/>
  <c r="F492" i="1" s="1"/>
  <c r="O485" i="1"/>
  <c r="M480" i="1"/>
  <c r="F480" i="1" s="1"/>
  <c r="O473" i="1"/>
  <c r="M468" i="1"/>
  <c r="F468" i="1" s="1"/>
  <c r="O461" i="1"/>
  <c r="O449" i="1"/>
  <c r="O437" i="1"/>
  <c r="N437" i="1"/>
  <c r="N413" i="1"/>
  <c r="N449" i="1"/>
  <c r="N425" i="1"/>
  <c r="E410" i="1"/>
  <c r="N512" i="1"/>
  <c r="N500" i="1"/>
  <c r="N488" i="1"/>
  <c r="N476" i="1"/>
  <c r="N464" i="1"/>
  <c r="N481" i="1"/>
  <c r="N457" i="1"/>
  <c r="N421" i="1"/>
  <c r="N409" i="1"/>
  <c r="E408" i="1"/>
  <c r="N469" i="1"/>
  <c r="N445" i="1"/>
  <c r="N433" i="1"/>
  <c r="E461" i="1"/>
  <c r="E437" i="1"/>
  <c r="N414" i="1"/>
  <c r="E413" i="1"/>
  <c r="E449" i="1"/>
  <c r="E425" i="1"/>
  <c r="M532" i="1"/>
  <c r="Q532" i="1" s="1"/>
  <c r="M520" i="1"/>
  <c r="Q520" i="1" s="1"/>
  <c r="M508" i="1"/>
  <c r="Q508" i="1" s="1"/>
  <c r="M537" i="1"/>
  <c r="Q537" i="1" s="1"/>
  <c r="O406" i="1"/>
  <c r="N406" i="1"/>
  <c r="M404" i="1"/>
  <c r="F404" i="1" s="1"/>
  <c r="N403" i="1"/>
  <c r="E402" i="1"/>
  <c r="M402" i="1"/>
  <c r="F402" i="1" s="1"/>
  <c r="O402" i="1"/>
  <c r="M538" i="1"/>
  <c r="P538" i="1" s="1"/>
  <c r="M543" i="1"/>
  <c r="P543" i="1" s="1"/>
  <c r="N543" i="1"/>
  <c r="O543" i="1"/>
  <c r="N538" i="1"/>
  <c r="O538" i="1"/>
  <c r="M405" i="1"/>
  <c r="F405" i="1" s="1"/>
  <c r="N405" i="1"/>
  <c r="O405" i="1"/>
  <c r="N156" i="1"/>
  <c r="N160" i="1"/>
  <c r="M156" i="1"/>
  <c r="F156" i="1" s="1"/>
  <c r="N165" i="1"/>
  <c r="O155" i="1"/>
  <c r="M158" i="1"/>
  <c r="F158" i="1" s="1"/>
  <c r="N154" i="1"/>
  <c r="O154" i="1"/>
  <c r="M165" i="1"/>
  <c r="F165" i="1" s="1"/>
  <c r="N158" i="1"/>
  <c r="M161" i="1"/>
  <c r="F161" i="1" s="1"/>
  <c r="M162" i="1"/>
  <c r="Q162" i="1" s="1"/>
  <c r="O158" i="1"/>
  <c r="O159" i="1"/>
  <c r="O165" i="1"/>
  <c r="O161" i="1"/>
  <c r="O167" i="1"/>
  <c r="E159" i="1"/>
  <c r="O164" i="1"/>
  <c r="M167" i="1"/>
  <c r="F167" i="1" s="1"/>
  <c r="N167" i="1"/>
  <c r="M154" i="1"/>
  <c r="P154" i="1" s="1"/>
  <c r="O157" i="1"/>
  <c r="M157" i="1"/>
  <c r="P157" i="1" s="1"/>
  <c r="M166" i="1"/>
  <c r="Q166" i="1" s="1"/>
  <c r="N161" i="1"/>
  <c r="N164" i="1"/>
  <c r="O156" i="1"/>
  <c r="E166" i="1"/>
  <c r="N155" i="1"/>
  <c r="O162" i="1"/>
  <c r="E157" i="1"/>
  <c r="E162" i="1"/>
  <c r="E155" i="1"/>
  <c r="E160" i="1"/>
  <c r="E163" i="1"/>
  <c r="M164" i="1"/>
  <c r="E167" i="1"/>
  <c r="N157" i="1"/>
  <c r="N162" i="1"/>
  <c r="E1044" i="1"/>
  <c r="E1046" i="1"/>
  <c r="E1049" i="1"/>
  <c r="E1050" i="1"/>
  <c r="E1051" i="1"/>
  <c r="E1052" i="1"/>
  <c r="E1054" i="1"/>
  <c r="E1057" i="1"/>
  <c r="E1059" i="1"/>
  <c r="E1060" i="1"/>
  <c r="E1062" i="1"/>
  <c r="E1065" i="1"/>
  <c r="E1066" i="1"/>
  <c r="E1067" i="1"/>
  <c r="E1068" i="1"/>
  <c r="E1070" i="1"/>
  <c r="E1073" i="1"/>
  <c r="E1075" i="1"/>
  <c r="E1076" i="1"/>
  <c r="E1078" i="1"/>
  <c r="E1079" i="1"/>
  <c r="E1081" i="1"/>
  <c r="E1083" i="1"/>
  <c r="E1084" i="1"/>
  <c r="E1086" i="1"/>
  <c r="E1089" i="1"/>
  <c r="E1091" i="1"/>
  <c r="E1092" i="1"/>
  <c r="E1094" i="1"/>
  <c r="E1097" i="1"/>
  <c r="E1099" i="1"/>
  <c r="E1100" i="1"/>
  <c r="E1102" i="1"/>
  <c r="E1105" i="1"/>
  <c r="E1107" i="1"/>
  <c r="E1108" i="1"/>
  <c r="E1110" i="1"/>
  <c r="E1111" i="1"/>
  <c r="E1113" i="1"/>
  <c r="E1115" i="1"/>
  <c r="E1116" i="1"/>
  <c r="E1118" i="1"/>
  <c r="E1121" i="1"/>
  <c r="E1123" i="1"/>
  <c r="E1124" i="1"/>
  <c r="E1126" i="1"/>
  <c r="E1129" i="1"/>
  <c r="E1131" i="1"/>
  <c r="E1132" i="1"/>
  <c r="E1134" i="1"/>
  <c r="E1135" i="1"/>
  <c r="E1137" i="1"/>
  <c r="E1139" i="1"/>
  <c r="E1140" i="1"/>
  <c r="E1142" i="1"/>
  <c r="E1143" i="1"/>
  <c r="E1145" i="1"/>
  <c r="E1147" i="1"/>
  <c r="E1148" i="1"/>
  <c r="E1150" i="1"/>
  <c r="E1151" i="1"/>
  <c r="E1153" i="1"/>
  <c r="E1155" i="1"/>
  <c r="E1156" i="1"/>
  <c r="E1158" i="1"/>
  <c r="E1161" i="1"/>
  <c r="E1163" i="1"/>
  <c r="E1164" i="1"/>
  <c r="E762" i="1"/>
  <c r="E793" i="1"/>
  <c r="E805" i="1"/>
  <c r="E814" i="1"/>
  <c r="E837" i="1"/>
  <c r="E845" i="1"/>
  <c r="E862" i="1"/>
  <c r="E889" i="1"/>
  <c r="E913" i="1"/>
  <c r="E936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6" i="1"/>
  <c r="AE1037" i="1"/>
  <c r="AE1035" i="1"/>
  <c r="E716" i="1"/>
  <c r="E718" i="1"/>
  <c r="E720" i="1"/>
  <c r="E721" i="1"/>
  <c r="E722" i="1"/>
  <c r="E723" i="1"/>
  <c r="E724" i="1"/>
  <c r="E729" i="1"/>
  <c r="E730" i="1"/>
  <c r="E731" i="1"/>
  <c r="E733" i="1"/>
  <c r="E735" i="1"/>
  <c r="E737" i="1"/>
  <c r="E741" i="1"/>
  <c r="E742" i="1"/>
  <c r="E743" i="1"/>
  <c r="E744" i="1"/>
  <c r="E745" i="1"/>
  <c r="E746" i="1"/>
  <c r="E748" i="1"/>
  <c r="E750" i="1"/>
  <c r="E754" i="1"/>
  <c r="E755" i="1"/>
  <c r="E756" i="1"/>
  <c r="E757" i="1"/>
  <c r="E759" i="1"/>
  <c r="E760" i="1"/>
  <c r="E764" i="1"/>
  <c r="E766" i="1"/>
  <c r="E767" i="1"/>
  <c r="E769" i="1"/>
  <c r="E771" i="1"/>
  <c r="E772" i="1"/>
  <c r="E774" i="1"/>
  <c r="E775" i="1"/>
  <c r="E776" i="1"/>
  <c r="E777" i="1"/>
  <c r="E778" i="1"/>
  <c r="E780" i="1"/>
  <c r="E781" i="1"/>
  <c r="E782" i="1"/>
  <c r="E783" i="1"/>
  <c r="E786" i="1"/>
  <c r="E788" i="1"/>
  <c r="E789" i="1"/>
  <c r="E790" i="1"/>
  <c r="E791" i="1"/>
  <c r="E792" i="1"/>
  <c r="E794" i="1"/>
  <c r="E795" i="1"/>
  <c r="E798" i="1"/>
  <c r="E812" i="1"/>
  <c r="E817" i="1"/>
  <c r="E819" i="1"/>
  <c r="E828" i="1"/>
  <c r="E829" i="1"/>
  <c r="E834" i="1"/>
  <c r="E836" i="1"/>
  <c r="E838" i="1"/>
  <c r="E839" i="1"/>
  <c r="E841" i="1"/>
  <c r="E846" i="1"/>
  <c r="E848" i="1"/>
  <c r="E850" i="1"/>
  <c r="E852" i="1"/>
  <c r="E854" i="1"/>
  <c r="E858" i="1"/>
  <c r="E863" i="1"/>
  <c r="E865" i="1"/>
  <c r="E866" i="1"/>
  <c r="E872" i="1"/>
  <c r="E881" i="1"/>
  <c r="E882" i="1"/>
  <c r="E885" i="1"/>
  <c r="E890" i="1"/>
  <c r="E894" i="1"/>
  <c r="E896" i="1"/>
  <c r="E897" i="1"/>
  <c r="E900" i="1"/>
  <c r="E901" i="1"/>
  <c r="E904" i="1"/>
  <c r="E908" i="1"/>
  <c r="E909" i="1"/>
  <c r="E911" i="1"/>
  <c r="E912" i="1"/>
  <c r="E915" i="1"/>
  <c r="E916" i="1"/>
  <c r="E926" i="1"/>
  <c r="E927" i="1"/>
  <c r="E928" i="1"/>
  <c r="E929" i="1"/>
  <c r="E934" i="1"/>
  <c r="E938" i="1"/>
  <c r="E940" i="1"/>
  <c r="E941" i="1"/>
  <c r="E942" i="1"/>
  <c r="E943" i="1"/>
  <c r="E944" i="1"/>
  <c r="E947" i="1"/>
  <c r="E949" i="1"/>
  <c r="E950" i="1"/>
  <c r="E951" i="1"/>
  <c r="E953" i="1"/>
  <c r="E958" i="1"/>
  <c r="N959" i="1"/>
  <c r="E962" i="1"/>
  <c r="E963" i="1"/>
  <c r="E964" i="1"/>
  <c r="E966" i="1"/>
  <c r="E967" i="1"/>
  <c r="E970" i="1"/>
  <c r="E971" i="1"/>
  <c r="E972" i="1"/>
  <c r="E973" i="1"/>
  <c r="E974" i="1"/>
  <c r="E979" i="1"/>
  <c r="E980" i="1"/>
  <c r="E982" i="1"/>
  <c r="E983" i="1"/>
  <c r="E984" i="1"/>
  <c r="E985" i="1"/>
  <c r="E986" i="1"/>
  <c r="E991" i="1"/>
  <c r="E992" i="1"/>
  <c r="E993" i="1"/>
  <c r="E994" i="1"/>
  <c r="E995" i="1"/>
  <c r="E997" i="1"/>
  <c r="E999" i="1"/>
  <c r="E1002" i="1"/>
  <c r="E1004" i="1"/>
  <c r="E1005" i="1"/>
  <c r="E1006" i="1"/>
  <c r="E1009" i="1"/>
  <c r="E1010" i="1"/>
  <c r="E1011" i="1"/>
  <c r="E1016" i="1"/>
  <c r="E1017" i="1"/>
  <c r="E1018" i="1"/>
  <c r="E1020" i="1"/>
  <c r="E1022" i="1"/>
  <c r="E1023" i="1"/>
  <c r="E1024" i="1"/>
  <c r="E1026" i="1"/>
  <c r="E1027" i="1"/>
  <c r="E1028" i="1"/>
  <c r="E1030" i="1"/>
  <c r="E1032" i="1"/>
  <c r="E1034" i="1"/>
  <c r="E1035" i="1"/>
  <c r="E1036" i="1"/>
  <c r="E715" i="1"/>
  <c r="E1166" i="1"/>
  <c r="E1168" i="1"/>
  <c r="E1177" i="1"/>
  <c r="E1170" i="1"/>
  <c r="E1172" i="1"/>
  <c r="E1175" i="1"/>
  <c r="E170" i="1"/>
  <c r="E171" i="1"/>
  <c r="E176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5" i="1"/>
  <c r="E196" i="1"/>
  <c r="E199" i="1"/>
  <c r="E200" i="1"/>
  <c r="E201" i="1"/>
  <c r="E202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7" i="1"/>
  <c r="E248" i="1"/>
  <c r="E249" i="1"/>
  <c r="E250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71" i="1"/>
  <c r="E272" i="1"/>
  <c r="E273" i="1"/>
  <c r="E274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5" i="1"/>
  <c r="E296" i="1"/>
  <c r="E297" i="1"/>
  <c r="E298" i="1"/>
  <c r="E300" i="1"/>
  <c r="E302" i="1"/>
  <c r="E303" i="1"/>
  <c r="E304" i="1"/>
  <c r="E305" i="1"/>
  <c r="E306" i="1"/>
  <c r="E307" i="1"/>
  <c r="E308" i="1"/>
  <c r="E309" i="1"/>
  <c r="E311" i="1"/>
  <c r="E312" i="1"/>
  <c r="E313" i="1"/>
  <c r="E314" i="1"/>
  <c r="E316" i="1"/>
  <c r="E317" i="1"/>
  <c r="E319" i="1"/>
  <c r="E320" i="1"/>
  <c r="E321" i="1"/>
  <c r="E322" i="1"/>
  <c r="E324" i="1"/>
  <c r="E325" i="1"/>
  <c r="E326" i="1"/>
  <c r="E327" i="1"/>
  <c r="E328" i="1"/>
  <c r="E329" i="1"/>
  <c r="E330" i="1"/>
  <c r="E332" i="1"/>
  <c r="E333" i="1"/>
  <c r="E334" i="1"/>
  <c r="E335" i="1"/>
  <c r="E336" i="1"/>
  <c r="E337" i="1"/>
  <c r="E338" i="1"/>
  <c r="E339" i="1"/>
  <c r="E340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80" i="1"/>
  <c r="E381" i="1"/>
  <c r="E382" i="1"/>
  <c r="E383" i="1"/>
  <c r="E384" i="1"/>
  <c r="E385" i="1"/>
  <c r="E386" i="1"/>
  <c r="E387" i="1"/>
  <c r="E388" i="1"/>
  <c r="E392" i="1"/>
  <c r="E393" i="1"/>
  <c r="E394" i="1"/>
  <c r="E397" i="1"/>
  <c r="E398" i="1"/>
  <c r="E399" i="1"/>
  <c r="E400" i="1"/>
  <c r="E401" i="1"/>
  <c r="E169" i="1"/>
  <c r="E679" i="1"/>
  <c r="E681" i="1"/>
  <c r="E682" i="1"/>
  <c r="E683" i="1"/>
  <c r="E684" i="1"/>
  <c r="E685" i="1"/>
  <c r="E686" i="1"/>
  <c r="E688" i="1"/>
  <c r="E690" i="1"/>
  <c r="E693" i="1"/>
  <c r="E694" i="1"/>
  <c r="E695" i="1"/>
  <c r="E696" i="1"/>
  <c r="E698" i="1"/>
  <c r="E702" i="1"/>
  <c r="E703" i="1"/>
  <c r="E705" i="1"/>
  <c r="E707" i="1"/>
  <c r="E709" i="1"/>
  <c r="E710" i="1"/>
  <c r="E713" i="1"/>
  <c r="E714" i="1"/>
  <c r="E558" i="1"/>
  <c r="E563" i="1"/>
  <c r="E564" i="1"/>
  <c r="E566" i="1"/>
  <c r="E569" i="1"/>
  <c r="E570" i="1"/>
  <c r="E571" i="1"/>
  <c r="E574" i="1"/>
  <c r="E576" i="1"/>
  <c r="E577" i="1"/>
  <c r="E581" i="1"/>
  <c r="E582" i="1"/>
  <c r="E587" i="1"/>
  <c r="E588" i="1"/>
  <c r="E592" i="1"/>
  <c r="E593" i="1"/>
  <c r="E595" i="1"/>
  <c r="E597" i="1"/>
  <c r="E598" i="1"/>
  <c r="E599" i="1"/>
  <c r="E600" i="1"/>
  <c r="E601" i="1"/>
  <c r="E602" i="1"/>
  <c r="E605" i="1"/>
  <c r="E612" i="1"/>
  <c r="E614" i="1"/>
  <c r="E616" i="1"/>
  <c r="E617" i="1"/>
  <c r="E618" i="1"/>
  <c r="E619" i="1"/>
  <c r="E621" i="1"/>
  <c r="E622" i="1"/>
  <c r="E623" i="1"/>
  <c r="E625" i="1"/>
  <c r="E626" i="1"/>
  <c r="E628" i="1"/>
  <c r="E629" i="1"/>
  <c r="E630" i="1"/>
  <c r="E631" i="1"/>
  <c r="E635" i="1"/>
  <c r="E641" i="1"/>
  <c r="E642" i="1"/>
  <c r="E643" i="1"/>
  <c r="E645" i="1"/>
  <c r="E646" i="1"/>
  <c r="E647" i="1"/>
  <c r="E648" i="1"/>
  <c r="E649" i="1"/>
  <c r="E650" i="1"/>
  <c r="E652" i="1"/>
  <c r="E653" i="1"/>
  <c r="E654" i="1"/>
  <c r="E655" i="1"/>
  <c r="E659" i="1"/>
  <c r="E662" i="1"/>
  <c r="E665" i="1"/>
  <c r="E667" i="1"/>
  <c r="E670" i="1"/>
  <c r="E672" i="1"/>
  <c r="E673" i="1"/>
  <c r="E677" i="1"/>
  <c r="E678" i="1"/>
  <c r="E557" i="1"/>
  <c r="E168" i="1"/>
  <c r="E1038" i="1"/>
  <c r="E1039" i="1"/>
  <c r="E1040" i="1"/>
  <c r="E1041" i="1"/>
  <c r="E1042" i="1"/>
  <c r="E1043" i="1"/>
  <c r="E1192" i="1"/>
  <c r="E1193" i="1"/>
  <c r="E1194" i="1"/>
  <c r="E1195" i="1"/>
  <c r="E1196" i="1"/>
  <c r="E1187" i="1"/>
  <c r="E1188" i="1"/>
  <c r="E1190" i="1"/>
  <c r="M168" i="1"/>
  <c r="N168" i="1"/>
  <c r="O168" i="1"/>
  <c r="M1038" i="1"/>
  <c r="P1038" i="1" s="1"/>
  <c r="N1038" i="1"/>
  <c r="O1038" i="1"/>
  <c r="M1039" i="1"/>
  <c r="N1039" i="1"/>
  <c r="O1039" i="1"/>
  <c r="M1040" i="1"/>
  <c r="N1040" i="1"/>
  <c r="O1040" i="1"/>
  <c r="M1041" i="1"/>
  <c r="P1041" i="1" s="1"/>
  <c r="N1041" i="1"/>
  <c r="O1041" i="1"/>
  <c r="M1042" i="1"/>
  <c r="N1042" i="1"/>
  <c r="O1042" i="1"/>
  <c r="M1043" i="1"/>
  <c r="Q1043" i="1" s="1"/>
  <c r="N1043" i="1"/>
  <c r="O1043" i="1"/>
  <c r="M1192" i="1"/>
  <c r="P1192" i="1" s="1"/>
  <c r="N1192" i="1"/>
  <c r="O1192" i="1"/>
  <c r="M1193" i="1"/>
  <c r="P1193" i="1" s="1"/>
  <c r="N1193" i="1"/>
  <c r="O1193" i="1"/>
  <c r="M1194" i="1"/>
  <c r="N1194" i="1"/>
  <c r="O1194" i="1"/>
  <c r="M1195" i="1"/>
  <c r="Q1195" i="1" s="1"/>
  <c r="N1195" i="1"/>
  <c r="O1195" i="1"/>
  <c r="M1196" i="1"/>
  <c r="Q1196" i="1" s="1"/>
  <c r="N1196" i="1"/>
  <c r="O119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3" i="1"/>
  <c r="E1189" i="1"/>
  <c r="P1191" i="1" l="1"/>
  <c r="Q430" i="1"/>
  <c r="P430" i="1"/>
  <c r="F412" i="1"/>
  <c r="Q412" i="1"/>
  <c r="F477" i="1"/>
  <c r="P477" i="1"/>
  <c r="P473" i="1"/>
  <c r="Q473" i="1"/>
  <c r="P435" i="1"/>
  <c r="P418" i="1"/>
  <c r="F418" i="1"/>
  <c r="P548" i="1"/>
  <c r="Q469" i="1"/>
  <c r="P469" i="1"/>
  <c r="Q548" i="1"/>
  <c r="P424" i="1"/>
  <c r="Q424" i="1"/>
  <c r="F459" i="1"/>
  <c r="F552" i="1"/>
  <c r="P481" i="1"/>
  <c r="P552" i="1"/>
  <c r="Q459" i="1"/>
  <c r="P431" i="1"/>
  <c r="F435" i="1"/>
  <c r="P411" i="1"/>
  <c r="P461" i="1"/>
  <c r="F518" i="1"/>
  <c r="Q436" i="1"/>
  <c r="Q163" i="1"/>
  <c r="P415" i="1"/>
  <c r="Q497" i="1"/>
  <c r="P464" i="1"/>
  <c r="Q411" i="1"/>
  <c r="F413" i="1"/>
  <c r="P163" i="1"/>
  <c r="Q515" i="1"/>
  <c r="F542" i="1"/>
  <c r="Q487" i="1"/>
  <c r="Q521" i="1"/>
  <c r="P436" i="1"/>
  <c r="Q413" i="1"/>
  <c r="F505" i="1"/>
  <c r="F543" i="1"/>
  <c r="P533" i="1"/>
  <c r="Q491" i="1"/>
  <c r="F462" i="1"/>
  <c r="P427" i="1"/>
  <c r="Q427" i="1"/>
  <c r="P434" i="1"/>
  <c r="Q530" i="1"/>
  <c r="P556" i="1"/>
  <c r="F490" i="1"/>
  <c r="Q421" i="1"/>
  <c r="P453" i="1"/>
  <c r="P414" i="1"/>
  <c r="Q155" i="1"/>
  <c r="Q438" i="1"/>
  <c r="Q460" i="1"/>
  <c r="F540" i="1"/>
  <c r="Q490" i="1"/>
  <c r="Q505" i="1"/>
  <c r="Q529" i="1"/>
  <c r="F437" i="1"/>
  <c r="P488" i="1"/>
  <c r="F449" i="1"/>
  <c r="F461" i="1"/>
  <c r="F494" i="1"/>
  <c r="Q440" i="1"/>
  <c r="Q441" i="1"/>
  <c r="P155" i="1"/>
  <c r="F423" i="1"/>
  <c r="F521" i="1"/>
  <c r="Q501" i="1"/>
  <c r="F160" i="1"/>
  <c r="P536" i="1"/>
  <c r="F498" i="1"/>
  <c r="P540" i="1"/>
  <c r="Q462" i="1"/>
  <c r="P421" i="1"/>
  <c r="Q498" i="1"/>
  <c r="Q442" i="1"/>
  <c r="P491" i="1"/>
  <c r="Q545" i="1"/>
  <c r="P555" i="1"/>
  <c r="P160" i="1"/>
  <c r="F417" i="1"/>
  <c r="F519" i="1"/>
  <c r="Q417" i="1"/>
  <c r="Q466" i="1"/>
  <c r="F407" i="1"/>
  <c r="Q437" i="1"/>
  <c r="Q408" i="1"/>
  <c r="F452" i="1"/>
  <c r="P474" i="1"/>
  <c r="Q420" i="1"/>
  <c r="P440" i="1"/>
  <c r="Q555" i="1"/>
  <c r="F438" i="1"/>
  <c r="F425" i="1"/>
  <c r="P455" i="1"/>
  <c r="F455" i="1"/>
  <c r="F483" i="1"/>
  <c r="F529" i="1"/>
  <c r="P443" i="1"/>
  <c r="Q493" i="1"/>
  <c r="F443" i="1"/>
  <c r="Q467" i="1"/>
  <c r="P500" i="1"/>
  <c r="F507" i="1"/>
  <c r="F434" i="1"/>
  <c r="F419" i="1"/>
  <c r="Q525" i="1"/>
  <c r="F465" i="1"/>
  <c r="Q500" i="1"/>
  <c r="P465" i="1"/>
  <c r="Q550" i="1"/>
  <c r="F514" i="1"/>
  <c r="P432" i="1"/>
  <c r="Q514" i="1"/>
  <c r="F534" i="1"/>
  <c r="F517" i="1"/>
  <c r="P444" i="1"/>
  <c r="Q472" i="1"/>
  <c r="F460" i="1"/>
  <c r="Q507" i="1"/>
  <c r="F414" i="1"/>
  <c r="Q519" i="1"/>
  <c r="P496" i="1"/>
  <c r="F550" i="1"/>
  <c r="F472" i="1"/>
  <c r="Q556" i="1"/>
  <c r="Q534" i="1"/>
  <c r="P497" i="1"/>
  <c r="Q444" i="1"/>
  <c r="F450" i="1"/>
  <c r="P425" i="1"/>
  <c r="Q449" i="1"/>
  <c r="P506" i="1"/>
  <c r="P458" i="1"/>
  <c r="P551" i="1"/>
  <c r="P423" i="1"/>
  <c r="F524" i="1"/>
  <c r="Q551" i="1"/>
  <c r="Q448" i="1"/>
  <c r="Q453" i="1"/>
  <c r="F458" i="1"/>
  <c r="F536" i="1"/>
  <c r="Q541" i="1"/>
  <c r="F409" i="1"/>
  <c r="F457" i="1"/>
  <c r="F506" i="1"/>
  <c r="P447" i="1"/>
  <c r="F433" i="1"/>
  <c r="Q512" i="1"/>
  <c r="F541" i="1"/>
  <c r="F553" i="1"/>
  <c r="Q463" i="1"/>
  <c r="P553" i="1"/>
  <c r="Q485" i="1"/>
  <c r="Q475" i="1"/>
  <c r="Q474" i="1"/>
  <c r="Q524" i="1"/>
  <c r="Q478" i="1"/>
  <c r="Q433" i="1"/>
  <c r="F501" i="1"/>
  <c r="F530" i="1"/>
  <c r="Q535" i="1"/>
  <c r="F441" i="1"/>
  <c r="F526" i="1"/>
  <c r="F546" i="1"/>
  <c r="P457" i="1"/>
  <c r="F547" i="1"/>
  <c r="Q409" i="1"/>
  <c r="P544" i="1"/>
  <c r="P516" i="1"/>
  <c r="P482" i="1"/>
  <c r="P546" i="1"/>
  <c r="F447" i="1"/>
  <c r="F445" i="1"/>
  <c r="P156" i="1"/>
  <c r="P408" i="1"/>
  <c r="Q470" i="1"/>
  <c r="Q502" i="1"/>
  <c r="Q544" i="1"/>
  <c r="P420" i="1"/>
  <c r="Q482" i="1"/>
  <c r="P504" i="1"/>
  <c r="Q547" i="1"/>
  <c r="F454" i="1"/>
  <c r="Q158" i="1"/>
  <c r="Q483" i="1"/>
  <c r="P487" i="1"/>
  <c r="F493" i="1"/>
  <c r="Q510" i="1"/>
  <c r="F495" i="1"/>
  <c r="Q415" i="1"/>
  <c r="Q454" i="1"/>
  <c r="F496" i="1"/>
  <c r="Q428" i="1"/>
  <c r="Q451" i="1"/>
  <c r="P158" i="1"/>
  <c r="F509" i="1"/>
  <c r="Q554" i="1"/>
  <c r="F525" i="1"/>
  <c r="P467" i="1"/>
  <c r="P515" i="1"/>
  <c r="P554" i="1"/>
  <c r="P456" i="1"/>
  <c r="Q511" i="1"/>
  <c r="Q527" i="1"/>
  <c r="Q481" i="1"/>
  <c r="P448" i="1"/>
  <c r="F533" i="1"/>
  <c r="P428" i="1"/>
  <c r="F471" i="1"/>
  <c r="Q517" i="1"/>
  <c r="Q471" i="1"/>
  <c r="F478" i="1"/>
  <c r="F502" i="1"/>
  <c r="F426" i="1"/>
  <c r="P446" i="1"/>
  <c r="P494" i="1"/>
  <c r="Q446" i="1"/>
  <c r="Q495" i="1"/>
  <c r="P476" i="1"/>
  <c r="P429" i="1"/>
  <c r="F431" i="1"/>
  <c r="Q464" i="1"/>
  <c r="F510" i="1"/>
  <c r="F162" i="1"/>
  <c r="Q456" i="1"/>
  <c r="Q407" i="1"/>
  <c r="Q445" i="1"/>
  <c r="P511" i="1"/>
  <c r="Q452" i="1"/>
  <c r="Q509" i="1"/>
  <c r="P512" i="1"/>
  <c r="P475" i="1"/>
  <c r="P159" i="1"/>
  <c r="Q492" i="1"/>
  <c r="Q419" i="1"/>
  <c r="Q526" i="1"/>
  <c r="Q504" i="1"/>
  <c r="Q450" i="1"/>
  <c r="P485" i="1"/>
  <c r="Q156" i="1"/>
  <c r="P535" i="1"/>
  <c r="Q518" i="1"/>
  <c r="Q476" i="1"/>
  <c r="Q405" i="1"/>
  <c r="F484" i="1"/>
  <c r="F538" i="1"/>
  <c r="P484" i="1"/>
  <c r="Q439" i="1"/>
  <c r="P542" i="1"/>
  <c r="Q432" i="1"/>
  <c r="P499" i="1"/>
  <c r="P406" i="1"/>
  <c r="Q402" i="1"/>
  <c r="Q499" i="1"/>
  <c r="Q513" i="1"/>
  <c r="P479" i="1"/>
  <c r="P527" i="1"/>
  <c r="P402" i="1"/>
  <c r="Q426" i="1"/>
  <c r="F479" i="1"/>
  <c r="Q523" i="1"/>
  <c r="F486" i="1"/>
  <c r="F159" i="1"/>
  <c r="F403" i="1"/>
  <c r="F410" i="1"/>
  <c r="P503" i="1"/>
  <c r="F531" i="1"/>
  <c r="Q516" i="1"/>
  <c r="Q486" i="1"/>
  <c r="F422" i="1"/>
  <c r="F503" i="1"/>
  <c r="F522" i="1"/>
  <c r="P403" i="1"/>
  <c r="P451" i="1"/>
  <c r="P410" i="1"/>
  <c r="Q531" i="1"/>
  <c r="F489" i="1"/>
  <c r="F513" i="1"/>
  <c r="P463" i="1"/>
  <c r="P422" i="1"/>
  <c r="P489" i="1"/>
  <c r="P549" i="1"/>
  <c r="F442" i="1"/>
  <c r="Q522" i="1"/>
  <c r="P470" i="1"/>
  <c r="F549" i="1"/>
  <c r="F466" i="1"/>
  <c r="Q406" i="1"/>
  <c r="P468" i="1"/>
  <c r="P439" i="1"/>
  <c r="Q488" i="1"/>
  <c r="F429" i="1"/>
  <c r="P545" i="1"/>
  <c r="P523" i="1"/>
  <c r="Q539" i="1"/>
  <c r="P539" i="1"/>
  <c r="P508" i="1"/>
  <c r="F508" i="1"/>
  <c r="P532" i="1"/>
  <c r="F532" i="1"/>
  <c r="Q480" i="1"/>
  <c r="P537" i="1"/>
  <c r="F537" i="1"/>
  <c r="Q468" i="1"/>
  <c r="P480" i="1"/>
  <c r="Q528" i="1"/>
  <c r="P520" i="1"/>
  <c r="F520" i="1"/>
  <c r="P492" i="1"/>
  <c r="P528" i="1"/>
  <c r="Q404" i="1"/>
  <c r="P404" i="1"/>
  <c r="Q538" i="1"/>
  <c r="Q543" i="1"/>
  <c r="P405" i="1"/>
  <c r="P161" i="1"/>
  <c r="Q161" i="1"/>
  <c r="P162" i="1"/>
  <c r="P165" i="1"/>
  <c r="Q165" i="1"/>
  <c r="F154" i="1"/>
  <c r="M1107" i="1"/>
  <c r="F1107" i="1" s="1"/>
  <c r="Q154" i="1"/>
  <c r="P167" i="1"/>
  <c r="Q167" i="1"/>
  <c r="F157" i="1"/>
  <c r="Q157" i="1"/>
  <c r="F166" i="1"/>
  <c r="P166" i="1"/>
  <c r="F164" i="1"/>
  <c r="Q164" i="1"/>
  <c r="P164" i="1"/>
  <c r="M190" i="1"/>
  <c r="F190" i="1" s="1"/>
  <c r="M397" i="1"/>
  <c r="P397" i="1" s="1"/>
  <c r="M334" i="1"/>
  <c r="P334" i="1" s="1"/>
  <c r="N310" i="1"/>
  <c r="M1135" i="1"/>
  <c r="F1135" i="1" s="1"/>
  <c r="N172" i="1"/>
  <c r="M292" i="1"/>
  <c r="F292" i="1" s="1"/>
  <c r="M1054" i="1"/>
  <c r="F1054" i="1" s="1"/>
  <c r="M1047" i="1"/>
  <c r="P1047" i="1" s="1"/>
  <c r="E172" i="1"/>
  <c r="O970" i="1"/>
  <c r="O285" i="1"/>
  <c r="O189" i="1"/>
  <c r="O381" i="1"/>
  <c r="O395" i="1"/>
  <c r="O371" i="1"/>
  <c r="O275" i="1"/>
  <c r="N194" i="1"/>
  <c r="O237" i="1"/>
  <c r="O1046" i="1"/>
  <c r="E310" i="1"/>
  <c r="O1050" i="1"/>
  <c r="O1145" i="1"/>
  <c r="M1065" i="1"/>
  <c r="Q1065" i="1" s="1"/>
  <c r="O1135" i="1"/>
  <c r="N329" i="1"/>
  <c r="M391" i="1"/>
  <c r="P391" i="1" s="1"/>
  <c r="M343" i="1"/>
  <c r="Q343" i="1" s="1"/>
  <c r="M271" i="1"/>
  <c r="F271" i="1" s="1"/>
  <c r="M223" i="1"/>
  <c r="Q223" i="1" s="1"/>
  <c r="M199" i="1"/>
  <c r="Q199" i="1" s="1"/>
  <c r="M1083" i="1"/>
  <c r="Q1083" i="1" s="1"/>
  <c r="M1071" i="1"/>
  <c r="F1071" i="1" s="1"/>
  <c r="O981" i="1"/>
  <c r="O977" i="1"/>
  <c r="O973" i="1"/>
  <c r="O1118" i="1"/>
  <c r="O1114" i="1"/>
  <c r="M1145" i="1"/>
  <c r="P1145" i="1" s="1"/>
  <c r="M1137" i="1"/>
  <c r="F1137" i="1" s="1"/>
  <c r="N1089" i="1"/>
  <c r="O1081" i="1"/>
  <c r="N1081" i="1"/>
  <c r="O319" i="1"/>
  <c r="N190" i="1"/>
  <c r="O1044" i="1"/>
  <c r="O1067" i="1"/>
  <c r="O1142" i="1"/>
  <c r="M1055" i="1"/>
  <c r="F1055" i="1" s="1"/>
  <c r="O1058" i="1"/>
  <c r="O1121" i="1"/>
  <c r="O999" i="1"/>
  <c r="O975" i="1"/>
  <c r="M1112" i="1"/>
  <c r="F1112" i="1" s="1"/>
  <c r="O1096" i="1"/>
  <c r="O1092" i="1"/>
  <c r="O1147" i="1"/>
  <c r="N919" i="1"/>
  <c r="M290" i="1"/>
  <c r="P290" i="1" s="1"/>
  <c r="M194" i="1"/>
  <c r="P194" i="1" s="1"/>
  <c r="O1107" i="1"/>
  <c r="O1099" i="1"/>
  <c r="M1131" i="1"/>
  <c r="Q1131" i="1" s="1"/>
  <c r="N1103" i="1"/>
  <c r="O1138" i="1"/>
  <c r="M1142" i="1"/>
  <c r="P1142" i="1" s="1"/>
  <c r="M1110" i="1"/>
  <c r="F1110" i="1" s="1"/>
  <c r="M1146" i="1"/>
  <c r="P1146" i="1" s="1"/>
  <c r="N1134" i="1"/>
  <c r="N1047" i="1"/>
  <c r="O1105" i="1"/>
  <c r="M1046" i="1"/>
  <c r="Q1046" i="1" s="1"/>
  <c r="N1065" i="1"/>
  <c r="M1129" i="1"/>
  <c r="Q1129" i="1" s="1"/>
  <c r="M1081" i="1"/>
  <c r="P1081" i="1" s="1"/>
  <c r="M1073" i="1"/>
  <c r="Q1073" i="1" s="1"/>
  <c r="M1069" i="1"/>
  <c r="P1069" i="1" s="1"/>
  <c r="N1057" i="1"/>
  <c r="O1132" i="1"/>
  <c r="O1128" i="1"/>
  <c r="M1057" i="1"/>
  <c r="F1057" i="1" s="1"/>
  <c r="M1119" i="1"/>
  <c r="F1119" i="1" s="1"/>
  <c r="M1150" i="1"/>
  <c r="P1150" i="1" s="1"/>
  <c r="M1103" i="1"/>
  <c r="F1103" i="1" s="1"/>
  <c r="M1099" i="1"/>
  <c r="F1099" i="1" s="1"/>
  <c r="N1118" i="1"/>
  <c r="M1063" i="1"/>
  <c r="P1063" i="1" s="1"/>
  <c r="M1059" i="1"/>
  <c r="Q1059" i="1" s="1"/>
  <c r="N1055" i="1"/>
  <c r="M1102" i="1"/>
  <c r="F1102" i="1" s="1"/>
  <c r="M1094" i="1"/>
  <c r="F1094" i="1" s="1"/>
  <c r="N1063" i="1"/>
  <c r="M1114" i="1"/>
  <c r="F1114" i="1" s="1"/>
  <c r="O1070" i="1"/>
  <c r="M1051" i="1"/>
  <c r="F1051" i="1" s="1"/>
  <c r="N1044" i="1"/>
  <c r="M1078" i="1"/>
  <c r="F1078" i="1" s="1"/>
  <c r="M1070" i="1"/>
  <c r="P1070" i="1" s="1"/>
  <c r="O1148" i="1"/>
  <c r="M1121" i="1"/>
  <c r="P1121" i="1" s="1"/>
  <c r="M1082" i="1"/>
  <c r="P1082" i="1" s="1"/>
  <c r="M1062" i="1"/>
  <c r="P1062" i="1" s="1"/>
  <c r="M1148" i="1"/>
  <c r="F1148" i="1" s="1"/>
  <c r="N1074" i="1"/>
  <c r="O1089" i="1"/>
  <c r="M1113" i="1"/>
  <c r="F1113" i="1" s="1"/>
  <c r="N286" i="1"/>
  <c r="M324" i="1"/>
  <c r="Q324" i="1" s="1"/>
  <c r="M228" i="1"/>
  <c r="P228" i="1" s="1"/>
  <c r="M1147" i="1"/>
  <c r="F1147" i="1" s="1"/>
  <c r="O1139" i="1"/>
  <c r="M1139" i="1"/>
  <c r="F1139" i="1" s="1"/>
  <c r="M1158" i="1"/>
  <c r="P1158" i="1" s="1"/>
  <c r="N1150" i="1"/>
  <c r="N1147" i="1"/>
  <c r="O1106" i="1"/>
  <c r="O1090" i="1"/>
  <c r="N1159" i="1"/>
  <c r="M1125" i="1"/>
  <c r="Q1125" i="1" s="1"/>
  <c r="O1143" i="1"/>
  <c r="O1162" i="1"/>
  <c r="O1154" i="1"/>
  <c r="O1150" i="1"/>
  <c r="M1124" i="1"/>
  <c r="F1124" i="1" s="1"/>
  <c r="M1089" i="1"/>
  <c r="P1089" i="1" s="1"/>
  <c r="M1085" i="1"/>
  <c r="Q1085" i="1" s="1"/>
  <c r="O1051" i="1"/>
  <c r="O1146" i="1"/>
  <c r="O1116" i="1"/>
  <c r="N1139" i="1"/>
  <c r="M1097" i="1"/>
  <c r="Q1097" i="1" s="1"/>
  <c r="M1161" i="1"/>
  <c r="Q1161" i="1" s="1"/>
  <c r="M1153" i="1"/>
  <c r="P1153" i="1" s="1"/>
  <c r="O1073" i="1"/>
  <c r="N1142" i="1"/>
  <c r="O1088" i="1"/>
  <c r="O1084" i="1"/>
  <c r="N1058" i="1"/>
  <c r="M1127" i="1"/>
  <c r="F1127" i="1" s="1"/>
  <c r="M1123" i="1"/>
  <c r="Q1123" i="1" s="1"/>
  <c r="O1164" i="1"/>
  <c r="O1160" i="1"/>
  <c r="O1156" i="1"/>
  <c r="O1061" i="1"/>
  <c r="M1156" i="1"/>
  <c r="F1156" i="1" s="1"/>
  <c r="O291" i="1"/>
  <c r="N234" i="1"/>
  <c r="O1076" i="1"/>
  <c r="O1068" i="1"/>
  <c r="O1057" i="1"/>
  <c r="O1134" i="1"/>
  <c r="O1130" i="1"/>
  <c r="O1126" i="1"/>
  <c r="O1122" i="1"/>
  <c r="O1095" i="1"/>
  <c r="O1087" i="1"/>
  <c r="O1083" i="1"/>
  <c r="M1053" i="1"/>
  <c r="F1053" i="1" s="1"/>
  <c r="O1159" i="1"/>
  <c r="O1155" i="1"/>
  <c r="O1151" i="1"/>
  <c r="M1144" i="1"/>
  <c r="P1144" i="1" s="1"/>
  <c r="M1141" i="1"/>
  <c r="P1141" i="1" s="1"/>
  <c r="M1118" i="1"/>
  <c r="F1118" i="1" s="1"/>
  <c r="O1049" i="1"/>
  <c r="M1163" i="1"/>
  <c r="F1163" i="1" s="1"/>
  <c r="M1159" i="1"/>
  <c r="P1159" i="1" s="1"/>
  <c r="O1110" i="1"/>
  <c r="M1157" i="1"/>
  <c r="F1157" i="1" s="1"/>
  <c r="O1123" i="1"/>
  <c r="O1102" i="1"/>
  <c r="M1052" i="1"/>
  <c r="F1052" i="1" s="1"/>
  <c r="O1062" i="1"/>
  <c r="O1153" i="1"/>
  <c r="M1134" i="1"/>
  <c r="P1134" i="1" s="1"/>
  <c r="N1127" i="1"/>
  <c r="O1119" i="1"/>
  <c r="O1055" i="1"/>
  <c r="M1098" i="1"/>
  <c r="P1098" i="1" s="1"/>
  <c r="O1065" i="1"/>
  <c r="M1143" i="1"/>
  <c r="F1143" i="1" s="1"/>
  <c r="M1140" i="1"/>
  <c r="F1140" i="1" s="1"/>
  <c r="N1115" i="1"/>
  <c r="M1105" i="1"/>
  <c r="F1105" i="1" s="1"/>
  <c r="M1090" i="1"/>
  <c r="P1090" i="1" s="1"/>
  <c r="M1087" i="1"/>
  <c r="F1087" i="1" s="1"/>
  <c r="M1044" i="1"/>
  <c r="F1044" i="1" s="1"/>
  <c r="O1115" i="1"/>
  <c r="O1097" i="1"/>
  <c r="O1079" i="1"/>
  <c r="M1072" i="1"/>
  <c r="F1072" i="1" s="1"/>
  <c r="M1061" i="1"/>
  <c r="P1061" i="1" s="1"/>
  <c r="N1143" i="1"/>
  <c r="O1129" i="1"/>
  <c r="M1126" i="1"/>
  <c r="P1126" i="1" s="1"/>
  <c r="M1115" i="1"/>
  <c r="P1115" i="1" s="1"/>
  <c r="M1111" i="1"/>
  <c r="F1111" i="1" s="1"/>
  <c r="M1093" i="1"/>
  <c r="F1093" i="1" s="1"/>
  <c r="O1086" i="1"/>
  <c r="M1079" i="1"/>
  <c r="F1079" i="1" s="1"/>
  <c r="O1054" i="1"/>
  <c r="M1086" i="1"/>
  <c r="Q1086" i="1" s="1"/>
  <c r="O1082" i="1"/>
  <c r="O1075" i="1"/>
  <c r="M1136" i="1"/>
  <c r="Q1136" i="1" s="1"/>
  <c r="M1075" i="1"/>
  <c r="P1075" i="1" s="1"/>
  <c r="O1047" i="1"/>
  <c r="O1060" i="1"/>
  <c r="M1092" i="1"/>
  <c r="P1092" i="1" s="1"/>
  <c r="O1078" i="1"/>
  <c r="M1067" i="1"/>
  <c r="P1067" i="1" s="1"/>
  <c r="O1053" i="1"/>
  <c r="M1155" i="1"/>
  <c r="Q1155" i="1" s="1"/>
  <c r="O1103" i="1"/>
  <c r="O1074" i="1"/>
  <c r="N1071" i="1"/>
  <c r="M1050" i="1"/>
  <c r="Q1050" i="1" s="1"/>
  <c r="O1161" i="1"/>
  <c r="N1131" i="1"/>
  <c r="O1131" i="1"/>
  <c r="O1113" i="1"/>
  <c r="O1066" i="1"/>
  <c r="N1049" i="1"/>
  <c r="M1151" i="1"/>
  <c r="Q1151" i="1" s="1"/>
  <c r="O1127" i="1"/>
  <c r="M1095" i="1"/>
  <c r="F1095" i="1" s="1"/>
  <c r="M1091" i="1"/>
  <c r="P1091" i="1" s="1"/>
  <c r="M1154" i="1"/>
  <c r="F1154" i="1" s="1"/>
  <c r="E1103" i="1"/>
  <c r="M1077" i="1"/>
  <c r="P1077" i="1" s="1"/>
  <c r="O1052" i="1"/>
  <c r="M1049" i="1"/>
  <c r="Q1049" i="1" s="1"/>
  <c r="M267" i="1"/>
  <c r="Q267" i="1" s="1"/>
  <c r="M1164" i="1"/>
  <c r="Q1164" i="1" s="1"/>
  <c r="O1144" i="1"/>
  <c r="N1066" i="1"/>
  <c r="O1045" i="1"/>
  <c r="O1094" i="1"/>
  <c r="N1046" i="1"/>
  <c r="N1163" i="1"/>
  <c r="M1149" i="1"/>
  <c r="Q1149" i="1" s="1"/>
  <c r="O1140" i="1"/>
  <c r="O1137" i="1"/>
  <c r="N1094" i="1"/>
  <c r="M1117" i="1"/>
  <c r="Q1117" i="1" s="1"/>
  <c r="O1108" i="1"/>
  <c r="M1080" i="1"/>
  <c r="P1080" i="1" s="1"/>
  <c r="M1064" i="1"/>
  <c r="P1064" i="1" s="1"/>
  <c r="M1160" i="1"/>
  <c r="Q1160" i="1" s="1"/>
  <c r="N1111" i="1"/>
  <c r="M1108" i="1"/>
  <c r="P1108" i="1" s="1"/>
  <c r="N1099" i="1"/>
  <c r="M1056" i="1"/>
  <c r="Q1056" i="1" s="1"/>
  <c r="M1088" i="1"/>
  <c r="Q1088" i="1" s="1"/>
  <c r="O1069" i="1"/>
  <c r="M1048" i="1"/>
  <c r="Q1048" i="1" s="1"/>
  <c r="M1128" i="1"/>
  <c r="P1128" i="1" s="1"/>
  <c r="N1102" i="1"/>
  <c r="O1077" i="1"/>
  <c r="N1151" i="1"/>
  <c r="M1096" i="1"/>
  <c r="P1096" i="1" s="1"/>
  <c r="O1071" i="1"/>
  <c r="O1063" i="1"/>
  <c r="N1119" i="1"/>
  <c r="M1116" i="1"/>
  <c r="P1116" i="1" s="1"/>
  <c r="N1107" i="1"/>
  <c r="N1082" i="1"/>
  <c r="M1074" i="1"/>
  <c r="Q1074" i="1" s="1"/>
  <c r="M1066" i="1"/>
  <c r="Q1066" i="1" s="1"/>
  <c r="M1045" i="1"/>
  <c r="P1045" i="1" s="1"/>
  <c r="M1122" i="1"/>
  <c r="P1122" i="1" s="1"/>
  <c r="N1110" i="1"/>
  <c r="M1104" i="1"/>
  <c r="P1104" i="1" s="1"/>
  <c r="O1098" i="1"/>
  <c r="M1058" i="1"/>
  <c r="Q1058" i="1" s="1"/>
  <c r="N1050" i="1"/>
  <c r="M1133" i="1"/>
  <c r="Q1133" i="1" s="1"/>
  <c r="E1119" i="1"/>
  <c r="N1079" i="1"/>
  <c r="M1076" i="1"/>
  <c r="F1076" i="1" s="1"/>
  <c r="M1068" i="1"/>
  <c r="P1068" i="1" s="1"/>
  <c r="E1058" i="1"/>
  <c r="O1124" i="1"/>
  <c r="M1101" i="1"/>
  <c r="Q1101" i="1" s="1"/>
  <c r="N1087" i="1"/>
  <c r="M1084" i="1"/>
  <c r="Q1084" i="1" s="1"/>
  <c r="N1073" i="1"/>
  <c r="M1060" i="1"/>
  <c r="F1060" i="1" s="1"/>
  <c r="E1071" i="1"/>
  <c r="N1095" i="1"/>
  <c r="E1063" i="1"/>
  <c r="N1155" i="1"/>
  <c r="E1127" i="1"/>
  <c r="E1087" i="1"/>
  <c r="E1055" i="1"/>
  <c r="N1052" i="1"/>
  <c r="E1159" i="1"/>
  <c r="O1158" i="1"/>
  <c r="N1135" i="1"/>
  <c r="M1132" i="1"/>
  <c r="Q1132" i="1" s="1"/>
  <c r="M1109" i="1"/>
  <c r="P1109" i="1" s="1"/>
  <c r="O1100" i="1"/>
  <c r="N1075" i="1"/>
  <c r="N1070" i="1"/>
  <c r="N1067" i="1"/>
  <c r="E1047" i="1"/>
  <c r="M1162" i="1"/>
  <c r="F1162" i="1" s="1"/>
  <c r="N1158" i="1"/>
  <c r="M1152" i="1"/>
  <c r="Q1152" i="1" s="1"/>
  <c r="M1138" i="1"/>
  <c r="Q1138" i="1" s="1"/>
  <c r="N1123" i="1"/>
  <c r="M1100" i="1"/>
  <c r="P1100" i="1" s="1"/>
  <c r="E1095" i="1"/>
  <c r="N1083" i="1"/>
  <c r="N1078" i="1"/>
  <c r="O1059" i="1"/>
  <c r="M1130" i="1"/>
  <c r="P1130" i="1" s="1"/>
  <c r="O1111" i="1"/>
  <c r="M1106" i="1"/>
  <c r="F1106" i="1" s="1"/>
  <c r="O1091" i="1"/>
  <c r="N1062" i="1"/>
  <c r="N1059" i="1"/>
  <c r="O1163" i="1"/>
  <c r="N1126" i="1"/>
  <c r="M1120" i="1"/>
  <c r="F1120" i="1" s="1"/>
  <c r="N1091" i="1"/>
  <c r="N1086" i="1"/>
  <c r="N1054" i="1"/>
  <c r="N1051" i="1"/>
  <c r="O1109" i="1"/>
  <c r="N1093" i="1"/>
  <c r="E1093" i="1"/>
  <c r="N1090" i="1"/>
  <c r="E1090" i="1"/>
  <c r="N1077" i="1"/>
  <c r="E1077" i="1"/>
  <c r="N1069" i="1"/>
  <c r="E1069" i="1"/>
  <c r="O1048" i="1"/>
  <c r="O1136" i="1"/>
  <c r="N1101" i="1"/>
  <c r="E1101" i="1"/>
  <c r="N1098" i="1"/>
  <c r="E1098" i="1"/>
  <c r="N1085" i="1"/>
  <c r="E1085" i="1"/>
  <c r="O1117" i="1"/>
  <c r="O1125" i="1"/>
  <c r="O1152" i="1"/>
  <c r="N1117" i="1"/>
  <c r="E1117" i="1"/>
  <c r="E1114" i="1"/>
  <c r="N1114" i="1"/>
  <c r="E1122" i="1"/>
  <c r="N1122" i="1"/>
  <c r="O1141" i="1"/>
  <c r="N1061" i="1"/>
  <c r="E1061" i="1"/>
  <c r="N1133" i="1"/>
  <c r="E1133" i="1"/>
  <c r="N1130" i="1"/>
  <c r="E1130" i="1"/>
  <c r="N1045" i="1"/>
  <c r="E1045" i="1"/>
  <c r="O1149" i="1"/>
  <c r="O1133" i="1"/>
  <c r="N1141" i="1"/>
  <c r="E1141" i="1"/>
  <c r="E1138" i="1"/>
  <c r="N1138" i="1"/>
  <c r="O1101" i="1"/>
  <c r="N1106" i="1"/>
  <c r="E1106" i="1"/>
  <c r="O1157" i="1"/>
  <c r="O1165" i="1"/>
  <c r="M1165" i="1"/>
  <c r="P1165" i="1" s="1"/>
  <c r="N1157" i="1"/>
  <c r="E1157" i="1"/>
  <c r="N1154" i="1"/>
  <c r="E1154" i="1"/>
  <c r="O1080" i="1"/>
  <c r="O1072" i="1"/>
  <c r="N1165" i="1"/>
  <c r="E1165" i="1"/>
  <c r="E1162" i="1"/>
  <c r="N1162" i="1"/>
  <c r="O1104" i="1"/>
  <c r="N1109" i="1"/>
  <c r="E1109" i="1"/>
  <c r="N1053" i="1"/>
  <c r="E1053" i="1"/>
  <c r="N1125" i="1"/>
  <c r="E1125" i="1"/>
  <c r="O1064" i="1"/>
  <c r="N1149" i="1"/>
  <c r="E1149" i="1"/>
  <c r="O1112" i="1"/>
  <c r="O1085" i="1"/>
  <c r="N1146" i="1"/>
  <c r="E1146" i="1"/>
  <c r="O1120" i="1"/>
  <c r="O1093" i="1"/>
  <c r="O1056" i="1"/>
  <c r="N1160" i="1"/>
  <c r="N1152" i="1"/>
  <c r="N1144" i="1"/>
  <c r="N1136" i="1"/>
  <c r="N1128" i="1"/>
  <c r="N1120" i="1"/>
  <c r="N1112" i="1"/>
  <c r="N1104" i="1"/>
  <c r="N1096" i="1"/>
  <c r="N1088" i="1"/>
  <c r="N1080" i="1"/>
  <c r="N1072" i="1"/>
  <c r="N1064" i="1"/>
  <c r="N1056" i="1"/>
  <c r="N1048" i="1"/>
  <c r="N1161" i="1"/>
  <c r="N1153" i="1"/>
  <c r="N1145" i="1"/>
  <c r="N1137" i="1"/>
  <c r="N1113" i="1"/>
  <c r="N1105" i="1"/>
  <c r="N1129" i="1"/>
  <c r="N1121" i="1"/>
  <c r="N1097" i="1"/>
  <c r="E1160" i="1"/>
  <c r="E1152" i="1"/>
  <c r="E1144" i="1"/>
  <c r="E1136" i="1"/>
  <c r="E1128" i="1"/>
  <c r="E1120" i="1"/>
  <c r="E1112" i="1"/>
  <c r="E1104" i="1"/>
  <c r="E1096" i="1"/>
  <c r="E1088" i="1"/>
  <c r="E1080" i="1"/>
  <c r="E1072" i="1"/>
  <c r="E1064" i="1"/>
  <c r="E1056" i="1"/>
  <c r="E1048" i="1"/>
  <c r="E1082" i="1"/>
  <c r="E1074" i="1"/>
  <c r="N1164" i="1"/>
  <c r="N1156" i="1"/>
  <c r="N1148" i="1"/>
  <c r="N1140" i="1"/>
  <c r="N1132" i="1"/>
  <c r="N1124" i="1"/>
  <c r="N1116" i="1"/>
  <c r="N1108" i="1"/>
  <c r="N1100" i="1"/>
  <c r="N1092" i="1"/>
  <c r="N1084" i="1"/>
  <c r="N1076" i="1"/>
  <c r="N1068" i="1"/>
  <c r="N1060" i="1"/>
  <c r="N262" i="1"/>
  <c r="O223" i="1"/>
  <c r="N388" i="1"/>
  <c r="O918" i="1"/>
  <c r="M925" i="1"/>
  <c r="P925" i="1" s="1"/>
  <c r="M870" i="1"/>
  <c r="Q870" i="1" s="1"/>
  <c r="M864" i="1"/>
  <c r="P864" i="1" s="1"/>
  <c r="M884" i="1"/>
  <c r="F884" i="1" s="1"/>
  <c r="O840" i="1"/>
  <c r="O853" i="1"/>
  <c r="M824" i="1"/>
  <c r="Q824" i="1" s="1"/>
  <c r="M816" i="1"/>
  <c r="P816" i="1" s="1"/>
  <c r="M849" i="1"/>
  <c r="F849" i="1" s="1"/>
  <c r="M871" i="1"/>
  <c r="Q871" i="1" s="1"/>
  <c r="M867" i="1"/>
  <c r="Q867" i="1" s="1"/>
  <c r="M857" i="1"/>
  <c r="P857" i="1" s="1"/>
  <c r="M752" i="1"/>
  <c r="Q752" i="1" s="1"/>
  <c r="M805" i="1"/>
  <c r="Q805" i="1" s="1"/>
  <c r="M837" i="1"/>
  <c r="P837" i="1" s="1"/>
  <c r="M793" i="1"/>
  <c r="F793" i="1" s="1"/>
  <c r="M803" i="1"/>
  <c r="P803" i="1" s="1"/>
  <c r="M736" i="1"/>
  <c r="F736" i="1" s="1"/>
  <c r="O883" i="1"/>
  <c r="O860" i="1"/>
  <c r="M765" i="1"/>
  <c r="F765" i="1" s="1"/>
  <c r="N889" i="1"/>
  <c r="M814" i="1"/>
  <c r="F814" i="1" s="1"/>
  <c r="O889" i="1"/>
  <c r="M845" i="1"/>
  <c r="F845" i="1" s="1"/>
  <c r="M833" i="1"/>
  <c r="P833" i="1" s="1"/>
  <c r="N814" i="1"/>
  <c r="M888" i="1"/>
  <c r="P888" i="1" s="1"/>
  <c r="M822" i="1"/>
  <c r="P822" i="1" s="1"/>
  <c r="M740" i="1"/>
  <c r="F740" i="1" s="1"/>
  <c r="N393" i="1"/>
  <c r="M877" i="1"/>
  <c r="P877" i="1" s="1"/>
  <c r="M855" i="1"/>
  <c r="Q855" i="1" s="1"/>
  <c r="M827" i="1"/>
  <c r="Q827" i="1" s="1"/>
  <c r="M820" i="1"/>
  <c r="P820" i="1" s="1"/>
  <c r="M802" i="1"/>
  <c r="P802" i="1" s="1"/>
  <c r="M875" i="1"/>
  <c r="Q875" i="1" s="1"/>
  <c r="N291" i="1"/>
  <c r="M869" i="1"/>
  <c r="P869" i="1" s="1"/>
  <c r="M807" i="1"/>
  <c r="Q807" i="1" s="1"/>
  <c r="M862" i="1"/>
  <c r="F862" i="1" s="1"/>
  <c r="M762" i="1"/>
  <c r="F762" i="1" s="1"/>
  <c r="M825" i="1"/>
  <c r="Q825" i="1" s="1"/>
  <c r="M800" i="1"/>
  <c r="Q800" i="1" s="1"/>
  <c r="M727" i="1"/>
  <c r="Q727" i="1" s="1"/>
  <c r="E849" i="1"/>
  <c r="N837" i="1"/>
  <c r="O818" i="1"/>
  <c r="M873" i="1"/>
  <c r="P873" i="1" s="1"/>
  <c r="M868" i="1"/>
  <c r="P868" i="1" s="1"/>
  <c r="O837" i="1"/>
  <c r="M726" i="1"/>
  <c r="P726" i="1" s="1"/>
  <c r="E888" i="1"/>
  <c r="M880" i="1"/>
  <c r="P880" i="1" s="1"/>
  <c r="E822" i="1"/>
  <c r="E740" i="1"/>
  <c r="E726" i="1"/>
  <c r="N726" i="1"/>
  <c r="O726" i="1"/>
  <c r="E727" i="1"/>
  <c r="N727" i="1"/>
  <c r="O727" i="1"/>
  <c r="E736" i="1"/>
  <c r="N736" i="1"/>
  <c r="O736" i="1"/>
  <c r="N740" i="1"/>
  <c r="O740" i="1"/>
  <c r="E752" i="1"/>
  <c r="N752" i="1"/>
  <c r="O752" i="1"/>
  <c r="N762" i="1"/>
  <c r="O762" i="1"/>
  <c r="E765" i="1"/>
  <c r="N765" i="1"/>
  <c r="O765" i="1"/>
  <c r="N793" i="1"/>
  <c r="O793" i="1"/>
  <c r="E800" i="1"/>
  <c r="N800" i="1"/>
  <c r="O800" i="1"/>
  <c r="E802" i="1"/>
  <c r="N802" i="1"/>
  <c r="O802" i="1"/>
  <c r="E803" i="1"/>
  <c r="N803" i="1"/>
  <c r="O803" i="1"/>
  <c r="N805" i="1"/>
  <c r="O805" i="1"/>
  <c r="E807" i="1"/>
  <c r="N807" i="1"/>
  <c r="O807" i="1"/>
  <c r="O814" i="1"/>
  <c r="E816" i="1"/>
  <c r="N816" i="1"/>
  <c r="O816" i="1"/>
  <c r="E818" i="1"/>
  <c r="M818" i="1"/>
  <c r="P818" i="1" s="1"/>
  <c r="N818" i="1"/>
  <c r="E820" i="1"/>
  <c r="N820" i="1"/>
  <c r="O820" i="1"/>
  <c r="N822" i="1"/>
  <c r="O822" i="1"/>
  <c r="E824" i="1"/>
  <c r="N824" i="1"/>
  <c r="O824" i="1"/>
  <c r="E825" i="1"/>
  <c r="N825" i="1"/>
  <c r="O825" i="1"/>
  <c r="E827" i="1"/>
  <c r="N827" i="1"/>
  <c r="O827" i="1"/>
  <c r="E833" i="1"/>
  <c r="N833" i="1"/>
  <c r="O833" i="1"/>
  <c r="E840" i="1"/>
  <c r="M840" i="1"/>
  <c r="P840" i="1" s="1"/>
  <c r="N840" i="1"/>
  <c r="N845" i="1"/>
  <c r="O845" i="1"/>
  <c r="N849" i="1"/>
  <c r="O849" i="1"/>
  <c r="E853" i="1"/>
  <c r="M853" i="1"/>
  <c r="P853" i="1" s="1"/>
  <c r="N853" i="1"/>
  <c r="E855" i="1"/>
  <c r="O855" i="1"/>
  <c r="N855" i="1"/>
  <c r="E857" i="1"/>
  <c r="N857" i="1"/>
  <c r="O857" i="1"/>
  <c r="E860" i="1"/>
  <c r="M860" i="1"/>
  <c r="P860" i="1" s="1"/>
  <c r="N860" i="1"/>
  <c r="N862" i="1"/>
  <c r="O862" i="1"/>
  <c r="E864" i="1"/>
  <c r="N864" i="1"/>
  <c r="O864" i="1"/>
  <c r="E867" i="1"/>
  <c r="N867" i="1"/>
  <c r="O867" i="1"/>
  <c r="E868" i="1"/>
  <c r="N868" i="1"/>
  <c r="O868" i="1"/>
  <c r="E869" i="1"/>
  <c r="N869" i="1"/>
  <c r="O869" i="1"/>
  <c r="E870" i="1"/>
  <c r="N870" i="1"/>
  <c r="O870" i="1"/>
  <c r="E871" i="1"/>
  <c r="N871" i="1"/>
  <c r="O871" i="1"/>
  <c r="E873" i="1"/>
  <c r="N873" i="1"/>
  <c r="O873" i="1"/>
  <c r="E875" i="1"/>
  <c r="N875" i="1"/>
  <c r="O875" i="1"/>
  <c r="E877" i="1"/>
  <c r="N877" i="1"/>
  <c r="O877" i="1"/>
  <c r="E880" i="1"/>
  <c r="N880" i="1"/>
  <c r="O880" i="1"/>
  <c r="E883" i="1"/>
  <c r="M883" i="1"/>
  <c r="P883" i="1" s="1"/>
  <c r="N883" i="1"/>
  <c r="E884" i="1"/>
  <c r="N884" i="1"/>
  <c r="O884" i="1"/>
  <c r="N888" i="1"/>
  <c r="O888" i="1"/>
  <c r="M889" i="1"/>
  <c r="F889" i="1" s="1"/>
  <c r="O865" i="1"/>
  <c r="O367" i="1"/>
  <c r="N957" i="1"/>
  <c r="M957" i="1"/>
  <c r="Q957" i="1" s="1"/>
  <c r="O936" i="1"/>
  <c r="M913" i="1"/>
  <c r="F913" i="1" s="1"/>
  <c r="N913" i="1"/>
  <c r="O913" i="1"/>
  <c r="E918" i="1"/>
  <c r="M918" i="1"/>
  <c r="F918" i="1" s="1"/>
  <c r="N918" i="1"/>
  <c r="E925" i="1"/>
  <c r="N925" i="1"/>
  <c r="O925" i="1"/>
  <c r="M936" i="1"/>
  <c r="P936" i="1" s="1"/>
  <c r="N936" i="1"/>
  <c r="E957" i="1"/>
  <c r="O957" i="1"/>
  <c r="N271" i="1"/>
  <c r="M998" i="1"/>
  <c r="F998" i="1" s="1"/>
  <c r="M842" i="1"/>
  <c r="F842" i="1" s="1"/>
  <c r="M838" i="1"/>
  <c r="P838" i="1" s="1"/>
  <c r="M790" i="1"/>
  <c r="F790" i="1" s="1"/>
  <c r="N998" i="1"/>
  <c r="N990" i="1"/>
  <c r="O776" i="1"/>
  <c r="E194" i="1"/>
  <c r="O397" i="1"/>
  <c r="N292" i="1"/>
  <c r="O262" i="1"/>
  <c r="N368" i="1"/>
  <c r="N223" i="1"/>
  <c r="M242" i="1"/>
  <c r="F242" i="1" s="1"/>
  <c r="O400" i="1"/>
  <c r="N391" i="1"/>
  <c r="O376" i="1"/>
  <c r="O352" i="1"/>
  <c r="N343" i="1"/>
  <c r="N295" i="1"/>
  <c r="O184" i="1"/>
  <c r="N175" i="1"/>
  <c r="N290" i="1"/>
  <c r="M963" i="1"/>
  <c r="P963" i="1" s="1"/>
  <c r="M959" i="1"/>
  <c r="P959" i="1" s="1"/>
  <c r="O854" i="1"/>
  <c r="O972" i="1"/>
  <c r="M956" i="1"/>
  <c r="Q956" i="1" s="1"/>
  <c r="N1000" i="1"/>
  <c r="M319" i="1"/>
  <c r="P319" i="1" s="1"/>
  <c r="M247" i="1"/>
  <c r="F247" i="1" s="1"/>
  <c r="N851" i="1"/>
  <c r="N843" i="1"/>
  <c r="O242" i="1"/>
  <c r="M1021" i="1"/>
  <c r="Q1021" i="1" s="1"/>
  <c r="N1178" i="1"/>
  <c r="N1025" i="1"/>
  <c r="M890" i="1"/>
  <c r="Q890" i="1" s="1"/>
  <c r="M989" i="1"/>
  <c r="F989" i="1" s="1"/>
  <c r="N199" i="1"/>
  <c r="M821" i="1"/>
  <c r="Q821" i="1" s="1"/>
  <c r="M797" i="1"/>
  <c r="F797" i="1" s="1"/>
  <c r="E391" i="1"/>
  <c r="O378" i="1"/>
  <c r="O306" i="1"/>
  <c r="O282" i="1"/>
  <c r="O258" i="1"/>
  <c r="O234" i="1"/>
  <c r="O186" i="1"/>
  <c r="N177" i="1"/>
  <c r="O1035" i="1"/>
  <c r="O1015" i="1"/>
  <c r="O1011" i="1"/>
  <c r="M234" i="1"/>
  <c r="Q234" i="1" s="1"/>
  <c r="N170" i="1"/>
  <c r="N1019" i="1"/>
  <c r="N896" i="1"/>
  <c r="O943" i="1"/>
  <c r="M305" i="1"/>
  <c r="F305" i="1" s="1"/>
  <c r="M987" i="1"/>
  <c r="Q987" i="1" s="1"/>
  <c r="M396" i="1"/>
  <c r="P396" i="1" s="1"/>
  <c r="M372" i="1"/>
  <c r="P372" i="1" s="1"/>
  <c r="N339" i="1"/>
  <c r="O295" i="1"/>
  <c r="N903" i="1"/>
  <c r="M843" i="1"/>
  <c r="P843" i="1" s="1"/>
  <c r="O965" i="1"/>
  <c r="M1016" i="1"/>
  <c r="P1016" i="1" s="1"/>
  <c r="O933" i="1"/>
  <c r="M778" i="1"/>
  <c r="Q778" i="1" s="1"/>
  <c r="M904" i="1"/>
  <c r="P904" i="1" s="1"/>
  <c r="O964" i="1"/>
  <c r="N316" i="1"/>
  <c r="M244" i="1"/>
  <c r="F244" i="1" s="1"/>
  <c r="N196" i="1"/>
  <c r="E177" i="1"/>
  <c r="N1015" i="1"/>
  <c r="O1034" i="1"/>
  <c r="O1030" i="1"/>
  <c r="O1022" i="1"/>
  <c r="O396" i="1"/>
  <c r="O252" i="1"/>
  <c r="O951" i="1"/>
  <c r="N340" i="1"/>
  <c r="M295" i="1"/>
  <c r="Q295" i="1" s="1"/>
  <c r="M262" i="1"/>
  <c r="P262" i="1" s="1"/>
  <c r="N401" i="1"/>
  <c r="O386" i="1"/>
  <c r="N377" i="1"/>
  <c r="N353" i="1"/>
  <c r="O338" i="1"/>
  <c r="O314" i="1"/>
  <c r="N305" i="1"/>
  <c r="O290" i="1"/>
  <c r="N281" i="1"/>
  <c r="M266" i="1"/>
  <c r="F266" i="1" s="1"/>
  <c r="N233" i="1"/>
  <c r="O218" i="1"/>
  <c r="O194" i="1"/>
  <c r="M170" i="1"/>
  <c r="Q170" i="1" s="1"/>
  <c r="O1033" i="1"/>
  <c r="N887" i="1"/>
  <c r="O839" i="1"/>
  <c r="O835" i="1"/>
  <c r="N249" i="1"/>
  <c r="N247" i="1"/>
  <c r="O819" i="1"/>
  <c r="N319" i="1"/>
  <c r="N369" i="1"/>
  <c r="N273" i="1"/>
  <c r="N314" i="1"/>
  <c r="N243" i="1"/>
  <c r="M914" i="1"/>
  <c r="Q914" i="1" s="1"/>
  <c r="O349" i="1"/>
  <c r="N321" i="1"/>
  <c r="N220" i="1"/>
  <c r="O199" i="1"/>
  <c r="N324" i="1"/>
  <c r="O368" i="1"/>
  <c r="O339" i="1"/>
  <c r="O320" i="1"/>
  <c r="O272" i="1"/>
  <c r="E175" i="1"/>
  <c r="M348" i="1"/>
  <c r="Q348" i="1" s="1"/>
  <c r="M204" i="1"/>
  <c r="P204" i="1" s="1"/>
  <c r="O362" i="1"/>
  <c r="N257" i="1"/>
  <c r="N396" i="1"/>
  <c r="O357" i="1"/>
  <c r="O333" i="1"/>
  <c r="O309" i="1"/>
  <c r="N276" i="1"/>
  <c r="O261" i="1"/>
  <c r="N252" i="1"/>
  <c r="O213" i="1"/>
  <c r="M209" i="1"/>
  <c r="P209" i="1" s="1"/>
  <c r="M185" i="1"/>
  <c r="F185" i="1" s="1"/>
  <c r="O347" i="1"/>
  <c r="N266" i="1"/>
  <c r="N242" i="1"/>
  <c r="O203" i="1"/>
  <c r="E343" i="1"/>
  <c r="O917" i="1"/>
  <c r="O909" i="1"/>
  <c r="M901" i="1"/>
  <c r="P901" i="1" s="1"/>
  <c r="N1003" i="1"/>
  <c r="M929" i="1"/>
  <c r="F929" i="1" s="1"/>
  <c r="O826" i="1"/>
  <c r="M252" i="1"/>
  <c r="P252" i="1" s="1"/>
  <c r="O944" i="1"/>
  <c r="N854" i="1"/>
  <c r="M1022" i="1"/>
  <c r="Q1022" i="1" s="1"/>
  <c r="M979" i="1"/>
  <c r="Q979" i="1" s="1"/>
  <c r="M975" i="1"/>
  <c r="Q975" i="1" s="1"/>
  <c r="N885" i="1"/>
  <c r="M826" i="1"/>
  <c r="Q826" i="1" s="1"/>
  <c r="N810" i="1"/>
  <c r="M722" i="1"/>
  <c r="F722" i="1" s="1"/>
  <c r="N228" i="1"/>
  <c r="N180" i="1"/>
  <c r="O174" i="1"/>
  <c r="N975" i="1"/>
  <c r="M967" i="1"/>
  <c r="P967" i="1" s="1"/>
  <c r="N185" i="1"/>
  <c r="O170" i="1"/>
  <c r="N372" i="1"/>
  <c r="M777" i="1"/>
  <c r="Q777" i="1" s="1"/>
  <c r="M314" i="1"/>
  <c r="P314" i="1" s="1"/>
  <c r="E396" i="1"/>
  <c r="O305" i="1"/>
  <c r="O1036" i="1"/>
  <c r="O1032" i="1"/>
  <c r="M993" i="1"/>
  <c r="F993" i="1" s="1"/>
  <c r="M970" i="1"/>
  <c r="F970" i="1" s="1"/>
  <c r="M951" i="1"/>
  <c r="P951" i="1" s="1"/>
  <c r="O931" i="1"/>
  <c r="M903" i="1"/>
  <c r="F903" i="1" s="1"/>
  <c r="N821" i="1"/>
  <c r="N219" i="1"/>
  <c r="M966" i="1"/>
  <c r="P966" i="1" s="1"/>
  <c r="O958" i="1"/>
  <c r="O887" i="1"/>
  <c r="O266" i="1"/>
  <c r="E276" i="1"/>
  <c r="N300" i="1"/>
  <c r="O297" i="1"/>
  <c r="O1012" i="1"/>
  <c r="N966" i="1"/>
  <c r="O950" i="1"/>
  <c r="N856" i="1"/>
  <c r="M828" i="1"/>
  <c r="P828" i="1" s="1"/>
  <c r="N348" i="1"/>
  <c r="N204" i="1"/>
  <c r="M340" i="1"/>
  <c r="F340" i="1" s="1"/>
  <c r="M220" i="1"/>
  <c r="F220" i="1" s="1"/>
  <c r="M1024" i="1"/>
  <c r="P1024" i="1" s="1"/>
  <c r="O744" i="1"/>
  <c r="O720" i="1"/>
  <c r="O716" i="1"/>
  <c r="M1166" i="1"/>
  <c r="Q1166" i="1" s="1"/>
  <c r="M992" i="1"/>
  <c r="F992" i="1" s="1"/>
  <c r="M934" i="1"/>
  <c r="F934" i="1" s="1"/>
  <c r="O926" i="1"/>
  <c r="M902" i="1"/>
  <c r="Q902" i="1" s="1"/>
  <c r="E252" i="1"/>
  <c r="N973" i="1"/>
  <c r="N732" i="1"/>
  <c r="M387" i="1"/>
  <c r="F387" i="1" s="1"/>
  <c r="M339" i="1"/>
  <c r="Q339" i="1" s="1"/>
  <c r="M219" i="1"/>
  <c r="F219" i="1" s="1"/>
  <c r="N1027" i="1"/>
  <c r="M1015" i="1"/>
  <c r="P1015" i="1" s="1"/>
  <c r="M1011" i="1"/>
  <c r="F1011" i="1" s="1"/>
  <c r="N930" i="1"/>
  <c r="M910" i="1"/>
  <c r="P910" i="1" s="1"/>
  <c r="M382" i="1"/>
  <c r="P382" i="1" s="1"/>
  <c r="M373" i="1"/>
  <c r="P373" i="1" s="1"/>
  <c r="M310" i="1"/>
  <c r="P310" i="1" s="1"/>
  <c r="O281" i="1"/>
  <c r="O905" i="1"/>
  <c r="O901" i="1"/>
  <c r="O858" i="1"/>
  <c r="O723" i="1"/>
  <c r="O730" i="1"/>
  <c r="M741" i="1"/>
  <c r="P741" i="1" s="1"/>
  <c r="M729" i="1"/>
  <c r="F729" i="1" s="1"/>
  <c r="N751" i="1"/>
  <c r="N742" i="1"/>
  <c r="N770" i="1"/>
  <c r="M742" i="1"/>
  <c r="P742" i="1" s="1"/>
  <c r="M734" i="1"/>
  <c r="F734" i="1" s="1"/>
  <c r="O775" i="1"/>
  <c r="M763" i="1"/>
  <c r="P763" i="1" s="1"/>
  <c r="M750" i="1"/>
  <c r="P750" i="1" s="1"/>
  <c r="N745" i="1"/>
  <c r="O759" i="1"/>
  <c r="M759" i="1"/>
  <c r="Q759" i="1" s="1"/>
  <c r="M719" i="1"/>
  <c r="P719" i="1" s="1"/>
  <c r="N968" i="1"/>
  <c r="N730" i="1"/>
  <c r="N296" i="1"/>
  <c r="M369" i="1"/>
  <c r="F369" i="1" s="1"/>
  <c r="M249" i="1"/>
  <c r="F249" i="1" s="1"/>
  <c r="M1031" i="1"/>
  <c r="Q1031" i="1" s="1"/>
  <c r="O1023" i="1"/>
  <c r="M1012" i="1"/>
  <c r="Q1012" i="1" s="1"/>
  <c r="O982" i="1"/>
  <c r="O971" i="1"/>
  <c r="O956" i="1"/>
  <c r="N934" i="1"/>
  <c r="M930" i="1"/>
  <c r="Q930" i="1" s="1"/>
  <c r="O838" i="1"/>
  <c r="N823" i="1"/>
  <c r="M753" i="1"/>
  <c r="F753" i="1" s="1"/>
  <c r="M749" i="1"/>
  <c r="Q749" i="1" s="1"/>
  <c r="N738" i="1"/>
  <c r="M730" i="1"/>
  <c r="P730" i="1" s="1"/>
  <c r="N169" i="1"/>
  <c r="O1166" i="1"/>
  <c r="N1031" i="1"/>
  <c r="N1012" i="1"/>
  <c r="N1004" i="1"/>
  <c r="O978" i="1"/>
  <c r="O967" i="1"/>
  <c r="M952" i="1"/>
  <c r="P952" i="1" s="1"/>
  <c r="M891" i="1"/>
  <c r="Q891" i="1" s="1"/>
  <c r="O783" i="1"/>
  <c r="O718" i="1"/>
  <c r="O176" i="1"/>
  <c r="N1171" i="1"/>
  <c r="N1023" i="1"/>
  <c r="M1004" i="1"/>
  <c r="F1004" i="1" s="1"/>
  <c r="O1000" i="1"/>
  <c r="N989" i="1"/>
  <c r="O974" i="1"/>
  <c r="N971" i="1"/>
  <c r="N910" i="1"/>
  <c r="M887" i="1"/>
  <c r="P887" i="1" s="1"/>
  <c r="O771" i="1"/>
  <c r="N749" i="1"/>
  <c r="O733" i="1"/>
  <c r="O382" i="1"/>
  <c r="N282" i="1"/>
  <c r="N277" i="1"/>
  <c r="O267" i="1"/>
  <c r="N229" i="1"/>
  <c r="M1019" i="1"/>
  <c r="P1019" i="1" s="1"/>
  <c r="N826" i="1"/>
  <c r="M718" i="1"/>
  <c r="Q718" i="1" s="1"/>
  <c r="O955" i="1"/>
  <c r="N370" i="1"/>
  <c r="N209" i="1"/>
  <c r="M401" i="1"/>
  <c r="P401" i="1" s="1"/>
  <c r="M353" i="1"/>
  <c r="P353" i="1" s="1"/>
  <c r="M281" i="1"/>
  <c r="F281" i="1" s="1"/>
  <c r="M233" i="1"/>
  <c r="F233" i="1" s="1"/>
  <c r="M1000" i="1"/>
  <c r="Q1000" i="1" s="1"/>
  <c r="M933" i="1"/>
  <c r="P933" i="1" s="1"/>
  <c r="O829" i="1"/>
  <c r="M786" i="1"/>
  <c r="F786" i="1" s="1"/>
  <c r="N744" i="1"/>
  <c r="M725" i="1"/>
  <c r="Q725" i="1" s="1"/>
  <c r="N382" i="1"/>
  <c r="O343" i="1"/>
  <c r="O247" i="1"/>
  <c r="O175" i="1"/>
  <c r="M1169" i="1"/>
  <c r="P1169" i="1" s="1"/>
  <c r="N1034" i="1"/>
  <c r="N996" i="1"/>
  <c r="N963" i="1"/>
  <c r="M717" i="1"/>
  <c r="P717" i="1" s="1"/>
  <c r="O984" i="1"/>
  <c r="N981" i="1"/>
  <c r="O932" i="1"/>
  <c r="M905" i="1"/>
  <c r="F905" i="1" s="1"/>
  <c r="O886" i="1"/>
  <c r="M744" i="1"/>
  <c r="F744" i="1" s="1"/>
  <c r="N725" i="1"/>
  <c r="M928" i="1"/>
  <c r="P928" i="1" s="1"/>
  <c r="M920" i="1"/>
  <c r="F920" i="1" s="1"/>
  <c r="O328" i="1"/>
  <c r="O304" i="1"/>
  <c r="O280" i="1"/>
  <c r="O256" i="1"/>
  <c r="O232" i="1"/>
  <c r="O208" i="1"/>
  <c r="O1021" i="1"/>
  <c r="N1010" i="1"/>
  <c r="M991" i="1"/>
  <c r="P991" i="1" s="1"/>
  <c r="O987" i="1"/>
  <c r="O912" i="1"/>
  <c r="N759" i="1"/>
  <c r="M386" i="1"/>
  <c r="Q386" i="1" s="1"/>
  <c r="M362" i="1"/>
  <c r="P362" i="1" s="1"/>
  <c r="M338" i="1"/>
  <c r="P338" i="1" s="1"/>
  <c r="M218" i="1"/>
  <c r="P218" i="1" s="1"/>
  <c r="O1168" i="1"/>
  <c r="N1014" i="1"/>
  <c r="O1010" i="1"/>
  <c r="M954" i="1"/>
  <c r="P954" i="1" s="1"/>
  <c r="M893" i="1"/>
  <c r="P893" i="1" s="1"/>
  <c r="M878" i="1"/>
  <c r="P878" i="1" s="1"/>
  <c r="O866" i="1"/>
  <c r="O851" i="1"/>
  <c r="O847" i="1"/>
  <c r="M900" i="1"/>
  <c r="P900" i="1" s="1"/>
  <c r="M885" i="1"/>
  <c r="F885" i="1" s="1"/>
  <c r="M728" i="1"/>
  <c r="F728" i="1" s="1"/>
  <c r="N980" i="1"/>
  <c r="N915" i="1"/>
  <c r="M1168" i="1"/>
  <c r="F1168" i="1" s="1"/>
  <c r="O994" i="1"/>
  <c r="M983" i="1"/>
  <c r="F983" i="1" s="1"/>
  <c r="M927" i="1"/>
  <c r="F927" i="1" s="1"/>
  <c r="M919" i="1"/>
  <c r="Q919" i="1" s="1"/>
  <c r="M854" i="1"/>
  <c r="F854" i="1" s="1"/>
  <c r="M847" i="1"/>
  <c r="P847" i="1" s="1"/>
  <c r="O761" i="1"/>
  <c r="O750" i="1"/>
  <c r="N716" i="1"/>
  <c r="N1177" i="1"/>
  <c r="M915" i="1"/>
  <c r="F915" i="1" s="1"/>
  <c r="M907" i="1"/>
  <c r="Q907" i="1" s="1"/>
  <c r="M754" i="1"/>
  <c r="P754" i="1" s="1"/>
  <c r="O1177" i="1"/>
  <c r="N1002" i="1"/>
  <c r="M968" i="1"/>
  <c r="Q968" i="1" s="1"/>
  <c r="N961" i="1"/>
  <c r="O949" i="1"/>
  <c r="O903" i="1"/>
  <c r="O846" i="1"/>
  <c r="O719" i="1"/>
  <c r="M355" i="1"/>
  <c r="F355" i="1" s="1"/>
  <c r="M235" i="1"/>
  <c r="P235" i="1" s="1"/>
  <c r="M1177" i="1"/>
  <c r="P1177" i="1" s="1"/>
  <c r="N1007" i="1"/>
  <c r="M1003" i="1"/>
  <c r="F1003" i="1" s="1"/>
  <c r="N992" i="1"/>
  <c r="N983" i="1"/>
  <c r="O979" i="1"/>
  <c r="O962" i="1"/>
  <c r="O927" i="1"/>
  <c r="N899" i="1"/>
  <c r="O836" i="1"/>
  <c r="M811" i="1"/>
  <c r="F811" i="1" s="1"/>
  <c r="O781" i="1"/>
  <c r="N951" i="1"/>
  <c r="M909" i="1"/>
  <c r="F909" i="1" s="1"/>
  <c r="O799" i="1"/>
  <c r="O745" i="1"/>
  <c r="N937" i="1"/>
  <c r="N920" i="1"/>
  <c r="O725" i="1"/>
  <c r="N985" i="1"/>
  <c r="M937" i="1"/>
  <c r="Q937" i="1" s="1"/>
  <c r="M895" i="1"/>
  <c r="F895" i="1" s="1"/>
  <c r="O881" i="1"/>
  <c r="O828" i="1"/>
  <c r="E826" i="1"/>
  <c r="N259" i="1"/>
  <c r="M1034" i="1"/>
  <c r="F1034" i="1" s="1"/>
  <c r="M1027" i="1"/>
  <c r="F1027" i="1" s="1"/>
  <c r="N1021" i="1"/>
  <c r="M995" i="1"/>
  <c r="P995" i="1" s="1"/>
  <c r="O988" i="1"/>
  <c r="O985" i="1"/>
  <c r="M965" i="1"/>
  <c r="Q965" i="1" s="1"/>
  <c r="N902" i="1"/>
  <c r="N828" i="1"/>
  <c r="O795" i="1"/>
  <c r="N721" i="1"/>
  <c r="M205" i="1"/>
  <c r="Q205" i="1" s="1"/>
  <c r="M1176" i="1"/>
  <c r="Q1176" i="1" s="1"/>
  <c r="M1010" i="1"/>
  <c r="P1010" i="1" s="1"/>
  <c r="M999" i="1"/>
  <c r="F999" i="1" s="1"/>
  <c r="O947" i="1"/>
  <c r="O908" i="1"/>
  <c r="M810" i="1"/>
  <c r="F810" i="1" s="1"/>
  <c r="M799" i="1"/>
  <c r="F799" i="1" s="1"/>
  <c r="E770" i="1"/>
  <c r="N1030" i="1"/>
  <c r="O1020" i="1"/>
  <c r="N1017" i="1"/>
  <c r="N991" i="1"/>
  <c r="O954" i="1"/>
  <c r="O940" i="1"/>
  <c r="O919" i="1"/>
  <c r="M898" i="1"/>
  <c r="Q898" i="1" s="1"/>
  <c r="O894" i="1"/>
  <c r="O821" i="1"/>
  <c r="N1013" i="1"/>
  <c r="O1009" i="1"/>
  <c r="O991" i="1"/>
  <c r="O915" i="1"/>
  <c r="O219" i="1"/>
  <c r="O324" i="1"/>
  <c r="O276" i="1"/>
  <c r="O228" i="1"/>
  <c r="O204" i="1"/>
  <c r="N1037" i="1"/>
  <c r="O998" i="1"/>
  <c r="O890" i="1"/>
  <c r="N835" i="1"/>
  <c r="M758" i="1"/>
  <c r="Q758" i="1" s="1"/>
  <c r="M738" i="1"/>
  <c r="F738" i="1" s="1"/>
  <c r="M1037" i="1"/>
  <c r="P1037" i="1" s="1"/>
  <c r="N987" i="1"/>
  <c r="E810" i="1"/>
  <c r="M769" i="1"/>
  <c r="F769" i="1" s="1"/>
  <c r="N1026" i="1"/>
  <c r="O939" i="1"/>
  <c r="M926" i="1"/>
  <c r="Q926" i="1" s="1"/>
  <c r="N863" i="1"/>
  <c r="O852" i="1"/>
  <c r="O841" i="1"/>
  <c r="N831" i="1"/>
  <c r="E738" i="1"/>
  <c r="M1023" i="1"/>
  <c r="P1023" i="1" s="1"/>
  <c r="O907" i="1"/>
  <c r="M841" i="1"/>
  <c r="P841" i="1" s="1"/>
  <c r="M809" i="1"/>
  <c r="Q809" i="1" s="1"/>
  <c r="O737" i="1"/>
  <c r="N734" i="1"/>
  <c r="N248" i="1"/>
  <c r="N307" i="1"/>
  <c r="N214" i="1"/>
  <c r="M1001" i="1"/>
  <c r="Q1001" i="1" s="1"/>
  <c r="N950" i="1"/>
  <c r="M943" i="1"/>
  <c r="F943" i="1" s="1"/>
  <c r="N890" i="1"/>
  <c r="O1178" i="1"/>
  <c r="O1008" i="1"/>
  <c r="M994" i="1"/>
  <c r="F994" i="1" s="1"/>
  <c r="M974" i="1"/>
  <c r="F974" i="1" s="1"/>
  <c r="N960" i="1"/>
  <c r="N939" i="1"/>
  <c r="M876" i="1"/>
  <c r="P876" i="1" s="1"/>
  <c r="M848" i="1"/>
  <c r="F848" i="1" s="1"/>
  <c r="N809" i="1"/>
  <c r="E758" i="1"/>
  <c r="M751" i="1"/>
  <c r="P751" i="1" s="1"/>
  <c r="N977" i="1"/>
  <c r="N834" i="1"/>
  <c r="N754" i="1"/>
  <c r="E751" i="1"/>
  <c r="M737" i="1"/>
  <c r="Q737" i="1" s="1"/>
  <c r="M716" i="1"/>
  <c r="Q716" i="1" s="1"/>
  <c r="M921" i="1"/>
  <c r="F921" i="1" s="1"/>
  <c r="N1168" i="1"/>
  <c r="N1011" i="1"/>
  <c r="M976" i="1"/>
  <c r="Q976" i="1" s="1"/>
  <c r="M973" i="1"/>
  <c r="P973" i="1" s="1"/>
  <c r="O966" i="1"/>
  <c r="O882" i="1"/>
  <c r="M851" i="1"/>
  <c r="F851" i="1" s="1"/>
  <c r="N812" i="1"/>
  <c r="M757" i="1"/>
  <c r="F757" i="1" s="1"/>
  <c r="M746" i="1"/>
  <c r="F746" i="1" s="1"/>
  <c r="M733" i="1"/>
  <c r="P733" i="1" s="1"/>
  <c r="M723" i="1"/>
  <c r="P723" i="1" s="1"/>
  <c r="N921" i="1"/>
  <c r="N858" i="1"/>
  <c r="M1028" i="1"/>
  <c r="F1028" i="1" s="1"/>
  <c r="M1025" i="1"/>
  <c r="P1025" i="1" s="1"/>
  <c r="M1018" i="1"/>
  <c r="F1018" i="1" s="1"/>
  <c r="N927" i="1"/>
  <c r="O763" i="1"/>
  <c r="N746" i="1"/>
  <c r="M1007" i="1"/>
  <c r="F1007" i="1" s="1"/>
  <c r="M996" i="1"/>
  <c r="F996" i="1" s="1"/>
  <c r="N952" i="1"/>
  <c r="O948" i="1"/>
  <c r="N945" i="1"/>
  <c r="M732" i="1"/>
  <c r="F732" i="1" s="1"/>
  <c r="E1029" i="1"/>
  <c r="E1012" i="1"/>
  <c r="E981" i="1"/>
  <c r="N967" i="1"/>
  <c r="N912" i="1"/>
  <c r="E856" i="1"/>
  <c r="M779" i="1"/>
  <c r="P779" i="1" s="1"/>
  <c r="O754" i="1"/>
  <c r="M782" i="1"/>
  <c r="F782" i="1" s="1"/>
  <c r="N769" i="1"/>
  <c r="M912" i="1"/>
  <c r="F912" i="1" s="1"/>
  <c r="E910" i="1"/>
  <c r="N901" i="1"/>
  <c r="O872" i="1"/>
  <c r="E835" i="1"/>
  <c r="M831" i="1"/>
  <c r="P831" i="1" s="1"/>
  <c r="E823" i="1"/>
  <c r="M813" i="1"/>
  <c r="F813" i="1" s="1"/>
  <c r="N1020" i="1"/>
  <c r="O1017" i="1"/>
  <c r="E1007" i="1"/>
  <c r="N958" i="1"/>
  <c r="M947" i="1"/>
  <c r="P947" i="1" s="1"/>
  <c r="N938" i="1"/>
  <c r="N933" i="1"/>
  <c r="N907" i="1"/>
  <c r="N904" i="1"/>
  <c r="O898" i="1"/>
  <c r="N872" i="1"/>
  <c r="M858" i="1"/>
  <c r="P858" i="1" s="1"/>
  <c r="E851" i="1"/>
  <c r="N839" i="1"/>
  <c r="O834" i="1"/>
  <c r="M806" i="1"/>
  <c r="F806" i="1" s="1"/>
  <c r="O792" i="1"/>
  <c r="O769" i="1"/>
  <c r="O757" i="1"/>
  <c r="O748" i="1"/>
  <c r="N962" i="1"/>
  <c r="O1028" i="1"/>
  <c r="N1006" i="1"/>
  <c r="M986" i="1"/>
  <c r="P986" i="1" s="1"/>
  <c r="M980" i="1"/>
  <c r="F980" i="1" s="1"/>
  <c r="M935" i="1"/>
  <c r="P935" i="1" s="1"/>
  <c r="N841" i="1"/>
  <c r="M792" i="1"/>
  <c r="F792" i="1" s="1"/>
  <c r="O785" i="1"/>
  <c r="M748" i="1"/>
  <c r="F748" i="1" s="1"/>
  <c r="O731" i="1"/>
  <c r="O721" i="1"/>
  <c r="M1020" i="1"/>
  <c r="F1020" i="1" s="1"/>
  <c r="N1009" i="1"/>
  <c r="E998" i="1"/>
  <c r="M917" i="1"/>
  <c r="F917" i="1" s="1"/>
  <c r="N909" i="1"/>
  <c r="N728" i="1"/>
  <c r="M978" i="1"/>
  <c r="Q978" i="1" s="1"/>
  <c r="M1017" i="1"/>
  <c r="F1017" i="1" s="1"/>
  <c r="M950" i="1"/>
  <c r="P950" i="1" s="1"/>
  <c r="E1031" i="1"/>
  <c r="N1028" i="1"/>
  <c r="M944" i="1"/>
  <c r="Q944" i="1" s="1"/>
  <c r="M938" i="1"/>
  <c r="F938" i="1" s="1"/>
  <c r="O891" i="1"/>
  <c r="M872" i="1"/>
  <c r="F872" i="1" s="1"/>
  <c r="M839" i="1"/>
  <c r="F839" i="1" s="1"/>
  <c r="M1006" i="1"/>
  <c r="F1006" i="1" s="1"/>
  <c r="O997" i="1"/>
  <c r="M977" i="1"/>
  <c r="F977" i="1" s="1"/>
  <c r="N970" i="1"/>
  <c r="M961" i="1"/>
  <c r="P961" i="1" s="1"/>
  <c r="N947" i="1"/>
  <c r="N935" i="1"/>
  <c r="O914" i="1"/>
  <c r="O906" i="1"/>
  <c r="M785" i="1"/>
  <c r="F785" i="1" s="1"/>
  <c r="N723" i="1"/>
  <c r="M721" i="1"/>
  <c r="F721" i="1" s="1"/>
  <c r="N988" i="1"/>
  <c r="M985" i="1"/>
  <c r="Q985" i="1" s="1"/>
  <c r="M982" i="1"/>
  <c r="F982" i="1" s="1"/>
  <c r="N972" i="1"/>
  <c r="N964" i="1"/>
  <c r="M955" i="1"/>
  <c r="Q955" i="1" s="1"/>
  <c r="M946" i="1"/>
  <c r="Q946" i="1" s="1"/>
  <c r="N943" i="1"/>
  <c r="E935" i="1"/>
  <c r="M923" i="1"/>
  <c r="F923" i="1" s="1"/>
  <c r="N891" i="1"/>
  <c r="O874" i="1"/>
  <c r="O863" i="1"/>
  <c r="O756" i="1"/>
  <c r="N750" i="1"/>
  <c r="N733" i="1"/>
  <c r="N836" i="1"/>
  <c r="M830" i="1"/>
  <c r="Q830" i="1" s="1"/>
  <c r="M745" i="1"/>
  <c r="F745" i="1" s="1"/>
  <c r="N974" i="1"/>
  <c r="N941" i="1"/>
  <c r="N926" i="1"/>
  <c r="N1005" i="1"/>
  <c r="M969" i="1"/>
  <c r="F969" i="1" s="1"/>
  <c r="N916" i="1"/>
  <c r="M874" i="1"/>
  <c r="Q874" i="1" s="1"/>
  <c r="M1036" i="1"/>
  <c r="Q1036" i="1" s="1"/>
  <c r="M1030" i="1"/>
  <c r="F1030" i="1" s="1"/>
  <c r="N1016" i="1"/>
  <c r="M1013" i="1"/>
  <c r="P1013" i="1" s="1"/>
  <c r="M1008" i="1"/>
  <c r="P1008" i="1" s="1"/>
  <c r="N993" i="1"/>
  <c r="E952" i="1"/>
  <c r="M949" i="1"/>
  <c r="F949" i="1" s="1"/>
  <c r="N928" i="1"/>
  <c r="M911" i="1"/>
  <c r="F911" i="1" s="1"/>
  <c r="N900" i="1"/>
  <c r="M739" i="1"/>
  <c r="F739" i="1" s="1"/>
  <c r="E728" i="1"/>
  <c r="M720" i="1"/>
  <c r="P720" i="1" s="1"/>
  <c r="N1022" i="1"/>
  <c r="E1014" i="1"/>
  <c r="N1008" i="1"/>
  <c r="M988" i="1"/>
  <c r="Q988" i="1" s="1"/>
  <c r="N979" i="1"/>
  <c r="M932" i="1"/>
  <c r="Q932" i="1" s="1"/>
  <c r="O1016" i="1"/>
  <c r="M1005" i="1"/>
  <c r="F1005" i="1" s="1"/>
  <c r="O993" i="1"/>
  <c r="M960" i="1"/>
  <c r="P960" i="1" s="1"/>
  <c r="M916" i="1"/>
  <c r="Q916" i="1" s="1"/>
  <c r="M836" i="1"/>
  <c r="M801" i="1"/>
  <c r="P801" i="1" s="1"/>
  <c r="N784" i="1"/>
  <c r="O764" i="1"/>
  <c r="O747" i="1"/>
  <c r="O787" i="1"/>
  <c r="N739" i="1"/>
  <c r="N1029" i="1"/>
  <c r="E1008" i="1"/>
  <c r="O790" i="1"/>
  <c r="E784" i="1"/>
  <c r="O770" i="1"/>
  <c r="N767" i="1"/>
  <c r="O758" i="1"/>
  <c r="M747" i="1"/>
  <c r="F747" i="1" s="1"/>
  <c r="E739" i="1"/>
  <c r="O735" i="1"/>
  <c r="N940" i="1"/>
  <c r="O1029" i="1"/>
  <c r="M971" i="1"/>
  <c r="O945" i="1"/>
  <c r="M931" i="1"/>
  <c r="Q931" i="1" s="1"/>
  <c r="M922" i="1"/>
  <c r="Q922" i="1" s="1"/>
  <c r="N908" i="1"/>
  <c r="M859" i="1"/>
  <c r="P859" i="1" s="1"/>
  <c r="N949" i="1"/>
  <c r="N911" i="1"/>
  <c r="M1035" i="1"/>
  <c r="F1035" i="1" s="1"/>
  <c r="M1029" i="1"/>
  <c r="Q1029" i="1" s="1"/>
  <c r="E1019" i="1"/>
  <c r="E996" i="1"/>
  <c r="M829" i="1"/>
  <c r="F829" i="1" s="1"/>
  <c r="N804" i="1"/>
  <c r="M755" i="1"/>
  <c r="Q755" i="1" s="1"/>
  <c r="E747" i="1"/>
  <c r="O738" i="1"/>
  <c r="O732" i="1"/>
  <c r="M945" i="1"/>
  <c r="Q945" i="1" s="1"/>
  <c r="O1004" i="1"/>
  <c r="O992" i="1"/>
  <c r="M981" i="1"/>
  <c r="F981" i="1" s="1"/>
  <c r="O959" i="1"/>
  <c r="O942" i="1"/>
  <c r="O899" i="1"/>
  <c r="N838" i="1"/>
  <c r="O910" i="1"/>
  <c r="M879" i="1"/>
  <c r="Q879" i="1" s="1"/>
  <c r="N876" i="1"/>
  <c r="N859" i="1"/>
  <c r="M835" i="1"/>
  <c r="P835" i="1" s="1"/>
  <c r="M823" i="1"/>
  <c r="P823" i="1" s="1"/>
  <c r="E821" i="1"/>
  <c r="O817" i="1"/>
  <c r="M773" i="1"/>
  <c r="P773" i="1" s="1"/>
  <c r="N755" i="1"/>
  <c r="M735" i="1"/>
  <c r="P735" i="1" s="1"/>
  <c r="N763" i="1"/>
  <c r="M724" i="1"/>
  <c r="F724" i="1" s="1"/>
  <c r="E987" i="1"/>
  <c r="M715" i="1"/>
  <c r="F715" i="1" s="1"/>
  <c r="N1018" i="1"/>
  <c r="O986" i="1"/>
  <c r="M942" i="1"/>
  <c r="Q942" i="1" s="1"/>
  <c r="N842" i="1"/>
  <c r="O766" i="1"/>
  <c r="O743" i="1"/>
  <c r="N1024" i="1"/>
  <c r="O1005" i="1"/>
  <c r="O1003" i="1"/>
  <c r="O1001" i="1"/>
  <c r="M997" i="1"/>
  <c r="Q997" i="1" s="1"/>
  <c r="N953" i="1"/>
  <c r="E931" i="1"/>
  <c r="N931" i="1"/>
  <c r="M924" i="1"/>
  <c r="F924" i="1" s="1"/>
  <c r="O924" i="1"/>
  <c r="O911" i="1"/>
  <c r="E874" i="1"/>
  <c r="N874" i="1"/>
  <c r="O946" i="1"/>
  <c r="O928" i="1"/>
  <c r="O902" i="1"/>
  <c r="N924" i="1"/>
  <c r="N898" i="1"/>
  <c r="E895" i="1"/>
  <c r="N895" i="1"/>
  <c r="E892" i="1"/>
  <c r="N892" i="1"/>
  <c r="M990" i="1"/>
  <c r="P990" i="1" s="1"/>
  <c r="O990" i="1"/>
  <c r="O968" i="1"/>
  <c r="N955" i="1"/>
  <c r="O876" i="1"/>
  <c r="E988" i="1"/>
  <c r="N946" i="1"/>
  <c r="E946" i="1"/>
  <c r="M866" i="1"/>
  <c r="F866" i="1" s="1"/>
  <c r="N866" i="1"/>
  <c r="E898" i="1"/>
  <c r="M1026" i="1"/>
  <c r="Q1026" i="1" s="1"/>
  <c r="O1026" i="1"/>
  <c r="E1001" i="1"/>
  <c r="O983" i="1"/>
  <c r="E968" i="1"/>
  <c r="O952" i="1"/>
  <c r="E924" i="1"/>
  <c r="E907" i="1"/>
  <c r="N882" i="1"/>
  <c r="M939" i="1"/>
  <c r="P939" i="1" s="1"/>
  <c r="E933" i="1"/>
  <c r="O930" i="1"/>
  <c r="O923" i="1"/>
  <c r="O920" i="1"/>
  <c r="E879" i="1"/>
  <c r="N879" i="1"/>
  <c r="O830" i="1"/>
  <c r="N1036" i="1"/>
  <c r="N1032" i="1"/>
  <c r="O1013" i="1"/>
  <c r="M1009" i="1"/>
  <c r="E977" i="1"/>
  <c r="O963" i="1"/>
  <c r="O961" i="1"/>
  <c r="E955" i="1"/>
  <c r="M941" i="1"/>
  <c r="E937" i="1"/>
  <c r="O934" i="1"/>
  <c r="M908" i="1"/>
  <c r="M897" i="1"/>
  <c r="P897" i="1" s="1"/>
  <c r="O897" i="1"/>
  <c r="M894" i="1"/>
  <c r="P894" i="1" s="1"/>
  <c r="E887" i="1"/>
  <c r="E844" i="1"/>
  <c r="N844" i="1"/>
  <c r="E990" i="1"/>
  <c r="N948" i="1"/>
  <c r="M1032" i="1"/>
  <c r="P1032" i="1" s="1"/>
  <c r="E1003" i="1"/>
  <c r="O996" i="1"/>
  <c r="O976" i="1"/>
  <c r="E959" i="1"/>
  <c r="E930" i="1"/>
  <c r="N923" i="1"/>
  <c r="E923" i="1"/>
  <c r="E920" i="1"/>
  <c r="N897" i="1"/>
  <c r="O878" i="1"/>
  <c r="E961" i="1"/>
  <c r="N906" i="1"/>
  <c r="N894" i="1"/>
  <c r="E1033" i="1"/>
  <c r="O1019" i="1"/>
  <c r="N956" i="1"/>
  <c r="M865" i="1"/>
  <c r="P865" i="1" s="1"/>
  <c r="N865" i="1"/>
  <c r="O1006" i="1"/>
  <c r="O980" i="1"/>
  <c r="N976" i="1"/>
  <c r="E948" i="1"/>
  <c r="E939" i="1"/>
  <c r="N932" i="1"/>
  <c r="E1013" i="1"/>
  <c r="M1002" i="1"/>
  <c r="P1002" i="1" s="1"/>
  <c r="O1002" i="1"/>
  <c r="O989" i="1"/>
  <c r="N965" i="1"/>
  <c r="O960" i="1"/>
  <c r="E886" i="1"/>
  <c r="N886" i="1"/>
  <c r="M958" i="1"/>
  <c r="Q958" i="1" s="1"/>
  <c r="E954" i="1"/>
  <c r="N954" i="1"/>
  <c r="E945" i="1"/>
  <c r="E906" i="1"/>
  <c r="O1027" i="1"/>
  <c r="O1025" i="1"/>
  <c r="E1000" i="1"/>
  <c r="E989" i="1"/>
  <c r="O969" i="1"/>
  <c r="O938" i="1"/>
  <c r="O922" i="1"/>
  <c r="M896" i="1"/>
  <c r="F896" i="1" s="1"/>
  <c r="O896" i="1"/>
  <c r="O929" i="1"/>
  <c r="O893" i="1"/>
  <c r="E965" i="1"/>
  <c r="E932" i="1"/>
  <c r="N978" i="1"/>
  <c r="E1015" i="1"/>
  <c r="N1035" i="1"/>
  <c r="O1031" i="1"/>
  <c r="N969" i="1"/>
  <c r="E960" i="1"/>
  <c r="N944" i="1"/>
  <c r="N942" i="1"/>
  <c r="E922" i="1"/>
  <c r="N922" i="1"/>
  <c r="E919" i="1"/>
  <c r="O861" i="1"/>
  <c r="N999" i="1"/>
  <c r="O995" i="1"/>
  <c r="N986" i="1"/>
  <c r="N984" i="1"/>
  <c r="M953" i="1"/>
  <c r="Q953" i="1" s="1"/>
  <c r="E893" i="1"/>
  <c r="N893" i="1"/>
  <c r="O823" i="1"/>
  <c r="N1033" i="1"/>
  <c r="O1018" i="1"/>
  <c r="E956" i="1"/>
  <c r="O953" i="1"/>
  <c r="O935" i="1"/>
  <c r="E899" i="1"/>
  <c r="M984" i="1"/>
  <c r="Q984" i="1" s="1"/>
  <c r="E978" i="1"/>
  <c r="M964" i="1"/>
  <c r="Q964" i="1" s="1"/>
  <c r="M962" i="1"/>
  <c r="F962" i="1" s="1"/>
  <c r="M940" i="1"/>
  <c r="Q940" i="1" s="1"/>
  <c r="E905" i="1"/>
  <c r="N905" i="1"/>
  <c r="N861" i="1"/>
  <c r="E1037" i="1"/>
  <c r="O1007" i="1"/>
  <c r="O1037" i="1"/>
  <c r="E1025" i="1"/>
  <c r="E1021" i="1"/>
  <c r="M1014" i="1"/>
  <c r="F1014" i="1" s="1"/>
  <c r="O1014" i="1"/>
  <c r="N1001" i="1"/>
  <c r="N997" i="1"/>
  <c r="M1033" i="1"/>
  <c r="Q1033" i="1" s="1"/>
  <c r="O1024" i="1"/>
  <c r="N995" i="1"/>
  <c r="E975" i="1"/>
  <c r="E969" i="1"/>
  <c r="O937" i="1"/>
  <c r="O921" i="1"/>
  <c r="O895" i="1"/>
  <c r="M783" i="1"/>
  <c r="Q783" i="1" s="1"/>
  <c r="N783" i="1"/>
  <c r="N780" i="1"/>
  <c r="E976" i="1"/>
  <c r="M972" i="1"/>
  <c r="E921" i="1"/>
  <c r="N917" i="1"/>
  <c r="O885" i="1"/>
  <c r="M846" i="1"/>
  <c r="F846" i="1" s="1"/>
  <c r="O812" i="1"/>
  <c r="O794" i="1"/>
  <c r="O788" i="1"/>
  <c r="M881" i="1"/>
  <c r="F881" i="1" s="1"/>
  <c r="O809" i="1"/>
  <c r="M794" i="1"/>
  <c r="P794" i="1" s="1"/>
  <c r="M766" i="1"/>
  <c r="F766" i="1" s="1"/>
  <c r="M899" i="1"/>
  <c r="O859" i="1"/>
  <c r="M815" i="1"/>
  <c r="Q815" i="1" s="1"/>
  <c r="O797" i="1"/>
  <c r="O782" i="1"/>
  <c r="O742" i="1"/>
  <c r="E903" i="1"/>
  <c r="N881" i="1"/>
  <c r="N846" i="1"/>
  <c r="M832" i="1"/>
  <c r="Q832" i="1" s="1"/>
  <c r="N794" i="1"/>
  <c r="M774" i="1"/>
  <c r="F774" i="1" s="1"/>
  <c r="N774" i="1"/>
  <c r="O728" i="1"/>
  <c r="E815" i="1"/>
  <c r="N815" i="1"/>
  <c r="M812" i="1"/>
  <c r="Q812" i="1" s="1"/>
  <c r="E809" i="1"/>
  <c r="E797" i="1"/>
  <c r="N797" i="1"/>
  <c r="N788" i="1"/>
  <c r="N766" i="1"/>
  <c r="M761" i="1"/>
  <c r="Q761" i="1" s="1"/>
  <c r="N761" i="1"/>
  <c r="N758" i="1"/>
  <c r="O739" i="1"/>
  <c r="N994" i="1"/>
  <c r="N982" i="1"/>
  <c r="N929" i="1"/>
  <c r="E917" i="1"/>
  <c r="E891" i="1"/>
  <c r="M861" i="1"/>
  <c r="F861" i="1" s="1"/>
  <c r="E859" i="1"/>
  <c r="O848" i="1"/>
  <c r="E832" i="1"/>
  <c r="N832" i="1"/>
  <c r="N806" i="1"/>
  <c r="E806" i="1"/>
  <c r="N791" i="1"/>
  <c r="E785" i="1"/>
  <c r="N785" i="1"/>
  <c r="N782" i="1"/>
  <c r="O755" i="1"/>
  <c r="O843" i="1"/>
  <c r="N829" i="1"/>
  <c r="O749" i="1"/>
  <c r="N878" i="1"/>
  <c r="E876" i="1"/>
  <c r="O808" i="1"/>
  <c r="M776" i="1"/>
  <c r="Q776" i="1" s="1"/>
  <c r="O768" i="1"/>
  <c r="M796" i="1"/>
  <c r="F796" i="1" s="1"/>
  <c r="E779" i="1"/>
  <c r="N779" i="1"/>
  <c r="M771" i="1"/>
  <c r="Q771" i="1" s="1"/>
  <c r="N771" i="1"/>
  <c r="M768" i="1"/>
  <c r="F768" i="1" s="1"/>
  <c r="E763" i="1"/>
  <c r="O850" i="1"/>
  <c r="N848" i="1"/>
  <c r="O811" i="1"/>
  <c r="N760" i="1"/>
  <c r="E914" i="1"/>
  <c r="N914" i="1"/>
  <c r="O900" i="1"/>
  <c r="M863" i="1"/>
  <c r="F863" i="1" s="1"/>
  <c r="M850" i="1"/>
  <c r="Q850" i="1" s="1"/>
  <c r="O831" i="1"/>
  <c r="N808" i="1"/>
  <c r="N796" i="1"/>
  <c r="M787" i="1"/>
  <c r="P787" i="1" s="1"/>
  <c r="N776" i="1"/>
  <c r="O773" i="1"/>
  <c r="N768" i="1"/>
  <c r="O746" i="1"/>
  <c r="E811" i="1"/>
  <c r="N811" i="1"/>
  <c r="E799" i="1"/>
  <c r="N799" i="1"/>
  <c r="O941" i="1"/>
  <c r="O904" i="1"/>
  <c r="E878" i="1"/>
  <c r="E861" i="1"/>
  <c r="N850" i="1"/>
  <c r="M817" i="1"/>
  <c r="N817" i="1"/>
  <c r="E787" i="1"/>
  <c r="N787" i="1"/>
  <c r="M770" i="1"/>
  <c r="F770" i="1" s="1"/>
  <c r="N757" i="1"/>
  <c r="M882" i="1"/>
  <c r="O856" i="1"/>
  <c r="M852" i="1"/>
  <c r="P852" i="1" s="1"/>
  <c r="N790" i="1"/>
  <c r="O778" i="1"/>
  <c r="E773" i="1"/>
  <c r="N773" i="1"/>
  <c r="M948" i="1"/>
  <c r="Q948" i="1" s="1"/>
  <c r="M906" i="1"/>
  <c r="Q906" i="1" s="1"/>
  <c r="E902" i="1"/>
  <c r="O892" i="1"/>
  <c r="M886" i="1"/>
  <c r="Q886" i="1" s="1"/>
  <c r="E768" i="1"/>
  <c r="O751" i="1"/>
  <c r="M892" i="1"/>
  <c r="Q892" i="1" s="1"/>
  <c r="N852" i="1"/>
  <c r="O842" i="1"/>
  <c r="E808" i="1"/>
  <c r="O798" i="1"/>
  <c r="E796" i="1"/>
  <c r="E831" i="1"/>
  <c r="M819" i="1"/>
  <c r="F819" i="1" s="1"/>
  <c r="N819" i="1"/>
  <c r="M781" i="1"/>
  <c r="N781" i="1"/>
  <c r="N778" i="1"/>
  <c r="E847" i="1"/>
  <c r="N847" i="1"/>
  <c r="E842" i="1"/>
  <c r="O804" i="1"/>
  <c r="O844" i="1"/>
  <c r="E813" i="1"/>
  <c r="N813" i="1"/>
  <c r="M804" i="1"/>
  <c r="F804" i="1" s="1"/>
  <c r="E801" i="1"/>
  <c r="N801" i="1"/>
  <c r="N798" i="1"/>
  <c r="N772" i="1"/>
  <c r="O879" i="1"/>
  <c r="M844" i="1"/>
  <c r="P844" i="1" s="1"/>
  <c r="E830" i="1"/>
  <c r="N830" i="1"/>
  <c r="N792" i="1"/>
  <c r="N786" i="1"/>
  <c r="O780" i="1"/>
  <c r="M775" i="1"/>
  <c r="N775" i="1"/>
  <c r="O753" i="1"/>
  <c r="O734" i="1"/>
  <c r="E804" i="1"/>
  <c r="M795" i="1"/>
  <c r="F795" i="1" s="1"/>
  <c r="N795" i="1"/>
  <c r="M789" i="1"/>
  <c r="P789" i="1" s="1"/>
  <c r="N789" i="1"/>
  <c r="M780" i="1"/>
  <c r="Q780" i="1" s="1"/>
  <c r="N777" i="1"/>
  <c r="N764" i="1"/>
  <c r="M756" i="1"/>
  <c r="Q756" i="1" s="1"/>
  <c r="O724" i="1"/>
  <c r="O810" i="1"/>
  <c r="M808" i="1"/>
  <c r="F808" i="1" s="1"/>
  <c r="M798" i="1"/>
  <c r="F798" i="1" s="1"/>
  <c r="M788" i="1"/>
  <c r="F788" i="1" s="1"/>
  <c r="M743" i="1"/>
  <c r="Q743" i="1" s="1"/>
  <c r="N741" i="1"/>
  <c r="N747" i="1"/>
  <c r="N724" i="1"/>
  <c r="N743" i="1"/>
  <c r="O717" i="1"/>
  <c r="O767" i="1"/>
  <c r="N753" i="1"/>
  <c r="N717" i="1"/>
  <c r="O779" i="1"/>
  <c r="O777" i="1"/>
  <c r="M767" i="1"/>
  <c r="Q767" i="1" s="1"/>
  <c r="O791" i="1"/>
  <c r="O789" i="1"/>
  <c r="O916" i="1"/>
  <c r="M834" i="1"/>
  <c r="O832" i="1"/>
  <c r="O815" i="1"/>
  <c r="O813" i="1"/>
  <c r="O801" i="1"/>
  <c r="M791" i="1"/>
  <c r="P791" i="1" s="1"/>
  <c r="N719" i="1"/>
  <c r="E753" i="1"/>
  <c r="E749" i="1"/>
  <c r="E717" i="1"/>
  <c r="E734" i="1"/>
  <c r="E732" i="1"/>
  <c r="O729" i="1"/>
  <c r="E761" i="1"/>
  <c r="E719" i="1"/>
  <c r="N748" i="1"/>
  <c r="M856" i="1"/>
  <c r="M731" i="1"/>
  <c r="F731" i="1" s="1"/>
  <c r="N729" i="1"/>
  <c r="O760" i="1"/>
  <c r="N756" i="1"/>
  <c r="N735" i="1"/>
  <c r="O772" i="1"/>
  <c r="M760" i="1"/>
  <c r="F760" i="1" s="1"/>
  <c r="N731" i="1"/>
  <c r="E725" i="1"/>
  <c r="O722" i="1"/>
  <c r="N718" i="1"/>
  <c r="O806" i="1"/>
  <c r="O784" i="1"/>
  <c r="O774" i="1"/>
  <c r="M772" i="1"/>
  <c r="F772" i="1" s="1"/>
  <c r="N722" i="1"/>
  <c r="E843" i="1"/>
  <c r="O796" i="1"/>
  <c r="O786" i="1"/>
  <c r="M784" i="1"/>
  <c r="F784" i="1" s="1"/>
  <c r="M764" i="1"/>
  <c r="P764" i="1" s="1"/>
  <c r="O741" i="1"/>
  <c r="N737" i="1"/>
  <c r="N720" i="1"/>
  <c r="N715" i="1"/>
  <c r="O715" i="1"/>
  <c r="N386" i="1"/>
  <c r="M367" i="1"/>
  <c r="Q367" i="1" s="1"/>
  <c r="N338" i="1"/>
  <c r="O323" i="1"/>
  <c r="O299" i="1"/>
  <c r="O251" i="1"/>
  <c r="O227" i="1"/>
  <c r="O179" i="1"/>
  <c r="M175" i="1"/>
  <c r="P175" i="1" s="1"/>
  <c r="O1167" i="1"/>
  <c r="M1167" i="1"/>
  <c r="F1167" i="1" s="1"/>
  <c r="M1178" i="1"/>
  <c r="F1178" i="1" s="1"/>
  <c r="N1167" i="1"/>
  <c r="O1169" i="1"/>
  <c r="E1178" i="1"/>
  <c r="N1169" i="1"/>
  <c r="M297" i="1"/>
  <c r="F297" i="1" s="1"/>
  <c r="M364" i="1"/>
  <c r="F364" i="1" s="1"/>
  <c r="E1169" i="1"/>
  <c r="O1176" i="1"/>
  <c r="N1176" i="1"/>
  <c r="E1167" i="1"/>
  <c r="E1176" i="1"/>
  <c r="N1166" i="1"/>
  <c r="M388" i="1"/>
  <c r="F388" i="1" s="1"/>
  <c r="M349" i="1"/>
  <c r="F349" i="1" s="1"/>
  <c r="M325" i="1"/>
  <c r="P325" i="1" s="1"/>
  <c r="O301" i="1"/>
  <c r="M277" i="1"/>
  <c r="P277" i="1" s="1"/>
  <c r="O248" i="1"/>
  <c r="O181" i="1"/>
  <c r="M354" i="1"/>
  <c r="Q354" i="1" s="1"/>
  <c r="O185" i="1"/>
  <c r="N176" i="1"/>
  <c r="N397" i="1"/>
  <c r="N367" i="1"/>
  <c r="O249" i="1"/>
  <c r="N218" i="1"/>
  <c r="N187" i="1"/>
  <c r="M316" i="1"/>
  <c r="P316" i="1" s="1"/>
  <c r="M268" i="1"/>
  <c r="Q268" i="1" s="1"/>
  <c r="M196" i="1"/>
  <c r="P196" i="1" s="1"/>
  <c r="M172" i="1"/>
  <c r="F172" i="1" s="1"/>
  <c r="N387" i="1"/>
  <c r="N235" i="1"/>
  <c r="N363" i="1"/>
  <c r="O233" i="1"/>
  <c r="O205" i="1"/>
  <c r="O277" i="1"/>
  <c r="N205" i="1"/>
  <c r="O401" i="1"/>
  <c r="O353" i="1"/>
  <c r="N325" i="1"/>
  <c r="N362" i="1"/>
  <c r="N354" i="1"/>
  <c r="N250" i="1"/>
  <c r="M1175" i="1"/>
  <c r="P1175" i="1" s="1"/>
  <c r="M1171" i="1"/>
  <c r="P1171" i="1" s="1"/>
  <c r="M1174" i="1"/>
  <c r="F1174" i="1" s="1"/>
  <c r="N1174" i="1"/>
  <c r="O1173" i="1"/>
  <c r="O1172" i="1"/>
  <c r="M1172" i="1"/>
  <c r="P1172" i="1" s="1"/>
  <c r="O1175" i="1"/>
  <c r="E1173" i="1"/>
  <c r="O169" i="1"/>
  <c r="O387" i="1"/>
  <c r="N373" i="1"/>
  <c r="M363" i="1"/>
  <c r="Q363" i="1" s="1"/>
  <c r="O358" i="1"/>
  <c r="N349" i="1"/>
  <c r="O334" i="1"/>
  <c r="M315" i="1"/>
  <c r="Q315" i="1" s="1"/>
  <c r="O310" i="1"/>
  <c r="N301" i="1"/>
  <c r="M291" i="1"/>
  <c r="F291" i="1" s="1"/>
  <c r="O286" i="1"/>
  <c r="N253" i="1"/>
  <c r="M243" i="1"/>
  <c r="F243" i="1" s="1"/>
  <c r="O238" i="1"/>
  <c r="O214" i="1"/>
  <c r="M195" i="1"/>
  <c r="F195" i="1" s="1"/>
  <c r="O190" i="1"/>
  <c r="M171" i="1"/>
  <c r="F171" i="1" s="1"/>
  <c r="O372" i="1"/>
  <c r="O348" i="1"/>
  <c r="N315" i="1"/>
  <c r="O300" i="1"/>
  <c r="N267" i="1"/>
  <c r="N195" i="1"/>
  <c r="O180" i="1"/>
  <c r="N171" i="1"/>
  <c r="O1170" i="1"/>
  <c r="N1173" i="1"/>
  <c r="M1170" i="1"/>
  <c r="P1170" i="1" s="1"/>
  <c r="M1173" i="1"/>
  <c r="F1173" i="1" s="1"/>
  <c r="N1172" i="1"/>
  <c r="E1174" i="1"/>
  <c r="O1171" i="1"/>
  <c r="N1170" i="1"/>
  <c r="O377" i="1"/>
  <c r="M358" i="1"/>
  <c r="F358" i="1" s="1"/>
  <c r="N344" i="1"/>
  <c r="O329" i="1"/>
  <c r="M286" i="1"/>
  <c r="P286" i="1" s="1"/>
  <c r="N272" i="1"/>
  <c r="O257" i="1"/>
  <c r="M238" i="1"/>
  <c r="F238" i="1" s="1"/>
  <c r="N224" i="1"/>
  <c r="M214" i="1"/>
  <c r="F214" i="1" s="1"/>
  <c r="O209" i="1"/>
  <c r="N200" i="1"/>
  <c r="O1174" i="1"/>
  <c r="E1171" i="1"/>
  <c r="N1175" i="1"/>
  <c r="O379" i="1"/>
  <c r="O355" i="1"/>
  <c r="O331" i="1"/>
  <c r="O307" i="1"/>
  <c r="O283" i="1"/>
  <c r="O259" i="1"/>
  <c r="O235" i="1"/>
  <c r="O211" i="1"/>
  <c r="M393" i="1"/>
  <c r="F393" i="1" s="1"/>
  <c r="N379" i="1"/>
  <c r="M345" i="1"/>
  <c r="F345" i="1" s="1"/>
  <c r="N331" i="1"/>
  <c r="M321" i="1"/>
  <c r="F321" i="1" s="1"/>
  <c r="M356" i="1"/>
  <c r="P356" i="1" s="1"/>
  <c r="M332" i="1"/>
  <c r="F332" i="1" s="1"/>
  <c r="M308" i="1"/>
  <c r="P308" i="1" s="1"/>
  <c r="M284" i="1"/>
  <c r="P284" i="1" s="1"/>
  <c r="M260" i="1"/>
  <c r="F260" i="1" s="1"/>
  <c r="M236" i="1"/>
  <c r="P236" i="1" s="1"/>
  <c r="M212" i="1"/>
  <c r="P212" i="1" s="1"/>
  <c r="M188" i="1"/>
  <c r="P188" i="1" s="1"/>
  <c r="M273" i="1"/>
  <c r="F273" i="1" s="1"/>
  <c r="M225" i="1"/>
  <c r="F225" i="1" s="1"/>
  <c r="M201" i="1"/>
  <c r="F201" i="1" s="1"/>
  <c r="M177" i="1"/>
  <c r="F177" i="1" s="1"/>
  <c r="M378" i="1"/>
  <c r="Q378" i="1" s="1"/>
  <c r="M330" i="1"/>
  <c r="Q330" i="1" s="1"/>
  <c r="M306" i="1"/>
  <c r="Q306" i="1" s="1"/>
  <c r="M282" i="1"/>
  <c r="F282" i="1" s="1"/>
  <c r="M258" i="1"/>
  <c r="Q258" i="1" s="1"/>
  <c r="M210" i="1"/>
  <c r="Q210" i="1" s="1"/>
  <c r="M186" i="1"/>
  <c r="Q186" i="1" s="1"/>
  <c r="M377" i="1"/>
  <c r="F377" i="1" s="1"/>
  <c r="M329" i="1"/>
  <c r="P329" i="1" s="1"/>
  <c r="M257" i="1"/>
  <c r="F257" i="1" s="1"/>
  <c r="M208" i="1"/>
  <c r="P208" i="1" s="1"/>
  <c r="M184" i="1"/>
  <c r="Q184" i="1" s="1"/>
  <c r="M232" i="1"/>
  <c r="F232" i="1" s="1"/>
  <c r="O187" i="1"/>
  <c r="N355" i="1"/>
  <c r="M253" i="1"/>
  <c r="Q253" i="1" s="1"/>
  <c r="M400" i="1"/>
  <c r="F400" i="1" s="1"/>
  <c r="M376" i="1"/>
  <c r="Q376" i="1" s="1"/>
  <c r="M352" i="1"/>
  <c r="Q352" i="1" s="1"/>
  <c r="M328" i="1"/>
  <c r="P328" i="1" s="1"/>
  <c r="M304" i="1"/>
  <c r="Q304" i="1" s="1"/>
  <c r="M280" i="1"/>
  <c r="Q280" i="1" s="1"/>
  <c r="M256" i="1"/>
  <c r="P256" i="1" s="1"/>
  <c r="M169" i="1"/>
  <c r="P169" i="1" s="1"/>
  <c r="O354" i="1"/>
  <c r="N345" i="1"/>
  <c r="O330" i="1"/>
  <c r="N297" i="1"/>
  <c r="N225" i="1"/>
  <c r="O210" i="1"/>
  <c r="N201" i="1"/>
  <c r="O392" i="1"/>
  <c r="O373" i="1"/>
  <c r="N364" i="1"/>
  <c r="O344" i="1"/>
  <c r="O325" i="1"/>
  <c r="M301" i="1"/>
  <c r="Q301" i="1" s="1"/>
  <c r="N268" i="1"/>
  <c r="O253" i="1"/>
  <c r="N244" i="1"/>
  <c r="M229" i="1"/>
  <c r="P229" i="1" s="1"/>
  <c r="O224" i="1"/>
  <c r="M181" i="1"/>
  <c r="P181" i="1" s="1"/>
  <c r="O391" i="1"/>
  <c r="N358" i="1"/>
  <c r="N334" i="1"/>
  <c r="M300" i="1"/>
  <c r="P300" i="1" s="1"/>
  <c r="M276" i="1"/>
  <c r="P276" i="1" s="1"/>
  <c r="O271" i="1"/>
  <c r="N238" i="1"/>
  <c r="M180" i="1"/>
  <c r="P180" i="1" s="1"/>
  <c r="O684" i="1"/>
  <c r="M381" i="1"/>
  <c r="P381" i="1" s="1"/>
  <c r="M357" i="1"/>
  <c r="Q357" i="1" s="1"/>
  <c r="M333" i="1"/>
  <c r="Q333" i="1" s="1"/>
  <c r="M309" i="1"/>
  <c r="F309" i="1" s="1"/>
  <c r="M285" i="1"/>
  <c r="F285" i="1" s="1"/>
  <c r="M261" i="1"/>
  <c r="P261" i="1" s="1"/>
  <c r="M237" i="1"/>
  <c r="Q237" i="1" s="1"/>
  <c r="M213" i="1"/>
  <c r="P213" i="1" s="1"/>
  <c r="M189" i="1"/>
  <c r="Q189" i="1" s="1"/>
  <c r="M380" i="1"/>
  <c r="P380" i="1" s="1"/>
  <c r="M379" i="1"/>
  <c r="Q379" i="1" s="1"/>
  <c r="M331" i="1"/>
  <c r="P331" i="1" s="1"/>
  <c r="M307" i="1"/>
  <c r="P307" i="1" s="1"/>
  <c r="M283" i="1"/>
  <c r="Q283" i="1" s="1"/>
  <c r="M259" i="1"/>
  <c r="P259" i="1" s="1"/>
  <c r="M211" i="1"/>
  <c r="P211" i="1" s="1"/>
  <c r="M187" i="1"/>
  <c r="P187" i="1" s="1"/>
  <c r="O393" i="1"/>
  <c r="O369" i="1"/>
  <c r="O345" i="1"/>
  <c r="O321" i="1"/>
  <c r="O273" i="1"/>
  <c r="O225" i="1"/>
  <c r="O201" i="1"/>
  <c r="O177" i="1"/>
  <c r="N298" i="1"/>
  <c r="E315" i="1"/>
  <c r="E379" i="1"/>
  <c r="N306" i="1"/>
  <c r="N186" i="1"/>
  <c r="O171" i="1"/>
  <c r="E301" i="1"/>
  <c r="O229" i="1"/>
  <c r="E331" i="1"/>
  <c r="N202" i="1"/>
  <c r="N320" i="1"/>
  <c r="N274" i="1"/>
  <c r="O296" i="1"/>
  <c r="N394" i="1"/>
  <c r="O363" i="1"/>
  <c r="N181" i="1"/>
  <c r="O243" i="1"/>
  <c r="N392" i="1"/>
  <c r="N330" i="1"/>
  <c r="O315" i="1"/>
  <c r="O195" i="1"/>
  <c r="E253" i="1"/>
  <c r="N211" i="1"/>
  <c r="N226" i="1"/>
  <c r="N210" i="1"/>
  <c r="N258" i="1"/>
  <c r="N378" i="1"/>
  <c r="N346" i="1"/>
  <c r="N283" i="1"/>
  <c r="N322" i="1"/>
  <c r="M385" i="1"/>
  <c r="Q385" i="1" s="1"/>
  <c r="M361" i="1"/>
  <c r="Q361" i="1" s="1"/>
  <c r="M337" i="1"/>
  <c r="Q337" i="1" s="1"/>
  <c r="M289" i="1"/>
  <c r="F289" i="1" s="1"/>
  <c r="M265" i="1"/>
  <c r="Q265" i="1" s="1"/>
  <c r="M241" i="1"/>
  <c r="F241" i="1" s="1"/>
  <c r="M217" i="1"/>
  <c r="Q217" i="1" s="1"/>
  <c r="N178" i="1"/>
  <c r="N395" i="1"/>
  <c r="O380" i="1"/>
  <c r="O356" i="1"/>
  <c r="O332" i="1"/>
  <c r="N323" i="1"/>
  <c r="O308" i="1"/>
  <c r="N299" i="1"/>
  <c r="O284" i="1"/>
  <c r="M709" i="1"/>
  <c r="Q709" i="1" s="1"/>
  <c r="N275" i="1"/>
  <c r="O260" i="1"/>
  <c r="N251" i="1"/>
  <c r="O236" i="1"/>
  <c r="O212" i="1"/>
  <c r="M395" i="1"/>
  <c r="P395" i="1" s="1"/>
  <c r="M371" i="1"/>
  <c r="Q371" i="1" s="1"/>
  <c r="M347" i="1"/>
  <c r="F347" i="1" s="1"/>
  <c r="M323" i="1"/>
  <c r="Q323" i="1" s="1"/>
  <c r="M299" i="1"/>
  <c r="P299" i="1" s="1"/>
  <c r="M275" i="1"/>
  <c r="F275" i="1" s="1"/>
  <c r="M251" i="1"/>
  <c r="F251" i="1" s="1"/>
  <c r="M227" i="1"/>
  <c r="F227" i="1" s="1"/>
  <c r="M203" i="1"/>
  <c r="P203" i="1" s="1"/>
  <c r="M179" i="1"/>
  <c r="Q179" i="1" s="1"/>
  <c r="M389" i="1"/>
  <c r="F389" i="1" s="1"/>
  <c r="M365" i="1"/>
  <c r="Q365" i="1" s="1"/>
  <c r="M341" i="1"/>
  <c r="Q341" i="1" s="1"/>
  <c r="M317" i="1"/>
  <c r="P317" i="1" s="1"/>
  <c r="M293" i="1"/>
  <c r="P293" i="1" s="1"/>
  <c r="M269" i="1"/>
  <c r="P269" i="1" s="1"/>
  <c r="M245" i="1"/>
  <c r="F245" i="1" s="1"/>
  <c r="M221" i="1"/>
  <c r="P221" i="1" s="1"/>
  <c r="M197" i="1"/>
  <c r="Q197" i="1" s="1"/>
  <c r="M173" i="1"/>
  <c r="F173" i="1" s="1"/>
  <c r="M690" i="1"/>
  <c r="P690" i="1" s="1"/>
  <c r="M682" i="1"/>
  <c r="Q682" i="1" s="1"/>
  <c r="O691" i="1"/>
  <c r="O679" i="1"/>
  <c r="N399" i="1"/>
  <c r="O398" i="1"/>
  <c r="N389" i="1"/>
  <c r="O374" i="1"/>
  <c r="N365" i="1"/>
  <c r="O350" i="1"/>
  <c r="N341" i="1"/>
  <c r="O326" i="1"/>
  <c r="O302" i="1"/>
  <c r="N293" i="1"/>
  <c r="O278" i="1"/>
  <c r="N269" i="1"/>
  <c r="O254" i="1"/>
  <c r="O230" i="1"/>
  <c r="O206" i="1"/>
  <c r="N197" i="1"/>
  <c r="O182" i="1"/>
  <c r="N173" i="1"/>
  <c r="M702" i="1"/>
  <c r="P702" i="1" s="1"/>
  <c r="N698" i="1"/>
  <c r="M685" i="1"/>
  <c r="P685" i="1" s="1"/>
  <c r="M681" i="1"/>
  <c r="Q681" i="1" s="1"/>
  <c r="N700" i="1"/>
  <c r="O707" i="1"/>
  <c r="O384" i="1"/>
  <c r="N375" i="1"/>
  <c r="O360" i="1"/>
  <c r="N351" i="1"/>
  <c r="O336" i="1"/>
  <c r="N327" i="1"/>
  <c r="O312" i="1"/>
  <c r="N303" i="1"/>
  <c r="O288" i="1"/>
  <c r="N279" i="1"/>
  <c r="O264" i="1"/>
  <c r="N255" i="1"/>
  <c r="O240" i="1"/>
  <c r="N231" i="1"/>
  <c r="O216" i="1"/>
  <c r="N207" i="1"/>
  <c r="O192" i="1"/>
  <c r="N183" i="1"/>
  <c r="M679" i="1"/>
  <c r="Q679" i="1" s="1"/>
  <c r="O292" i="1"/>
  <c r="O244" i="1"/>
  <c r="N706" i="1"/>
  <c r="N697" i="1"/>
  <c r="M680" i="1"/>
  <c r="P680" i="1" s="1"/>
  <c r="M390" i="1"/>
  <c r="P390" i="1" s="1"/>
  <c r="M366" i="1"/>
  <c r="P366" i="1" s="1"/>
  <c r="O316" i="1"/>
  <c r="M311" i="1"/>
  <c r="P311" i="1" s="1"/>
  <c r="M287" i="1"/>
  <c r="P287" i="1" s="1"/>
  <c r="M263" i="1"/>
  <c r="F263" i="1" s="1"/>
  <c r="M239" i="1"/>
  <c r="P239" i="1" s="1"/>
  <c r="M215" i="1"/>
  <c r="Q215" i="1" s="1"/>
  <c r="M191" i="1"/>
  <c r="Q191" i="1" s="1"/>
  <c r="N680" i="1"/>
  <c r="O399" i="1"/>
  <c r="N390" i="1"/>
  <c r="O375" i="1"/>
  <c r="N366" i="1"/>
  <c r="O351" i="1"/>
  <c r="N342" i="1"/>
  <c r="O327" i="1"/>
  <c r="N318" i="1"/>
  <c r="O303" i="1"/>
  <c r="N294" i="1"/>
  <c r="O279" i="1"/>
  <c r="N270" i="1"/>
  <c r="O255" i="1"/>
  <c r="N246" i="1"/>
  <c r="O231" i="1"/>
  <c r="N222" i="1"/>
  <c r="O207" i="1"/>
  <c r="N198" i="1"/>
  <c r="O183" i="1"/>
  <c r="N174" i="1"/>
  <c r="N691" i="1"/>
  <c r="M383" i="1"/>
  <c r="F383" i="1" s="1"/>
  <c r="M359" i="1"/>
  <c r="F359" i="1" s="1"/>
  <c r="M335" i="1"/>
  <c r="Q335" i="1" s="1"/>
  <c r="M712" i="1"/>
  <c r="P712" i="1" s="1"/>
  <c r="O704" i="1"/>
  <c r="N712" i="1"/>
  <c r="N708" i="1"/>
  <c r="N400" i="1"/>
  <c r="N376" i="1"/>
  <c r="N352" i="1"/>
  <c r="M342" i="1"/>
  <c r="Q342" i="1" s="1"/>
  <c r="N328" i="1"/>
  <c r="M318" i="1"/>
  <c r="Q318" i="1" s="1"/>
  <c r="M294" i="1"/>
  <c r="Q294" i="1" s="1"/>
  <c r="M270" i="1"/>
  <c r="P270" i="1" s="1"/>
  <c r="M246" i="1"/>
  <c r="P246" i="1" s="1"/>
  <c r="M222" i="1"/>
  <c r="P222" i="1" s="1"/>
  <c r="M198" i="1"/>
  <c r="Q198" i="1" s="1"/>
  <c r="M174" i="1"/>
  <c r="F174" i="1" s="1"/>
  <c r="O695" i="1"/>
  <c r="N203" i="1"/>
  <c r="M193" i="1"/>
  <c r="P193" i="1" s="1"/>
  <c r="O188" i="1"/>
  <c r="O710" i="1"/>
  <c r="N684" i="1"/>
  <c r="O394" i="1"/>
  <c r="O370" i="1"/>
  <c r="O346" i="1"/>
  <c r="O322" i="1"/>
  <c r="O298" i="1"/>
  <c r="O274" i="1"/>
  <c r="O250" i="1"/>
  <c r="O226" i="1"/>
  <c r="O202" i="1"/>
  <c r="O178" i="1"/>
  <c r="M714" i="1"/>
  <c r="Q714" i="1" s="1"/>
  <c r="M360" i="1"/>
  <c r="F360" i="1" s="1"/>
  <c r="M336" i="1"/>
  <c r="P336" i="1" s="1"/>
  <c r="M312" i="1"/>
  <c r="P312" i="1" s="1"/>
  <c r="M288" i="1"/>
  <c r="F288" i="1" s="1"/>
  <c r="M264" i="1"/>
  <c r="P264" i="1" s="1"/>
  <c r="M240" i="1"/>
  <c r="P240" i="1" s="1"/>
  <c r="M216" i="1"/>
  <c r="Q216" i="1" s="1"/>
  <c r="M192" i="1"/>
  <c r="Q192" i="1" s="1"/>
  <c r="O713" i="1"/>
  <c r="M694" i="1"/>
  <c r="F694" i="1" s="1"/>
  <c r="E691" i="1"/>
  <c r="O383" i="1"/>
  <c r="N374" i="1"/>
  <c r="O359" i="1"/>
  <c r="N350" i="1"/>
  <c r="O335" i="1"/>
  <c r="N326" i="1"/>
  <c r="O311" i="1"/>
  <c r="N302" i="1"/>
  <c r="O287" i="1"/>
  <c r="N278" i="1"/>
  <c r="O263" i="1"/>
  <c r="N254" i="1"/>
  <c r="O239" i="1"/>
  <c r="N230" i="1"/>
  <c r="O215" i="1"/>
  <c r="N206" i="1"/>
  <c r="O191" i="1"/>
  <c r="N182" i="1"/>
  <c r="N701" i="1"/>
  <c r="N686" i="1"/>
  <c r="M705" i="1"/>
  <c r="P705" i="1" s="1"/>
  <c r="O689" i="1"/>
  <c r="E708" i="1"/>
  <c r="M692" i="1"/>
  <c r="F692" i="1" s="1"/>
  <c r="M688" i="1"/>
  <c r="F688" i="1" s="1"/>
  <c r="M703" i="1"/>
  <c r="F703" i="1" s="1"/>
  <c r="N692" i="1"/>
  <c r="O711" i="1"/>
  <c r="O708" i="1"/>
  <c r="N304" i="1"/>
  <c r="N280" i="1"/>
  <c r="N256" i="1"/>
  <c r="N232" i="1"/>
  <c r="N208" i="1"/>
  <c r="N184" i="1"/>
  <c r="O313" i="1"/>
  <c r="N690" i="1"/>
  <c r="N683" i="1"/>
  <c r="M697" i="1"/>
  <c r="F697" i="1" s="1"/>
  <c r="M687" i="1"/>
  <c r="Q687" i="1" s="1"/>
  <c r="M399" i="1"/>
  <c r="P399" i="1" s="1"/>
  <c r="M375" i="1"/>
  <c r="Q375" i="1" s="1"/>
  <c r="M351" i="1"/>
  <c r="Q351" i="1" s="1"/>
  <c r="M327" i="1"/>
  <c r="Q327" i="1" s="1"/>
  <c r="M303" i="1"/>
  <c r="Q303" i="1" s="1"/>
  <c r="M279" i="1"/>
  <c r="Q279" i="1" s="1"/>
  <c r="M255" i="1"/>
  <c r="P255" i="1" s="1"/>
  <c r="M231" i="1"/>
  <c r="P231" i="1" s="1"/>
  <c r="M207" i="1"/>
  <c r="P207" i="1" s="1"/>
  <c r="M183" i="1"/>
  <c r="F183" i="1" s="1"/>
  <c r="M711" i="1"/>
  <c r="P711" i="1" s="1"/>
  <c r="O690" i="1"/>
  <c r="M394" i="1"/>
  <c r="Q394" i="1" s="1"/>
  <c r="O389" i="1"/>
  <c r="M370" i="1"/>
  <c r="P370" i="1" s="1"/>
  <c r="O365" i="1"/>
  <c r="M346" i="1"/>
  <c r="P346" i="1" s="1"/>
  <c r="O341" i="1"/>
  <c r="M322" i="1"/>
  <c r="P322" i="1" s="1"/>
  <c r="O317" i="1"/>
  <c r="M298" i="1"/>
  <c r="P298" i="1" s="1"/>
  <c r="O293" i="1"/>
  <c r="M274" i="1"/>
  <c r="P274" i="1" s="1"/>
  <c r="O269" i="1"/>
  <c r="M250" i="1"/>
  <c r="P250" i="1" s="1"/>
  <c r="O245" i="1"/>
  <c r="M226" i="1"/>
  <c r="P226" i="1" s="1"/>
  <c r="O221" i="1"/>
  <c r="M202" i="1"/>
  <c r="P202" i="1" s="1"/>
  <c r="O197" i="1"/>
  <c r="M178" i="1"/>
  <c r="P178" i="1" s="1"/>
  <c r="O173" i="1"/>
  <c r="N710" i="1"/>
  <c r="M700" i="1"/>
  <c r="F700" i="1" s="1"/>
  <c r="M384" i="1"/>
  <c r="F384" i="1" s="1"/>
  <c r="M693" i="1"/>
  <c r="P693" i="1" s="1"/>
  <c r="M686" i="1"/>
  <c r="P686" i="1" s="1"/>
  <c r="M710" i="1"/>
  <c r="P710" i="1" s="1"/>
  <c r="O696" i="1"/>
  <c r="M398" i="1"/>
  <c r="P398" i="1" s="1"/>
  <c r="M374" i="1"/>
  <c r="P374" i="1" s="1"/>
  <c r="M350" i="1"/>
  <c r="P350" i="1" s="1"/>
  <c r="M326" i="1"/>
  <c r="P326" i="1" s="1"/>
  <c r="M302" i="1"/>
  <c r="P302" i="1" s="1"/>
  <c r="M278" i="1"/>
  <c r="P278" i="1" s="1"/>
  <c r="M254" i="1"/>
  <c r="P254" i="1" s="1"/>
  <c r="M230" i="1"/>
  <c r="P230" i="1" s="1"/>
  <c r="M206" i="1"/>
  <c r="P206" i="1" s="1"/>
  <c r="M182" i="1"/>
  <c r="P182" i="1" s="1"/>
  <c r="O388" i="1"/>
  <c r="O364" i="1"/>
  <c r="O340" i="1"/>
  <c r="O268" i="1"/>
  <c r="N398" i="1"/>
  <c r="O220" i="1"/>
  <c r="O196" i="1"/>
  <c r="O172" i="1"/>
  <c r="M707" i="1"/>
  <c r="F707" i="1" s="1"/>
  <c r="N696" i="1"/>
  <c r="N709" i="1"/>
  <c r="M689" i="1"/>
  <c r="P689" i="1" s="1"/>
  <c r="M392" i="1"/>
  <c r="F392" i="1" s="1"/>
  <c r="N383" i="1"/>
  <c r="M368" i="1"/>
  <c r="P368" i="1" s="1"/>
  <c r="N359" i="1"/>
  <c r="M344" i="1"/>
  <c r="F344" i="1" s="1"/>
  <c r="N335" i="1"/>
  <c r="M320" i="1"/>
  <c r="F320" i="1" s="1"/>
  <c r="N311" i="1"/>
  <c r="M296" i="1"/>
  <c r="F296" i="1" s="1"/>
  <c r="N287" i="1"/>
  <c r="M272" i="1"/>
  <c r="P272" i="1" s="1"/>
  <c r="N263" i="1"/>
  <c r="M248" i="1"/>
  <c r="Q248" i="1" s="1"/>
  <c r="N239" i="1"/>
  <c r="M224" i="1"/>
  <c r="Q224" i="1" s="1"/>
  <c r="N215" i="1"/>
  <c r="M200" i="1"/>
  <c r="P200" i="1" s="1"/>
  <c r="N191" i="1"/>
  <c r="M176" i="1"/>
  <c r="P176" i="1" s="1"/>
  <c r="M706" i="1"/>
  <c r="F706" i="1" s="1"/>
  <c r="N685" i="1"/>
  <c r="N695" i="1"/>
  <c r="O688" i="1"/>
  <c r="N681" i="1"/>
  <c r="O705" i="1"/>
  <c r="M695" i="1"/>
  <c r="Q695" i="1" s="1"/>
  <c r="N714" i="1"/>
  <c r="M691" i="1"/>
  <c r="Q691" i="1" s="1"/>
  <c r="O687" i="1"/>
  <c r="O680" i="1"/>
  <c r="N380" i="1"/>
  <c r="N356" i="1"/>
  <c r="N332" i="1"/>
  <c r="N308" i="1"/>
  <c r="N284" i="1"/>
  <c r="N260" i="1"/>
  <c r="N236" i="1"/>
  <c r="N212" i="1"/>
  <c r="N188" i="1"/>
  <c r="N385" i="1"/>
  <c r="N361" i="1"/>
  <c r="N337" i="1"/>
  <c r="N313" i="1"/>
  <c r="N289" i="1"/>
  <c r="N265" i="1"/>
  <c r="N241" i="1"/>
  <c r="N217" i="1"/>
  <c r="N193" i="1"/>
  <c r="N371" i="1"/>
  <c r="O337" i="1"/>
  <c r="E299" i="1"/>
  <c r="N384" i="1"/>
  <c r="N360" i="1"/>
  <c r="N336" i="1"/>
  <c r="N312" i="1"/>
  <c r="N288" i="1"/>
  <c r="N264" i="1"/>
  <c r="N240" i="1"/>
  <c r="N216" i="1"/>
  <c r="N192" i="1"/>
  <c r="N179" i="1"/>
  <c r="O289" i="1"/>
  <c r="O200" i="1"/>
  <c r="E390" i="1"/>
  <c r="E366" i="1"/>
  <c r="E342" i="1"/>
  <c r="E318" i="1"/>
  <c r="E294" i="1"/>
  <c r="E270" i="1"/>
  <c r="E246" i="1"/>
  <c r="E222" i="1"/>
  <c r="E198" i="1"/>
  <c r="E174" i="1"/>
  <c r="N347" i="1"/>
  <c r="E389" i="1"/>
  <c r="O390" i="1"/>
  <c r="O366" i="1"/>
  <c r="O342" i="1"/>
  <c r="O318" i="1"/>
  <c r="O294" i="1"/>
  <c r="O270" i="1"/>
  <c r="O246" i="1"/>
  <c r="O222" i="1"/>
  <c r="O198" i="1"/>
  <c r="O241" i="1"/>
  <c r="E395" i="1"/>
  <c r="E203" i="1"/>
  <c r="M313" i="1"/>
  <c r="Q313" i="1" s="1"/>
  <c r="E341" i="1"/>
  <c r="E197" i="1"/>
  <c r="O385" i="1"/>
  <c r="O265" i="1"/>
  <c r="O217" i="1"/>
  <c r="E323" i="1"/>
  <c r="E269" i="1"/>
  <c r="N227" i="1"/>
  <c r="O361" i="1"/>
  <c r="E251" i="1"/>
  <c r="E365" i="1"/>
  <c r="E293" i="1"/>
  <c r="E173" i="1"/>
  <c r="N381" i="1"/>
  <c r="N357" i="1"/>
  <c r="N333" i="1"/>
  <c r="N317" i="1"/>
  <c r="N309" i="1"/>
  <c r="N285" i="1"/>
  <c r="N261" i="1"/>
  <c r="N245" i="1"/>
  <c r="N237" i="1"/>
  <c r="N221" i="1"/>
  <c r="N213" i="1"/>
  <c r="N189" i="1"/>
  <c r="E275" i="1"/>
  <c r="O193" i="1"/>
  <c r="O699" i="1"/>
  <c r="O682" i="1"/>
  <c r="N679" i="1"/>
  <c r="N713" i="1"/>
  <c r="N707" i="1"/>
  <c r="M704" i="1"/>
  <c r="P704" i="1" s="1"/>
  <c r="N699" i="1"/>
  <c r="M696" i="1"/>
  <c r="F696" i="1" s="1"/>
  <c r="N693" i="1"/>
  <c r="N682" i="1"/>
  <c r="M713" i="1"/>
  <c r="P713" i="1" s="1"/>
  <c r="M699" i="1"/>
  <c r="Q699" i="1" s="1"/>
  <c r="N704" i="1"/>
  <c r="O701" i="1"/>
  <c r="O693" i="1"/>
  <c r="N703" i="1"/>
  <c r="M701" i="1"/>
  <c r="Q701" i="1" s="1"/>
  <c r="M698" i="1"/>
  <c r="P698" i="1" s="1"/>
  <c r="M684" i="1"/>
  <c r="P684" i="1" s="1"/>
  <c r="O681" i="1"/>
  <c r="O712" i="1"/>
  <c r="O706" i="1"/>
  <c r="O703" i="1"/>
  <c r="E701" i="1"/>
  <c r="O692" i="1"/>
  <c r="N687" i="1"/>
  <c r="O714" i="1"/>
  <c r="O700" i="1"/>
  <c r="E712" i="1"/>
  <c r="N689" i="1"/>
  <c r="O683" i="1"/>
  <c r="E706" i="1"/>
  <c r="M708" i="1"/>
  <c r="Q708" i="1" s="1"/>
  <c r="N705" i="1"/>
  <c r="O694" i="1"/>
  <c r="O702" i="1"/>
  <c r="E689" i="1"/>
  <c r="N711" i="1"/>
  <c r="N702" i="1"/>
  <c r="M683" i="1"/>
  <c r="P683" i="1" s="1"/>
  <c r="E680" i="1"/>
  <c r="N694" i="1"/>
  <c r="E700" i="1"/>
  <c r="E697" i="1"/>
  <c r="N688" i="1"/>
  <c r="O709" i="1"/>
  <c r="O697" i="1"/>
  <c r="O685" i="1"/>
  <c r="E699" i="1"/>
  <c r="E711" i="1"/>
  <c r="E687" i="1"/>
  <c r="E692" i="1"/>
  <c r="O698" i="1"/>
  <c r="O686" i="1"/>
  <c r="E704" i="1"/>
  <c r="M634" i="1"/>
  <c r="F634" i="1" s="1"/>
  <c r="N638" i="1"/>
  <c r="O599" i="1"/>
  <c r="N590" i="1"/>
  <c r="N671" i="1"/>
  <c r="O635" i="1"/>
  <c r="O601" i="1"/>
  <c r="N568" i="1"/>
  <c r="O642" i="1"/>
  <c r="O583" i="1"/>
  <c r="M611" i="1"/>
  <c r="Q611" i="1" s="1"/>
  <c r="O605" i="1"/>
  <c r="M628" i="1"/>
  <c r="P628" i="1" s="1"/>
  <c r="M641" i="1"/>
  <c r="Q641" i="1" s="1"/>
  <c r="M569" i="1"/>
  <c r="F569" i="1" s="1"/>
  <c r="O36" i="1"/>
  <c r="N149" i="1"/>
  <c r="O135" i="1"/>
  <c r="O111" i="1"/>
  <c r="O87" i="1"/>
  <c r="N78" i="1"/>
  <c r="O63" i="1"/>
  <c r="N54" i="1"/>
  <c r="O39" i="1"/>
  <c r="O15" i="1"/>
  <c r="O603" i="1"/>
  <c r="M646" i="1"/>
  <c r="F646" i="1" s="1"/>
  <c r="O669" i="1"/>
  <c r="M658" i="1"/>
  <c r="P658" i="1" s="1"/>
  <c r="M677" i="1"/>
  <c r="Q677" i="1" s="1"/>
  <c r="M671" i="1"/>
  <c r="F671" i="1" s="1"/>
  <c r="M655" i="1"/>
  <c r="Q655" i="1" s="1"/>
  <c r="O626" i="1"/>
  <c r="O620" i="1"/>
  <c r="O656" i="1"/>
  <c r="M602" i="1"/>
  <c r="F602" i="1" s="1"/>
  <c r="M592" i="1"/>
  <c r="F592" i="1" s="1"/>
  <c r="O587" i="1"/>
  <c r="N578" i="1"/>
  <c r="N573" i="1"/>
  <c r="M572" i="1"/>
  <c r="Q572" i="1" s="1"/>
  <c r="O643" i="1"/>
  <c r="O662" i="1"/>
  <c r="O628" i="1"/>
  <c r="O566" i="1"/>
  <c r="M580" i="1"/>
  <c r="Q580" i="1" s="1"/>
  <c r="N580" i="1"/>
  <c r="M660" i="1"/>
  <c r="Q660" i="1" s="1"/>
  <c r="M559" i="1"/>
  <c r="Q559" i="1" s="1"/>
  <c r="M612" i="1"/>
  <c r="F612" i="1" s="1"/>
  <c r="O592" i="1"/>
  <c r="O568" i="1"/>
  <c r="M587" i="1"/>
  <c r="Q587" i="1" s="1"/>
  <c r="M648" i="1"/>
  <c r="P648" i="1" s="1"/>
  <c r="O629" i="1"/>
  <c r="M562" i="1"/>
  <c r="Q562" i="1" s="1"/>
  <c r="O558" i="1"/>
  <c r="E590" i="1"/>
  <c r="O638" i="1"/>
  <c r="M619" i="1"/>
  <c r="P619" i="1" s="1"/>
  <c r="M72" i="1"/>
  <c r="P72" i="1" s="1"/>
  <c r="E638" i="1"/>
  <c r="M669" i="1"/>
  <c r="Q669" i="1" s="1"/>
  <c r="M645" i="1"/>
  <c r="P645" i="1" s="1"/>
  <c r="O152" i="1"/>
  <c r="O129" i="1"/>
  <c r="O105" i="1"/>
  <c r="O81" i="1"/>
  <c r="O33" i="1"/>
  <c r="O664" i="1"/>
  <c r="M599" i="1"/>
  <c r="Q599" i="1" s="1"/>
  <c r="N575" i="1"/>
  <c r="O565" i="1"/>
  <c r="O673" i="1"/>
  <c r="N669" i="1"/>
  <c r="M644" i="1"/>
  <c r="Q644" i="1" s="1"/>
  <c r="N640" i="1"/>
  <c r="M626" i="1"/>
  <c r="F626" i="1" s="1"/>
  <c r="O602" i="1"/>
  <c r="O569" i="1"/>
  <c r="O653" i="1"/>
  <c r="O578" i="1"/>
  <c r="E578" i="1"/>
  <c r="N672" i="1"/>
  <c r="M578" i="1"/>
  <c r="P578" i="1" s="1"/>
  <c r="N676" i="1"/>
  <c r="N657" i="1"/>
  <c r="M629" i="1"/>
  <c r="F629" i="1" s="1"/>
  <c r="M635" i="1"/>
  <c r="P635" i="1" s="1"/>
  <c r="O595" i="1"/>
  <c r="M604" i="1"/>
  <c r="F604" i="1" s="1"/>
  <c r="M590" i="1"/>
  <c r="F590" i="1" s="1"/>
  <c r="O613" i="1"/>
  <c r="O580" i="1"/>
  <c r="N652" i="1"/>
  <c r="E671" i="1"/>
  <c r="M24" i="1"/>
  <c r="F24" i="1" s="1"/>
  <c r="M575" i="1"/>
  <c r="P575" i="1" s="1"/>
  <c r="E676" i="1"/>
  <c r="N623" i="1"/>
  <c r="O608" i="1"/>
  <c r="O559" i="1"/>
  <c r="N635" i="1"/>
  <c r="O639" i="1"/>
  <c r="O590" i="1"/>
  <c r="O577" i="1"/>
  <c r="N599" i="1"/>
  <c r="M622" i="1"/>
  <c r="F622" i="1" s="1"/>
  <c r="M595" i="1"/>
  <c r="Q595" i="1" s="1"/>
  <c r="N89" i="1"/>
  <c r="N626" i="1"/>
  <c r="O581" i="1"/>
  <c r="M568" i="1"/>
  <c r="F568" i="1" s="1"/>
  <c r="O563" i="1"/>
  <c r="E640" i="1"/>
  <c r="M657" i="1"/>
  <c r="Q657" i="1" s="1"/>
  <c r="O652" i="1"/>
  <c r="M581" i="1"/>
  <c r="Q581" i="1" s="1"/>
  <c r="M563" i="1"/>
  <c r="P563" i="1" s="1"/>
  <c r="O666" i="1"/>
  <c r="O616" i="1"/>
  <c r="M598" i="1"/>
  <c r="Q598" i="1" s="1"/>
  <c r="M675" i="1"/>
  <c r="Q675" i="1" s="1"/>
  <c r="M661" i="1"/>
  <c r="Q661" i="1" s="1"/>
  <c r="M616" i="1"/>
  <c r="P616" i="1" s="1"/>
  <c r="N621" i="1"/>
  <c r="O593" i="1"/>
  <c r="N585" i="1"/>
  <c r="O571" i="1"/>
  <c r="M651" i="1"/>
  <c r="Q651" i="1" s="1"/>
  <c r="N616" i="1"/>
  <c r="M571" i="1"/>
  <c r="P571" i="1" s="1"/>
  <c r="O674" i="1"/>
  <c r="M665" i="1"/>
  <c r="P665" i="1" s="1"/>
  <c r="M584" i="1"/>
  <c r="Q584" i="1" s="1"/>
  <c r="O575" i="1"/>
  <c r="M557" i="1"/>
  <c r="P557" i="1" s="1"/>
  <c r="O678" i="1"/>
  <c r="M674" i="1"/>
  <c r="Q674" i="1" s="1"/>
  <c r="O619" i="1"/>
  <c r="O596" i="1"/>
  <c r="N561" i="1"/>
  <c r="N597" i="1"/>
  <c r="O659" i="1"/>
  <c r="N650" i="1"/>
  <c r="M138" i="1"/>
  <c r="P138" i="1" s="1"/>
  <c r="M114" i="1"/>
  <c r="F114" i="1" s="1"/>
  <c r="M90" i="1"/>
  <c r="F90" i="1" s="1"/>
  <c r="M66" i="1"/>
  <c r="F66" i="1" s="1"/>
  <c r="N664" i="1"/>
  <c r="O649" i="1"/>
  <c r="M636" i="1"/>
  <c r="P636" i="1" s="1"/>
  <c r="N628" i="1"/>
  <c r="M624" i="1"/>
  <c r="Q624" i="1" s="1"/>
  <c r="O591" i="1"/>
  <c r="O146" i="1"/>
  <c r="O123" i="1"/>
  <c r="O99" i="1"/>
  <c r="N90" i="1"/>
  <c r="O51" i="1"/>
  <c r="N42" i="1"/>
  <c r="O27" i="1"/>
  <c r="E580" i="1"/>
  <c r="M668" i="1"/>
  <c r="F668" i="1" s="1"/>
  <c r="O663" i="1"/>
  <c r="O644" i="1"/>
  <c r="M623" i="1"/>
  <c r="P623" i="1" s="1"/>
  <c r="O618" i="1"/>
  <c r="N609" i="1"/>
  <c r="O604" i="1"/>
  <c r="M583" i="1"/>
  <c r="Q583" i="1" s="1"/>
  <c r="E568" i="1"/>
  <c r="O657" i="1"/>
  <c r="M640" i="1"/>
  <c r="Q640" i="1" s="1"/>
  <c r="M620" i="1"/>
  <c r="F620" i="1" s="1"/>
  <c r="M608" i="1"/>
  <c r="Q608" i="1" s="1"/>
  <c r="M560" i="1"/>
  <c r="F560" i="1" s="1"/>
  <c r="M653" i="1"/>
  <c r="Q653" i="1" s="1"/>
  <c r="N64" i="1"/>
  <c r="O631" i="1"/>
  <c r="N592" i="1"/>
  <c r="N648" i="1"/>
  <c r="M664" i="1"/>
  <c r="Q664" i="1" s="1"/>
  <c r="M643" i="1"/>
  <c r="Q643" i="1" s="1"/>
  <c r="M627" i="1"/>
  <c r="F627" i="1" s="1"/>
  <c r="O611" i="1"/>
  <c r="O660" i="1"/>
  <c r="M647" i="1"/>
  <c r="Q647" i="1" s="1"/>
  <c r="M631" i="1"/>
  <c r="F631" i="1" s="1"/>
  <c r="O623" i="1"/>
  <c r="O567" i="1"/>
  <c r="O676" i="1"/>
  <c r="O630" i="1"/>
  <c r="O615" i="1"/>
  <c r="O579" i="1"/>
  <c r="O606" i="1"/>
  <c r="N647" i="1"/>
  <c r="M676" i="1"/>
  <c r="F676" i="1" s="1"/>
  <c r="M630" i="1"/>
  <c r="Q630" i="1" s="1"/>
  <c r="O594" i="1"/>
  <c r="O582" i="1"/>
  <c r="N629" i="1"/>
  <c r="N655" i="1"/>
  <c r="M642" i="1"/>
  <c r="Q642" i="1" s="1"/>
  <c r="N602" i="1"/>
  <c r="O570" i="1"/>
  <c r="M151" i="1"/>
  <c r="F151" i="1" s="1"/>
  <c r="M104" i="1"/>
  <c r="P104" i="1" s="1"/>
  <c r="M80" i="1"/>
  <c r="F80" i="1" s="1"/>
  <c r="M32" i="1"/>
  <c r="F32" i="1" s="1"/>
  <c r="M8" i="1"/>
  <c r="Q8" i="1" s="1"/>
  <c r="E585" i="1"/>
  <c r="M659" i="1"/>
  <c r="F659" i="1" s="1"/>
  <c r="N645" i="1"/>
  <c r="N641" i="1"/>
  <c r="O633" i="1"/>
  <c r="M605" i="1"/>
  <c r="F605" i="1" s="1"/>
  <c r="N581" i="1"/>
  <c r="M566" i="1"/>
  <c r="F566" i="1" s="1"/>
  <c r="M133" i="1"/>
  <c r="P133" i="1" s="1"/>
  <c r="M109" i="1"/>
  <c r="Q109" i="1" s="1"/>
  <c r="M85" i="1"/>
  <c r="Q85" i="1" s="1"/>
  <c r="M61" i="1"/>
  <c r="Q61" i="1" s="1"/>
  <c r="M37" i="1"/>
  <c r="P37" i="1" s="1"/>
  <c r="M13" i="1"/>
  <c r="P13" i="1" s="1"/>
  <c r="M650" i="1"/>
  <c r="Q650" i="1" s="1"/>
  <c r="O641" i="1"/>
  <c r="M638" i="1"/>
  <c r="P638" i="1" s="1"/>
  <c r="N593" i="1"/>
  <c r="M574" i="1"/>
  <c r="F574" i="1" s="1"/>
  <c r="M128" i="1"/>
  <c r="P128" i="1" s="1"/>
  <c r="M1179" i="1"/>
  <c r="Q1179" i="1" s="1"/>
  <c r="M637" i="1"/>
  <c r="Q637" i="1" s="1"/>
  <c r="M633" i="1"/>
  <c r="Q633" i="1" s="1"/>
  <c r="M618" i="1"/>
  <c r="Q618" i="1" s="1"/>
  <c r="M585" i="1"/>
  <c r="Q585" i="1" s="1"/>
  <c r="N662" i="1"/>
  <c r="O625" i="1"/>
  <c r="N617" i="1"/>
  <c r="O589" i="1"/>
  <c r="M65" i="1"/>
  <c r="F65" i="1" s="1"/>
  <c r="M137" i="1"/>
  <c r="F137" i="1" s="1"/>
  <c r="M561" i="1"/>
  <c r="F561" i="1" s="1"/>
  <c r="M41" i="1"/>
  <c r="F41" i="1" s="1"/>
  <c r="M621" i="1"/>
  <c r="F621" i="1" s="1"/>
  <c r="M662" i="1"/>
  <c r="F662" i="1" s="1"/>
  <c r="M649" i="1"/>
  <c r="P649" i="1" s="1"/>
  <c r="O617" i="1"/>
  <c r="N674" i="1"/>
  <c r="N665" i="1"/>
  <c r="O632" i="1"/>
  <c r="M596" i="1"/>
  <c r="Q596" i="1" s="1"/>
  <c r="M573" i="1"/>
  <c r="Q573" i="1" s="1"/>
  <c r="M678" i="1"/>
  <c r="P678" i="1" s="1"/>
  <c r="N119" i="1"/>
  <c r="N95" i="1"/>
  <c r="M588" i="1"/>
  <c r="F588" i="1" s="1"/>
  <c r="N588" i="1"/>
  <c r="E666" i="1"/>
  <c r="E606" i="1"/>
  <c r="N631" i="1"/>
  <c r="N661" i="1"/>
  <c r="O597" i="1"/>
  <c r="P168" i="1"/>
  <c r="F168" i="1"/>
  <c r="O677" i="1"/>
  <c r="N18" i="1"/>
  <c r="O667" i="1"/>
  <c r="O647" i="1"/>
  <c r="N644" i="1"/>
  <c r="O624" i="1"/>
  <c r="N614" i="1"/>
  <c r="O607" i="1"/>
  <c r="M597" i="1"/>
  <c r="Q597" i="1" s="1"/>
  <c r="O576" i="1"/>
  <c r="E573" i="1"/>
  <c r="N677" i="1"/>
  <c r="M667" i="1"/>
  <c r="P667" i="1" s="1"/>
  <c r="M617" i="1"/>
  <c r="F617" i="1" s="1"/>
  <c r="M614" i="1"/>
  <c r="F614" i="1" s="1"/>
  <c r="M607" i="1"/>
  <c r="P607" i="1" s="1"/>
  <c r="M593" i="1"/>
  <c r="F593" i="1" s="1"/>
  <c r="E559" i="1"/>
  <c r="N559" i="1"/>
  <c r="N675" i="1"/>
  <c r="N624" i="1"/>
  <c r="O614" i="1"/>
  <c r="N611" i="1"/>
  <c r="N601" i="1"/>
  <c r="M88" i="1"/>
  <c r="Q88" i="1" s="1"/>
  <c r="M64" i="1"/>
  <c r="Q64" i="1" s="1"/>
  <c r="O11" i="1"/>
  <c r="M654" i="1"/>
  <c r="Q654" i="1" s="1"/>
  <c r="O650" i="1"/>
  <c r="O640" i="1"/>
  <c r="O600" i="1"/>
  <c r="O572" i="1"/>
  <c r="E583" i="1"/>
  <c r="N583" i="1"/>
  <c r="M670" i="1"/>
  <c r="F670" i="1" s="1"/>
  <c r="N653" i="1"/>
  <c r="N643" i="1"/>
  <c r="N637" i="1"/>
  <c r="M576" i="1"/>
  <c r="F576" i="1" s="1"/>
  <c r="N576" i="1"/>
  <c r="E594" i="1"/>
  <c r="N667" i="1"/>
  <c r="N627" i="1"/>
  <c r="E607" i="1"/>
  <c r="N607" i="1"/>
  <c r="M586" i="1"/>
  <c r="F586" i="1" s="1"/>
  <c r="N572" i="1"/>
  <c r="E604" i="1"/>
  <c r="N604" i="1"/>
  <c r="M68" i="1"/>
  <c r="P68" i="1" s="1"/>
  <c r="M44" i="1"/>
  <c r="F44" i="1" s="1"/>
  <c r="M20" i="1"/>
  <c r="F20" i="1" s="1"/>
  <c r="N6" i="1"/>
  <c r="N620" i="1"/>
  <c r="M600" i="1"/>
  <c r="F600" i="1" s="1"/>
  <c r="N600" i="1"/>
  <c r="M663" i="1"/>
  <c r="P663" i="1" s="1"/>
  <c r="E657" i="1"/>
  <c r="O636" i="1"/>
  <c r="M610" i="1"/>
  <c r="F610" i="1" s="1"/>
  <c r="E660" i="1"/>
  <c r="N660" i="1"/>
  <c r="N596" i="1"/>
  <c r="N565" i="1"/>
  <c r="O561" i="1"/>
  <c r="N613" i="1"/>
  <c r="E633" i="1"/>
  <c r="N633" i="1"/>
  <c r="M672" i="1"/>
  <c r="P672" i="1" s="1"/>
  <c r="M666" i="1"/>
  <c r="Q666" i="1" s="1"/>
  <c r="N656" i="1"/>
  <c r="E636" i="1"/>
  <c r="N636" i="1"/>
  <c r="O609" i="1"/>
  <c r="O147" i="1"/>
  <c r="N139" i="1"/>
  <c r="O124" i="1"/>
  <c r="N115" i="1"/>
  <c r="O76" i="1"/>
  <c r="O28" i="1"/>
  <c r="O4" i="1"/>
  <c r="E624" i="1"/>
  <c r="O672" i="1"/>
  <c r="O665" i="1"/>
  <c r="N639" i="1"/>
  <c r="M609" i="1"/>
  <c r="Q609" i="1" s="1"/>
  <c r="N605" i="1"/>
  <c r="O588" i="1"/>
  <c r="E575" i="1"/>
  <c r="O560" i="1"/>
  <c r="N612" i="1"/>
  <c r="N571" i="1"/>
  <c r="O585" i="1"/>
  <c r="O564" i="1"/>
  <c r="N129" i="1"/>
  <c r="M71" i="1"/>
  <c r="P71" i="1" s="1"/>
  <c r="N57" i="1"/>
  <c r="E674" i="1"/>
  <c r="O675" i="1"/>
  <c r="O655" i="1"/>
  <c r="M652" i="1"/>
  <c r="Q652" i="1" s="1"/>
  <c r="M632" i="1"/>
  <c r="P632" i="1" s="1"/>
  <c r="N619" i="1"/>
  <c r="O612" i="1"/>
  <c r="E609" i="1"/>
  <c r="O584" i="1"/>
  <c r="M564" i="1"/>
  <c r="N564" i="1"/>
  <c r="N663" i="1"/>
  <c r="N589" i="1"/>
  <c r="N96" i="1"/>
  <c r="N659" i="1"/>
  <c r="O645" i="1"/>
  <c r="N595" i="1"/>
  <c r="N560" i="1"/>
  <c r="E669" i="1"/>
  <c r="E561" i="1"/>
  <c r="N563" i="1"/>
  <c r="N584" i="1"/>
  <c r="E611" i="1"/>
  <c r="N668" i="1"/>
  <c r="O661" i="1"/>
  <c r="N625" i="1"/>
  <c r="N608" i="1"/>
  <c r="O648" i="1"/>
  <c r="N587" i="1"/>
  <c r="N577" i="1"/>
  <c r="O573" i="1"/>
  <c r="N566" i="1"/>
  <c r="O1179" i="1"/>
  <c r="E664" i="1"/>
  <c r="O671" i="1"/>
  <c r="O654" i="1"/>
  <c r="N651" i="1"/>
  <c r="O621" i="1"/>
  <c r="N569" i="1"/>
  <c r="M606" i="1"/>
  <c r="Q606" i="1" s="1"/>
  <c r="M594" i="1"/>
  <c r="Q594" i="1" s="1"/>
  <c r="M582" i="1"/>
  <c r="Q582" i="1" s="1"/>
  <c r="M570" i="1"/>
  <c r="P570" i="1" s="1"/>
  <c r="M558" i="1"/>
  <c r="Q558" i="1" s="1"/>
  <c r="M139" i="1"/>
  <c r="P139" i="1" s="1"/>
  <c r="M115" i="1"/>
  <c r="P115" i="1" s="1"/>
  <c r="M91" i="1"/>
  <c r="P91" i="1" s="1"/>
  <c r="O1185" i="1"/>
  <c r="O668" i="1"/>
  <c r="M656" i="1"/>
  <c r="Q656" i="1" s="1"/>
  <c r="N632" i="1"/>
  <c r="O637" i="1"/>
  <c r="M625" i="1"/>
  <c r="Q625" i="1" s="1"/>
  <c r="M613" i="1"/>
  <c r="Q613" i="1" s="1"/>
  <c r="M601" i="1"/>
  <c r="Q601" i="1" s="1"/>
  <c r="M589" i="1"/>
  <c r="Q589" i="1" s="1"/>
  <c r="M577" i="1"/>
  <c r="Q577" i="1" s="1"/>
  <c r="M565" i="1"/>
  <c r="Q565" i="1" s="1"/>
  <c r="N133" i="1"/>
  <c r="O118" i="1"/>
  <c r="N1184" i="1"/>
  <c r="M673" i="1"/>
  <c r="P673" i="1" s="1"/>
  <c r="N649" i="1"/>
  <c r="M17" i="1"/>
  <c r="Q17" i="1" s="1"/>
  <c r="N673" i="1"/>
  <c r="O145" i="1"/>
  <c r="N137" i="1"/>
  <c r="O122" i="1"/>
  <c r="N113" i="1"/>
  <c r="O98" i="1"/>
  <c r="O74" i="1"/>
  <c r="N65" i="1"/>
  <c r="O627" i="1"/>
  <c r="M615" i="1"/>
  <c r="F615" i="1" s="1"/>
  <c r="M603" i="1"/>
  <c r="F603" i="1" s="1"/>
  <c r="M591" i="1"/>
  <c r="F591" i="1" s="1"/>
  <c r="M579" i="1"/>
  <c r="F579" i="1" s="1"/>
  <c r="M567" i="1"/>
  <c r="F567" i="1" s="1"/>
  <c r="O651" i="1"/>
  <c r="M639" i="1"/>
  <c r="P639" i="1" s="1"/>
  <c r="N615" i="1"/>
  <c r="N603" i="1"/>
  <c r="N591" i="1"/>
  <c r="N579" i="1"/>
  <c r="N567" i="1"/>
  <c r="O670" i="1"/>
  <c r="O658" i="1"/>
  <c r="O646" i="1"/>
  <c r="O634" i="1"/>
  <c r="O622" i="1"/>
  <c r="O610" i="1"/>
  <c r="O598" i="1"/>
  <c r="O586" i="1"/>
  <c r="O574" i="1"/>
  <c r="O562" i="1"/>
  <c r="E675" i="1"/>
  <c r="E651" i="1"/>
  <c r="E627" i="1"/>
  <c r="E603" i="1"/>
  <c r="E579" i="1"/>
  <c r="N670" i="1"/>
  <c r="N658" i="1"/>
  <c r="N646" i="1"/>
  <c r="N634" i="1"/>
  <c r="N622" i="1"/>
  <c r="N610" i="1"/>
  <c r="N598" i="1"/>
  <c r="N586" i="1"/>
  <c r="N574" i="1"/>
  <c r="N562" i="1"/>
  <c r="E663" i="1"/>
  <c r="E639" i="1"/>
  <c r="E615" i="1"/>
  <c r="E591" i="1"/>
  <c r="E567" i="1"/>
  <c r="E661" i="1"/>
  <c r="E637" i="1"/>
  <c r="E613" i="1"/>
  <c r="E589" i="1"/>
  <c r="E565" i="1"/>
  <c r="N678" i="1"/>
  <c r="N666" i="1"/>
  <c r="N654" i="1"/>
  <c r="N642" i="1"/>
  <c r="N630" i="1"/>
  <c r="N618" i="1"/>
  <c r="N606" i="1"/>
  <c r="N594" i="1"/>
  <c r="N582" i="1"/>
  <c r="N570" i="1"/>
  <c r="N558" i="1"/>
  <c r="E658" i="1"/>
  <c r="E634" i="1"/>
  <c r="E610" i="1"/>
  <c r="E586" i="1"/>
  <c r="E562" i="1"/>
  <c r="E644" i="1"/>
  <c r="E668" i="1"/>
  <c r="E596" i="1"/>
  <c r="E656" i="1"/>
  <c r="E632" i="1"/>
  <c r="E608" i="1"/>
  <c r="E584" i="1"/>
  <c r="E560" i="1"/>
  <c r="E620" i="1"/>
  <c r="E572" i="1"/>
  <c r="N557" i="1"/>
  <c r="O557" i="1"/>
  <c r="O149" i="1"/>
  <c r="M144" i="1"/>
  <c r="P144" i="1" s="1"/>
  <c r="O140" i="1"/>
  <c r="N131" i="1"/>
  <c r="M121" i="1"/>
  <c r="P121" i="1" s="1"/>
  <c r="O116" i="1"/>
  <c r="N107" i="1"/>
  <c r="M97" i="1"/>
  <c r="P97" i="1" s="1"/>
  <c r="O92" i="1"/>
  <c r="N83" i="1"/>
  <c r="M73" i="1"/>
  <c r="P73" i="1" s="1"/>
  <c r="O68" i="1"/>
  <c r="N59" i="1"/>
  <c r="M49" i="1"/>
  <c r="F49" i="1" s="1"/>
  <c r="O44" i="1"/>
  <c r="N35" i="1"/>
  <c r="M25" i="1"/>
  <c r="F25" i="1" s="1"/>
  <c r="O20" i="1"/>
  <c r="N11" i="1"/>
  <c r="M116" i="1"/>
  <c r="F116" i="1" s="1"/>
  <c r="M140" i="1"/>
  <c r="P140" i="1" s="1"/>
  <c r="M92" i="1"/>
  <c r="Q92" i="1" s="1"/>
  <c r="O153" i="1"/>
  <c r="M135" i="1"/>
  <c r="P135" i="1" s="1"/>
  <c r="O130" i="1"/>
  <c r="N121" i="1"/>
  <c r="M111" i="1"/>
  <c r="F111" i="1" s="1"/>
  <c r="O106" i="1"/>
  <c r="N97" i="1"/>
  <c r="M87" i="1"/>
  <c r="Q87" i="1" s="1"/>
  <c r="O82" i="1"/>
  <c r="O148" i="1"/>
  <c r="N140" i="1"/>
  <c r="O125" i="1"/>
  <c r="N116" i="1"/>
  <c r="O101" i="1"/>
  <c r="M82" i="1"/>
  <c r="Q82" i="1" s="1"/>
  <c r="O77" i="1"/>
  <c r="M58" i="1"/>
  <c r="Q58" i="1" s="1"/>
  <c r="O53" i="1"/>
  <c r="M34" i="1"/>
  <c r="Q34" i="1" s="1"/>
  <c r="O29" i="1"/>
  <c r="N20" i="1"/>
  <c r="O5" i="1"/>
  <c r="N111" i="1"/>
  <c r="O96" i="1"/>
  <c r="M77" i="1"/>
  <c r="F77" i="1" s="1"/>
  <c r="O72" i="1"/>
  <c r="M53" i="1"/>
  <c r="P53" i="1" s="1"/>
  <c r="O48" i="1"/>
  <c r="O24" i="1"/>
  <c r="N15" i="1"/>
  <c r="Q1191" i="1"/>
  <c r="N148" i="1"/>
  <c r="O134" i="1"/>
  <c r="O110" i="1"/>
  <c r="O86" i="1"/>
  <c r="N77" i="1"/>
  <c r="M67" i="1"/>
  <c r="P67" i="1" s="1"/>
  <c r="O62" i="1"/>
  <c r="N53" i="1"/>
  <c r="O38" i="1"/>
  <c r="M19" i="1"/>
  <c r="P19" i="1" s="1"/>
  <c r="O14" i="1"/>
  <c r="N5" i="1"/>
  <c r="M113" i="1"/>
  <c r="F113" i="1" s="1"/>
  <c r="N86" i="1"/>
  <c r="N41" i="1"/>
  <c r="O26" i="1"/>
  <c r="N17" i="1"/>
  <c r="O143" i="1"/>
  <c r="M141" i="1"/>
  <c r="F141" i="1" s="1"/>
  <c r="M117" i="1"/>
  <c r="P117" i="1" s="1"/>
  <c r="M93" i="1"/>
  <c r="P93" i="1" s="1"/>
  <c r="M69" i="1"/>
  <c r="F69" i="1" s="1"/>
  <c r="N60" i="1"/>
  <c r="M45" i="1"/>
  <c r="F45" i="1" s="1"/>
  <c r="M21" i="1"/>
  <c r="P21" i="1" s="1"/>
  <c r="N73" i="1"/>
  <c r="M63" i="1"/>
  <c r="F63" i="1" s="1"/>
  <c r="O58" i="1"/>
  <c r="M39" i="1"/>
  <c r="P39" i="1" s="1"/>
  <c r="O34" i="1"/>
  <c r="M15" i="1"/>
  <c r="P15" i="1" s="1"/>
  <c r="O10" i="1"/>
  <c r="N82" i="1"/>
  <c r="M86" i="1"/>
  <c r="F86" i="1" s="1"/>
  <c r="N130" i="1"/>
  <c r="N58" i="1"/>
  <c r="O43" i="1"/>
  <c r="N34" i="1"/>
  <c r="N92" i="1"/>
  <c r="M1180" i="1"/>
  <c r="P1180" i="1" s="1"/>
  <c r="O1187" i="1"/>
  <c r="M3" i="1"/>
  <c r="Q3" i="1" s="1"/>
  <c r="N87" i="1"/>
  <c r="M89" i="1"/>
  <c r="O150" i="1"/>
  <c r="O79" i="1"/>
  <c r="M1183" i="1"/>
  <c r="Q1183" i="1" s="1"/>
  <c r="M1187" i="1"/>
  <c r="P1187" i="1" s="1"/>
  <c r="Q1041" i="1"/>
  <c r="N150" i="1"/>
  <c r="O136" i="1"/>
  <c r="N127" i="1"/>
  <c r="O112" i="1"/>
  <c r="N103" i="1"/>
  <c r="O88" i="1"/>
  <c r="N79" i="1"/>
  <c r="O64" i="1"/>
  <c r="N55" i="1"/>
  <c r="O40" i="1"/>
  <c r="N3" i="1"/>
  <c r="O131" i="1"/>
  <c r="N122" i="1"/>
  <c r="O107" i="1"/>
  <c r="O83" i="1"/>
  <c r="O35" i="1"/>
  <c r="N26" i="1"/>
  <c r="M149" i="1"/>
  <c r="P149" i="1" s="1"/>
  <c r="O144" i="1"/>
  <c r="N136" i="1"/>
  <c r="M126" i="1"/>
  <c r="P126" i="1" s="1"/>
  <c r="M102" i="1"/>
  <c r="Q102" i="1" s="1"/>
  <c r="N88" i="1"/>
  <c r="M78" i="1"/>
  <c r="Q78" i="1" s="1"/>
  <c r="M54" i="1"/>
  <c r="P54" i="1" s="1"/>
  <c r="O49" i="1"/>
  <c r="N40" i="1"/>
  <c r="M30" i="1"/>
  <c r="Q30" i="1" s="1"/>
  <c r="O25" i="1"/>
  <c r="M6" i="1"/>
  <c r="Q6" i="1" s="1"/>
  <c r="N1179" i="1"/>
  <c r="O139" i="1"/>
  <c r="O115" i="1"/>
  <c r="N106" i="1"/>
  <c r="M120" i="1"/>
  <c r="Q120" i="1" s="1"/>
  <c r="M96" i="1"/>
  <c r="P96" i="1" s="1"/>
  <c r="M48" i="1"/>
  <c r="F48" i="1" s="1"/>
  <c r="O95" i="1"/>
  <c r="N62" i="1"/>
  <c r="O47" i="1"/>
  <c r="N43" i="1"/>
  <c r="N144" i="1"/>
  <c r="N49" i="1"/>
  <c r="M129" i="1"/>
  <c r="Q129" i="1" s="1"/>
  <c r="M105" i="1"/>
  <c r="P105" i="1" s="1"/>
  <c r="M81" i="1"/>
  <c r="P81" i="1" s="1"/>
  <c r="M18" i="1"/>
  <c r="Q18" i="1" s="1"/>
  <c r="O80" i="1"/>
  <c r="N71" i="1"/>
  <c r="O8" i="1"/>
  <c r="N135" i="1"/>
  <c r="N37" i="1"/>
  <c r="M131" i="1"/>
  <c r="P131" i="1" s="1"/>
  <c r="M146" i="1"/>
  <c r="Q146" i="1" s="1"/>
  <c r="N1183" i="1"/>
  <c r="O141" i="1"/>
  <c r="M123" i="1"/>
  <c r="P123" i="1" s="1"/>
  <c r="M75" i="1"/>
  <c r="P75" i="1" s="1"/>
  <c r="M118" i="1"/>
  <c r="P118" i="1" s="1"/>
  <c r="O113" i="1"/>
  <c r="M46" i="1"/>
  <c r="F46" i="1" s="1"/>
  <c r="M22" i="1"/>
  <c r="P22" i="1" s="1"/>
  <c r="P1196" i="1"/>
  <c r="M35" i="1"/>
  <c r="P35" i="1" s="1"/>
  <c r="E1184" i="1"/>
  <c r="M112" i="1"/>
  <c r="P112" i="1" s="1"/>
  <c r="M40" i="1"/>
  <c r="P40" i="1" s="1"/>
  <c r="M106" i="1"/>
  <c r="Q106" i="1" s="1"/>
  <c r="M125" i="1"/>
  <c r="Q125" i="1" s="1"/>
  <c r="M99" i="1"/>
  <c r="F99" i="1" s="1"/>
  <c r="N1189" i="1"/>
  <c r="N123" i="1"/>
  <c r="O60" i="1"/>
  <c r="N51" i="1"/>
  <c r="N27" i="1"/>
  <c r="E1183" i="1"/>
  <c r="M153" i="1"/>
  <c r="Q153" i="1" s="1"/>
  <c r="M132" i="1"/>
  <c r="F132" i="1" s="1"/>
  <c r="M108" i="1"/>
  <c r="Q108" i="1" s="1"/>
  <c r="M84" i="1"/>
  <c r="P84" i="1" s="1"/>
  <c r="M60" i="1"/>
  <c r="Q60" i="1" s="1"/>
  <c r="M36" i="1"/>
  <c r="P36" i="1" s="1"/>
  <c r="M12" i="1"/>
  <c r="Q12" i="1" s="1"/>
  <c r="M127" i="1"/>
  <c r="P127" i="1" s="1"/>
  <c r="M79" i="1"/>
  <c r="F79" i="1" s="1"/>
  <c r="M55" i="1"/>
  <c r="F55" i="1" s="1"/>
  <c r="M7" i="1"/>
  <c r="F7" i="1" s="1"/>
  <c r="M5" i="1"/>
  <c r="F5" i="1" s="1"/>
  <c r="M150" i="1"/>
  <c r="Q150" i="1" s="1"/>
  <c r="M103" i="1"/>
  <c r="Q103" i="1" s="1"/>
  <c r="M31" i="1"/>
  <c r="F31" i="1" s="1"/>
  <c r="P1195" i="1"/>
  <c r="O1184" i="1"/>
  <c r="O100" i="1"/>
  <c r="N91" i="1"/>
  <c r="N67" i="1"/>
  <c r="O52" i="1"/>
  <c r="N19" i="1"/>
  <c r="N153" i="1"/>
  <c r="N1186" i="1"/>
  <c r="N72" i="1"/>
  <c r="O19" i="1"/>
  <c r="M1181" i="1"/>
  <c r="P1181" i="1" s="1"/>
  <c r="N1185" i="1"/>
  <c r="E1185" i="1"/>
  <c r="N101" i="1"/>
  <c r="M101" i="1"/>
  <c r="Q101" i="1" s="1"/>
  <c r="M152" i="1"/>
  <c r="Q152" i="1" s="1"/>
  <c r="M76" i="1"/>
  <c r="Q76" i="1" s="1"/>
  <c r="M47" i="1"/>
  <c r="F47" i="1" s="1"/>
  <c r="E1186" i="1"/>
  <c r="M1189" i="1"/>
  <c r="Q1189" i="1" s="1"/>
  <c r="E1182" i="1"/>
  <c r="O1189" i="1"/>
  <c r="M122" i="1"/>
  <c r="P122" i="1" s="1"/>
  <c r="O117" i="1"/>
  <c r="M50" i="1"/>
  <c r="P50" i="1" s="1"/>
  <c r="M26" i="1"/>
  <c r="P26" i="1" s="1"/>
  <c r="N12" i="1"/>
  <c r="E1181" i="1"/>
  <c r="M136" i="1"/>
  <c r="Q136" i="1" s="1"/>
  <c r="N98" i="1"/>
  <c r="N74" i="1"/>
  <c r="O59" i="1"/>
  <c r="N50" i="1"/>
  <c r="M16" i="1"/>
  <c r="P16" i="1" s="1"/>
  <c r="N1182" i="1"/>
  <c r="M1184" i="1"/>
  <c r="P1184" i="1" s="1"/>
  <c r="E1179" i="1"/>
  <c r="E1180" i="1"/>
  <c r="N141" i="1"/>
  <c r="N117" i="1"/>
  <c r="N93" i="1"/>
  <c r="N69" i="1"/>
  <c r="M59" i="1"/>
  <c r="P59" i="1" s="1"/>
  <c r="O54" i="1"/>
  <c r="N45" i="1"/>
  <c r="O30" i="1"/>
  <c r="M11" i="1"/>
  <c r="Q11" i="1" s="1"/>
  <c r="O6" i="1"/>
  <c r="N1180" i="1"/>
  <c r="O1190" i="1"/>
  <c r="O3" i="1"/>
  <c r="O119" i="1"/>
  <c r="N125" i="1"/>
  <c r="M43" i="1"/>
  <c r="P43" i="1" s="1"/>
  <c r="O18" i="1"/>
  <c r="M143" i="1"/>
  <c r="P143" i="1" s="1"/>
  <c r="N134" i="1"/>
  <c r="N25" i="1"/>
  <c r="M124" i="1"/>
  <c r="P124" i="1" s="1"/>
  <c r="O142" i="1"/>
  <c r="M130" i="1"/>
  <c r="Q130" i="1" s="1"/>
  <c r="N68" i="1"/>
  <c r="N44" i="1"/>
  <c r="M10" i="1"/>
  <c r="Q10" i="1" s="1"/>
  <c r="Q168" i="1"/>
  <c r="M107" i="1"/>
  <c r="Q107" i="1" s="1"/>
  <c r="N29" i="1"/>
  <c r="N110" i="1"/>
  <c r="M147" i="1"/>
  <c r="Q147" i="1" s="1"/>
  <c r="M100" i="1"/>
  <c r="P100" i="1" s="1"/>
  <c r="M95" i="1"/>
  <c r="P95" i="1" s="1"/>
  <c r="M148" i="1"/>
  <c r="Q148" i="1" s="1"/>
  <c r="O120" i="1"/>
  <c r="N63" i="1"/>
  <c r="N39" i="1"/>
  <c r="M29" i="1"/>
  <c r="F29" i="1" s="1"/>
  <c r="N24" i="1"/>
  <c r="M134" i="1"/>
  <c r="P134" i="1" s="1"/>
  <c r="M14" i="1"/>
  <c r="Q14" i="1" s="1"/>
  <c r="M52" i="1"/>
  <c r="Q52" i="1" s="1"/>
  <c r="M4" i="1"/>
  <c r="Q4" i="1" s="1"/>
  <c r="O91" i="1"/>
  <c r="O67" i="1"/>
  <c r="N10" i="1"/>
  <c r="N147" i="1"/>
  <c r="N124" i="1"/>
  <c r="O109" i="1"/>
  <c r="N100" i="1"/>
  <c r="O85" i="1"/>
  <c r="N76" i="1"/>
  <c r="O61" i="1"/>
  <c r="N52" i="1"/>
  <c r="M42" i="1"/>
  <c r="Q42" i="1" s="1"/>
  <c r="O37" i="1"/>
  <c r="N28" i="1"/>
  <c r="O13" i="1"/>
  <c r="M9" i="1"/>
  <c r="Q9" i="1" s="1"/>
  <c r="N9" i="1"/>
  <c r="N4" i="1"/>
  <c r="O89" i="1"/>
  <c r="O65" i="1"/>
  <c r="N56" i="1"/>
  <c r="O41" i="1"/>
  <c r="N32" i="1"/>
  <c r="O17" i="1"/>
  <c r="N8" i="1"/>
  <c r="M1186" i="1"/>
  <c r="P1186" i="1" s="1"/>
  <c r="O1186" i="1"/>
  <c r="O93" i="1"/>
  <c r="O104" i="1"/>
  <c r="O103" i="1"/>
  <c r="N75" i="1"/>
  <c r="M142" i="1"/>
  <c r="Q142" i="1" s="1"/>
  <c r="M94" i="1"/>
  <c r="F94" i="1" s="1"/>
  <c r="O94" i="1"/>
  <c r="N99" i="1"/>
  <c r="O127" i="1"/>
  <c r="P1042" i="1"/>
  <c r="Q1042" i="1"/>
  <c r="N142" i="1"/>
  <c r="O151" i="1"/>
  <c r="O56" i="1"/>
  <c r="N80" i="1"/>
  <c r="O132" i="1"/>
  <c r="O31" i="1"/>
  <c r="N143" i="1"/>
  <c r="O128" i="1"/>
  <c r="N47" i="1"/>
  <c r="O137" i="1"/>
  <c r="N104" i="1"/>
  <c r="N146" i="1"/>
  <c r="O108" i="1"/>
  <c r="O12" i="1"/>
  <c r="N70" i="1"/>
  <c r="N22" i="1"/>
  <c r="P1194" i="1"/>
  <c r="Q1194" i="1"/>
  <c r="O32" i="1"/>
  <c r="N128" i="1"/>
  <c r="M70" i="1"/>
  <c r="F70" i="1" s="1"/>
  <c r="O70" i="1"/>
  <c r="O84" i="1"/>
  <c r="N118" i="1"/>
  <c r="O7" i="1"/>
  <c r="O46" i="1"/>
  <c r="N23" i="1"/>
  <c r="O133" i="1"/>
  <c r="N151" i="1"/>
  <c r="N94" i="1"/>
  <c r="O55" i="1"/>
  <c r="N31" i="1"/>
  <c r="N105" i="1"/>
  <c r="M57" i="1"/>
  <c r="Q57" i="1" s="1"/>
  <c r="N46" i="1"/>
  <c r="O138" i="1"/>
  <c r="O114" i="1"/>
  <c r="O90" i="1"/>
  <c r="O42" i="1"/>
  <c r="N33" i="1"/>
  <c r="P1043" i="1"/>
  <c r="M1182" i="1"/>
  <c r="Q1182" i="1" s="1"/>
  <c r="O1188" i="1"/>
  <c r="N138" i="1"/>
  <c r="N114" i="1"/>
  <c r="M56" i="1"/>
  <c r="P56" i="1" s="1"/>
  <c r="N61" i="1"/>
  <c r="M51" i="1"/>
  <c r="P51" i="1" s="1"/>
  <c r="M27" i="1"/>
  <c r="F27" i="1" s="1"/>
  <c r="O22" i="1"/>
  <c r="N13" i="1"/>
  <c r="O1181" i="1"/>
  <c r="O50" i="1"/>
  <c r="M145" i="1"/>
  <c r="Q145" i="1" s="1"/>
  <c r="N132" i="1"/>
  <c r="N108" i="1"/>
  <c r="M98" i="1"/>
  <c r="F98" i="1" s="1"/>
  <c r="N84" i="1"/>
  <c r="M74" i="1"/>
  <c r="P74" i="1" s="1"/>
  <c r="O45" i="1"/>
  <c r="N36" i="1"/>
  <c r="O21" i="1"/>
  <c r="M1185" i="1"/>
  <c r="Q1185" i="1" s="1"/>
  <c r="O1180" i="1"/>
  <c r="N112" i="1"/>
  <c r="O69" i="1"/>
  <c r="N7" i="1"/>
  <c r="O97" i="1"/>
  <c r="O73" i="1"/>
  <c r="N16" i="1"/>
  <c r="N85" i="1"/>
  <c r="O126" i="1"/>
  <c r="O121" i="1"/>
  <c r="N102" i="1"/>
  <c r="M119" i="1"/>
  <c r="P119" i="1" s="1"/>
  <c r="M110" i="1"/>
  <c r="P110" i="1" s="1"/>
  <c r="M83" i="1"/>
  <c r="Q83" i="1" s="1"/>
  <c r="O66" i="1"/>
  <c r="N1190" i="1"/>
  <c r="N152" i="1"/>
  <c r="N145" i="1"/>
  <c r="O75" i="1"/>
  <c r="N66" i="1"/>
  <c r="M23" i="1"/>
  <c r="Q23" i="1" s="1"/>
  <c r="O16" i="1"/>
  <c r="O102" i="1"/>
  <c r="N14" i="1"/>
  <c r="N120" i="1"/>
  <c r="M62" i="1"/>
  <c r="P62" i="1" s="1"/>
  <c r="O57" i="1"/>
  <c r="N48" i="1"/>
  <c r="M38" i="1"/>
  <c r="P38" i="1" s="1"/>
  <c r="O9" i="1"/>
  <c r="N109" i="1"/>
  <c r="N21" i="1"/>
  <c r="P1040" i="1"/>
  <c r="Q1040" i="1"/>
  <c r="M1190" i="1"/>
  <c r="Q1190" i="1" s="1"/>
  <c r="M33" i="1"/>
  <c r="Q33" i="1" s="1"/>
  <c r="O78" i="1"/>
  <c r="O71" i="1"/>
  <c r="N38" i="1"/>
  <c r="M28" i="1"/>
  <c r="Q28" i="1" s="1"/>
  <c r="O23" i="1"/>
  <c r="N126" i="1"/>
  <c r="N81" i="1"/>
  <c r="N30" i="1"/>
  <c r="N1181" i="1"/>
  <c r="O1183" i="1"/>
  <c r="N1187" i="1"/>
  <c r="O1182" i="1"/>
  <c r="N1188" i="1"/>
  <c r="M1188" i="1"/>
  <c r="Q1038" i="1"/>
  <c r="P1039" i="1"/>
  <c r="Q1039" i="1"/>
  <c r="Q1192" i="1"/>
  <c r="Q1193" i="1"/>
  <c r="Q334" i="1" l="1"/>
  <c r="Q397" i="1"/>
  <c r="P1107" i="1"/>
  <c r="Q1107" i="1"/>
  <c r="P190" i="1"/>
  <c r="F397" i="1"/>
  <c r="Q190" i="1"/>
  <c r="F334" i="1"/>
  <c r="Q292" i="1"/>
  <c r="P292" i="1"/>
  <c r="Q1054" i="1"/>
  <c r="Q1047" i="1"/>
  <c r="P1054" i="1"/>
  <c r="P1135" i="1"/>
  <c r="Q1135" i="1"/>
  <c r="F1047" i="1"/>
  <c r="P1055" i="1"/>
  <c r="Q391" i="1"/>
  <c r="P271" i="1"/>
  <c r="Q1114" i="1"/>
  <c r="F1065" i="1"/>
  <c r="F1081" i="1"/>
  <c r="Q1112" i="1"/>
  <c r="P199" i="1"/>
  <c r="F223" i="1"/>
  <c r="P223" i="1"/>
  <c r="F199" i="1"/>
  <c r="Q1069" i="1"/>
  <c r="F1073" i="1"/>
  <c r="Q1137" i="1"/>
  <c r="P1065" i="1"/>
  <c r="P1059" i="1"/>
  <c r="P1083" i="1"/>
  <c r="P1155" i="1"/>
  <c r="Q1055" i="1"/>
  <c r="Q271" i="1"/>
  <c r="F1083" i="1"/>
  <c r="Q194" i="1"/>
  <c r="Q290" i="1"/>
  <c r="Q1071" i="1"/>
  <c r="Q228" i="1"/>
  <c r="P1071" i="1"/>
  <c r="P1103" i="1"/>
  <c r="P1147" i="1"/>
  <c r="P1119" i="1"/>
  <c r="Q242" i="1"/>
  <c r="P267" i="1"/>
  <c r="F391" i="1"/>
  <c r="Q1119" i="1"/>
  <c r="P1073" i="1"/>
  <c r="P1143" i="1"/>
  <c r="F343" i="1"/>
  <c r="F1164" i="1"/>
  <c r="Q1045" i="1"/>
  <c r="F1146" i="1"/>
  <c r="Q1061" i="1"/>
  <c r="P1137" i="1"/>
  <c r="Q1145" i="1"/>
  <c r="P1048" i="1"/>
  <c r="P1044" i="1"/>
  <c r="P324" i="1"/>
  <c r="F1061" i="1"/>
  <c r="P1112" i="1"/>
  <c r="Q1081" i="1"/>
  <c r="P1118" i="1"/>
  <c r="P343" i="1"/>
  <c r="P242" i="1"/>
  <c r="F324" i="1"/>
  <c r="F1145" i="1"/>
  <c r="Q1093" i="1"/>
  <c r="Q1118" i="1"/>
  <c r="Q1051" i="1"/>
  <c r="F194" i="1"/>
  <c r="P1051" i="1"/>
  <c r="F1059" i="1"/>
  <c r="P1131" i="1"/>
  <c r="P1139" i="1"/>
  <c r="P1086" i="1"/>
  <c r="F1153" i="1"/>
  <c r="Q1103" i="1"/>
  <c r="F1161" i="1"/>
  <c r="Q1113" i="1"/>
  <c r="F1063" i="1"/>
  <c r="P1113" i="1"/>
  <c r="P1057" i="1"/>
  <c r="Q1053" i="1"/>
  <c r="Q1057" i="1"/>
  <c r="F1131" i="1"/>
  <c r="Q1096" i="1"/>
  <c r="F228" i="1"/>
  <c r="F1045" i="1"/>
  <c r="Q1126" i="1"/>
  <c r="Q1102" i="1"/>
  <c r="F290" i="1"/>
  <c r="Q1146" i="1"/>
  <c r="P1110" i="1"/>
  <c r="Q1078" i="1"/>
  <c r="P1078" i="1"/>
  <c r="P1127" i="1"/>
  <c r="Q1110" i="1"/>
  <c r="F1082" i="1"/>
  <c r="P1099" i="1"/>
  <c r="P1046" i="1"/>
  <c r="Q1127" i="1"/>
  <c r="F1129" i="1"/>
  <c r="Q1099" i="1"/>
  <c r="Q1063" i="1"/>
  <c r="P1058" i="1"/>
  <c r="F1069" i="1"/>
  <c r="F1046" i="1"/>
  <c r="Q1163" i="1"/>
  <c r="F1048" i="1"/>
  <c r="Q1139" i="1"/>
  <c r="Q1142" i="1"/>
  <c r="P1129" i="1"/>
  <c r="P1163" i="1"/>
  <c r="F1142" i="1"/>
  <c r="F1096" i="1"/>
  <c r="Q1052" i="1"/>
  <c r="Q1147" i="1"/>
  <c r="F1150" i="1"/>
  <c r="P1052" i="1"/>
  <c r="Q1076" i="1"/>
  <c r="F1158" i="1"/>
  <c r="P1114" i="1"/>
  <c r="Q1144" i="1"/>
  <c r="F1068" i="1"/>
  <c r="Q1150" i="1"/>
  <c r="P1087" i="1"/>
  <c r="Q1156" i="1"/>
  <c r="P1093" i="1"/>
  <c r="F1123" i="1"/>
  <c r="Q1090" i="1"/>
  <c r="F1141" i="1"/>
  <c r="P1049" i="1"/>
  <c r="Q1087" i="1"/>
  <c r="P1148" i="1"/>
  <c r="P1123" i="1"/>
  <c r="Q1121" i="1"/>
  <c r="Q1044" i="1"/>
  <c r="Q1122" i="1"/>
  <c r="Q1072" i="1"/>
  <c r="F1085" i="1"/>
  <c r="Q1130" i="1"/>
  <c r="Q1070" i="1"/>
  <c r="Q1148" i="1"/>
  <c r="Q1062" i="1"/>
  <c r="Q1082" i="1"/>
  <c r="P1094" i="1"/>
  <c r="P1149" i="1"/>
  <c r="F1075" i="1"/>
  <c r="P1060" i="1"/>
  <c r="Q1159" i="1"/>
  <c r="Q1094" i="1"/>
  <c r="F1062" i="1"/>
  <c r="Q1124" i="1"/>
  <c r="F1070" i="1"/>
  <c r="P1125" i="1"/>
  <c r="Q1158" i="1"/>
  <c r="F925" i="1"/>
  <c r="F1091" i="1"/>
  <c r="F1144" i="1"/>
  <c r="P1056" i="1"/>
  <c r="F1086" i="1"/>
  <c r="F1130" i="1"/>
  <c r="Q1141" i="1"/>
  <c r="F1159" i="1"/>
  <c r="P1102" i="1"/>
  <c r="Q1098" i="1"/>
  <c r="Q1075" i="1"/>
  <c r="F1121" i="1"/>
  <c r="F1138" i="1"/>
  <c r="F1133" i="1"/>
  <c r="Q1116" i="1"/>
  <c r="Q1157" i="1"/>
  <c r="P1085" i="1"/>
  <c r="F816" i="1"/>
  <c r="P824" i="1"/>
  <c r="P870" i="1"/>
  <c r="F1126" i="1"/>
  <c r="Q1153" i="1"/>
  <c r="F1134" i="1"/>
  <c r="Q1091" i="1"/>
  <c r="P1138" i="1"/>
  <c r="Q1134" i="1"/>
  <c r="Q1077" i="1"/>
  <c r="F1115" i="1"/>
  <c r="F1089" i="1"/>
  <c r="P1097" i="1"/>
  <c r="F1097" i="1"/>
  <c r="P1095" i="1"/>
  <c r="P1124" i="1"/>
  <c r="Q1095" i="1"/>
  <c r="P1084" i="1"/>
  <c r="F1152" i="1"/>
  <c r="F1125" i="1"/>
  <c r="F1090" i="1"/>
  <c r="P1132" i="1"/>
  <c r="Q1092" i="1"/>
  <c r="Q1067" i="1"/>
  <c r="F1151" i="1"/>
  <c r="P1154" i="1"/>
  <c r="P295" i="1"/>
  <c r="F1050" i="1"/>
  <c r="Q925" i="1"/>
  <c r="F1084" i="1"/>
  <c r="F267" i="1"/>
  <c r="F1092" i="1"/>
  <c r="P1151" i="1"/>
  <c r="Q1105" i="1"/>
  <c r="P1156" i="1"/>
  <c r="P1053" i="1"/>
  <c r="P1157" i="1"/>
  <c r="Q1111" i="1"/>
  <c r="F1155" i="1"/>
  <c r="P1164" i="1"/>
  <c r="F1109" i="1"/>
  <c r="P1161" i="1"/>
  <c r="Q1089" i="1"/>
  <c r="Q884" i="1"/>
  <c r="P1120" i="1"/>
  <c r="P1140" i="1"/>
  <c r="Q1165" i="1"/>
  <c r="P1076" i="1"/>
  <c r="F1136" i="1"/>
  <c r="F1049" i="1"/>
  <c r="Q1140" i="1"/>
  <c r="F1067" i="1"/>
  <c r="Q1154" i="1"/>
  <c r="Q1143" i="1"/>
  <c r="P1072" i="1"/>
  <c r="P1136" i="1"/>
  <c r="P1133" i="1"/>
  <c r="F1077" i="1"/>
  <c r="F1056" i="1"/>
  <c r="F1160" i="1"/>
  <c r="F1098" i="1"/>
  <c r="F1088" i="1"/>
  <c r="Q1060" i="1"/>
  <c r="P849" i="1"/>
  <c r="Q1108" i="1"/>
  <c r="Q1064" i="1"/>
  <c r="Q1079" i="1"/>
  <c r="P1105" i="1"/>
  <c r="P1079" i="1"/>
  <c r="Q1120" i="1"/>
  <c r="F1108" i="1"/>
  <c r="F1116" i="1"/>
  <c r="Q1115" i="1"/>
  <c r="P1111" i="1"/>
  <c r="P1160" i="1"/>
  <c r="Q1109" i="1"/>
  <c r="P884" i="1"/>
  <c r="P1050" i="1"/>
  <c r="F1064" i="1"/>
  <c r="P1152" i="1"/>
  <c r="Q1106" i="1"/>
  <c r="F1104" i="1"/>
  <c r="F1101" i="1"/>
  <c r="Q1104" i="1"/>
  <c r="P1106" i="1"/>
  <c r="Q1080" i="1"/>
  <c r="P1101" i="1"/>
  <c r="F1117" i="1"/>
  <c r="P1117" i="1"/>
  <c r="F1080" i="1"/>
  <c r="Q1128" i="1"/>
  <c r="F1100" i="1"/>
  <c r="P1088" i="1"/>
  <c r="Q1100" i="1"/>
  <c r="Q1068" i="1"/>
  <c r="F1132" i="1"/>
  <c r="Q1162" i="1"/>
  <c r="F1128" i="1"/>
  <c r="P1162" i="1"/>
  <c r="F1066" i="1"/>
  <c r="P1066" i="1"/>
  <c r="F1122" i="1"/>
  <c r="F1058" i="1"/>
  <c r="F1074" i="1"/>
  <c r="P1074" i="1"/>
  <c r="F1149" i="1"/>
  <c r="F1165" i="1"/>
  <c r="F295" i="1"/>
  <c r="F170" i="1"/>
  <c r="P170" i="1"/>
  <c r="P348" i="1"/>
  <c r="F864" i="1"/>
  <c r="Q842" i="1"/>
  <c r="P842" i="1"/>
  <c r="P793" i="1"/>
  <c r="Q849" i="1"/>
  <c r="Q864" i="1"/>
  <c r="F824" i="1"/>
  <c r="F873" i="1"/>
  <c r="Q873" i="1"/>
  <c r="Q816" i="1"/>
  <c r="F877" i="1"/>
  <c r="P871" i="1"/>
  <c r="F235" i="1"/>
  <c r="F888" i="1"/>
  <c r="F871" i="1"/>
  <c r="F716" i="1"/>
  <c r="P956" i="1"/>
  <c r="F752" i="1"/>
  <c r="P752" i="1"/>
  <c r="Q740" i="1"/>
  <c r="F870" i="1"/>
  <c r="P727" i="1"/>
  <c r="F857" i="1"/>
  <c r="F805" i="1"/>
  <c r="P805" i="1"/>
  <c r="Q857" i="1"/>
  <c r="F869" i="1"/>
  <c r="Q765" i="1"/>
  <c r="F867" i="1"/>
  <c r="F803" i="1"/>
  <c r="P867" i="1"/>
  <c r="Q803" i="1"/>
  <c r="P827" i="1"/>
  <c r="Q877" i="1"/>
  <c r="Q762" i="1"/>
  <c r="F820" i="1"/>
  <c r="Q736" i="1"/>
  <c r="Q820" i="1"/>
  <c r="P736" i="1"/>
  <c r="F837" i="1"/>
  <c r="F1021" i="1"/>
  <c r="Q305" i="1"/>
  <c r="Q833" i="1"/>
  <c r="Q793" i="1"/>
  <c r="Q726" i="1"/>
  <c r="Q837" i="1"/>
  <c r="P845" i="1"/>
  <c r="Q845" i="1"/>
  <c r="Q862" i="1"/>
  <c r="F802" i="1"/>
  <c r="F880" i="1"/>
  <c r="Q802" i="1"/>
  <c r="P875" i="1"/>
  <c r="P898" i="1"/>
  <c r="P855" i="1"/>
  <c r="F827" i="1"/>
  <c r="P765" i="1"/>
  <c r="F868" i="1"/>
  <c r="Q814" i="1"/>
  <c r="F875" i="1"/>
  <c r="Q888" i="1"/>
  <c r="Q868" i="1"/>
  <c r="F726" i="1"/>
  <c r="Q838" i="1"/>
  <c r="P814" i="1"/>
  <c r="Q913" i="1"/>
  <c r="Q880" i="1"/>
  <c r="F822" i="1"/>
  <c r="Q822" i="1"/>
  <c r="P998" i="1"/>
  <c r="Q869" i="1"/>
  <c r="F833" i="1"/>
  <c r="P957" i="1"/>
  <c r="Q889" i="1"/>
  <c r="P800" i="1"/>
  <c r="F204" i="1"/>
  <c r="F838" i="1"/>
  <c r="P889" i="1"/>
  <c r="P825" i="1"/>
  <c r="F855" i="1"/>
  <c r="P762" i="1"/>
  <c r="Q790" i="1"/>
  <c r="F234" i="1"/>
  <c r="Q854" i="1"/>
  <c r="F825" i="1"/>
  <c r="F800" i="1"/>
  <c r="P862" i="1"/>
  <c r="F956" i="1"/>
  <c r="P740" i="1"/>
  <c r="F807" i="1"/>
  <c r="P807" i="1"/>
  <c r="P285" i="1"/>
  <c r="F727" i="1"/>
  <c r="F818" i="1"/>
  <c r="Q818" i="1"/>
  <c r="F840" i="1"/>
  <c r="Q840" i="1"/>
  <c r="F853" i="1"/>
  <c r="Q853" i="1"/>
  <c r="F860" i="1"/>
  <c r="Q860" i="1"/>
  <c r="F883" i="1"/>
  <c r="Q883" i="1"/>
  <c r="P790" i="1"/>
  <c r="F936" i="1"/>
  <c r="P305" i="1"/>
  <c r="F957" i="1"/>
  <c r="F910" i="1"/>
  <c r="Q247" i="1"/>
  <c r="P913" i="1"/>
  <c r="Q372" i="1"/>
  <c r="Q262" i="1"/>
  <c r="F396" i="1"/>
  <c r="F878" i="1"/>
  <c r="Q396" i="1"/>
  <c r="P786" i="1"/>
  <c r="Q918" i="1"/>
  <c r="P918" i="1"/>
  <c r="Q936" i="1"/>
  <c r="Q204" i="1"/>
  <c r="Q252" i="1"/>
  <c r="Q878" i="1"/>
  <c r="Q1024" i="1"/>
  <c r="F252" i="1"/>
  <c r="Q928" i="1"/>
  <c r="P778" i="1"/>
  <c r="Q954" i="1"/>
  <c r="Q998" i="1"/>
  <c r="F778" i="1"/>
  <c r="F954" i="1"/>
  <c r="F348" i="1"/>
  <c r="F735" i="1"/>
  <c r="F763" i="1"/>
  <c r="Q901" i="1"/>
  <c r="P247" i="1"/>
  <c r="F382" i="1"/>
  <c r="Q786" i="1"/>
  <c r="Q967" i="1"/>
  <c r="F319" i="1"/>
  <c r="Q319" i="1"/>
  <c r="F966" i="1"/>
  <c r="P926" i="1"/>
  <c r="Q1177" i="1"/>
  <c r="F959" i="1"/>
  <c r="F914" i="1"/>
  <c r="F372" i="1"/>
  <c r="F354" i="1"/>
  <c r="Q235" i="1"/>
  <c r="P854" i="1"/>
  <c r="F891" i="1"/>
  <c r="P725" i="1"/>
  <c r="Q863" i="1"/>
  <c r="P896" i="1"/>
  <c r="Q1019" i="1"/>
  <c r="F935" i="1"/>
  <c r="P914" i="1"/>
  <c r="Q963" i="1"/>
  <c r="Q920" i="1"/>
  <c r="F963" i="1"/>
  <c r="Q959" i="1"/>
  <c r="F890" i="1"/>
  <c r="P890" i="1"/>
  <c r="Q904" i="1"/>
  <c r="Q989" i="1"/>
  <c r="Q897" i="1"/>
  <c r="P929" i="1"/>
  <c r="F821" i="1"/>
  <c r="P749" i="1"/>
  <c r="Q933" i="1"/>
  <c r="P821" i="1"/>
  <c r="Q720" i="1"/>
  <c r="F893" i="1"/>
  <c r="P979" i="1"/>
  <c r="Q910" i="1"/>
  <c r="F928" i="1"/>
  <c r="Q893" i="1"/>
  <c r="P907" i="1"/>
  <c r="F904" i="1"/>
  <c r="F901" i="1"/>
  <c r="P987" i="1"/>
  <c r="F987" i="1"/>
  <c r="Q401" i="1"/>
  <c r="F1016" i="1"/>
  <c r="Q717" i="1"/>
  <c r="F847" i="1"/>
  <c r="Q992" i="1"/>
  <c r="F262" i="1"/>
  <c r="F843" i="1"/>
  <c r="P718" i="1"/>
  <c r="Q828" i="1"/>
  <c r="P826" i="1"/>
  <c r="P1012" i="1"/>
  <c r="Q1016" i="1"/>
  <c r="Q843" i="1"/>
  <c r="Q209" i="1"/>
  <c r="F718" i="1"/>
  <c r="F725" i="1"/>
  <c r="P797" i="1"/>
  <c r="Q797" i="1"/>
  <c r="Q966" i="1"/>
  <c r="P989" i="1"/>
  <c r="P1021" i="1"/>
  <c r="Q719" i="1"/>
  <c r="F995" i="1"/>
  <c r="F1019" i="1"/>
  <c r="Q1007" i="1"/>
  <c r="Q991" i="1"/>
  <c r="P920" i="1"/>
  <c r="Q1023" i="1"/>
  <c r="Q1168" i="1"/>
  <c r="P234" i="1"/>
  <c r="F373" i="1"/>
  <c r="Q929" i="1"/>
  <c r="F759" i="1"/>
  <c r="P729" i="1"/>
  <c r="F751" i="1"/>
  <c r="F741" i="1"/>
  <c r="Q741" i="1"/>
  <c r="F1022" i="1"/>
  <c r="Q848" i="1"/>
  <c r="P1031" i="1"/>
  <c r="Q813" i="1"/>
  <c r="Q970" i="1"/>
  <c r="Q896" i="1"/>
  <c r="P777" i="1"/>
  <c r="F777" i="1"/>
  <c r="Q1011" i="1"/>
  <c r="Q847" i="1"/>
  <c r="Q1028" i="1"/>
  <c r="P1022" i="1"/>
  <c r="Q982" i="1"/>
  <c r="P1011" i="1"/>
  <c r="Q244" i="1"/>
  <c r="P244" i="1"/>
  <c r="F719" i="1"/>
  <c r="Q923" i="1"/>
  <c r="P1028" i="1"/>
  <c r="Q995" i="1"/>
  <c r="F1023" i="1"/>
  <c r="F952" i="1"/>
  <c r="P975" i="1"/>
  <c r="P205" i="1"/>
  <c r="Q310" i="1"/>
  <c r="Q744" i="1"/>
  <c r="F835" i="1"/>
  <c r="P970" i="1"/>
  <c r="Q903" i="1"/>
  <c r="F975" i="1"/>
  <c r="Q266" i="1"/>
  <c r="Q373" i="1"/>
  <c r="Q784" i="1"/>
  <c r="F801" i="1"/>
  <c r="P915" i="1"/>
  <c r="Q915" i="1"/>
  <c r="Q934" i="1"/>
  <c r="F951" i="1"/>
  <c r="P266" i="1"/>
  <c r="F828" i="1"/>
  <c r="F1024" i="1"/>
  <c r="Q885" i="1"/>
  <c r="Q382" i="1"/>
  <c r="F979" i="1"/>
  <c r="Q1013" i="1"/>
  <c r="F968" i="1"/>
  <c r="Q999" i="1"/>
  <c r="P993" i="1"/>
  <c r="Q1169" i="1"/>
  <c r="F1169" i="1"/>
  <c r="F314" i="1"/>
  <c r="Q314" i="1"/>
  <c r="F1177" i="1"/>
  <c r="P1168" i="1"/>
  <c r="Q387" i="1"/>
  <c r="P339" i="1"/>
  <c r="F367" i="1"/>
  <c r="P1166" i="1"/>
  <c r="P367" i="1"/>
  <c r="P387" i="1"/>
  <c r="F310" i="1"/>
  <c r="P220" i="1"/>
  <c r="Q185" i="1"/>
  <c r="P354" i="1"/>
  <c r="F209" i="1"/>
  <c r="Q220" i="1"/>
  <c r="F386" i="1"/>
  <c r="P185" i="1"/>
  <c r="F401" i="1"/>
  <c r="Q340" i="1"/>
  <c r="P340" i="1"/>
  <c r="Q362" i="1"/>
  <c r="P355" i="1"/>
  <c r="F902" i="1"/>
  <c r="P1035" i="1"/>
  <c r="Q1015" i="1"/>
  <c r="Q355" i="1"/>
  <c r="P809" i="1"/>
  <c r="Q949" i="1"/>
  <c r="F1001" i="1"/>
  <c r="P902" i="1"/>
  <c r="F976" i="1"/>
  <c r="Q218" i="1"/>
  <c r="Q795" i="1"/>
  <c r="F809" i="1"/>
  <c r="F948" i="1"/>
  <c r="Q1018" i="1"/>
  <c r="Q724" i="1"/>
  <c r="F1015" i="1"/>
  <c r="P722" i="1"/>
  <c r="F978" i="1"/>
  <c r="P1001" i="1"/>
  <c r="F919" i="1"/>
  <c r="Q851" i="1"/>
  <c r="P934" i="1"/>
  <c r="P891" i="1"/>
  <c r="F339" i="1"/>
  <c r="P813" i="1"/>
  <c r="Q799" i="1"/>
  <c r="F1012" i="1"/>
  <c r="F907" i="1"/>
  <c r="P980" i="1"/>
  <c r="Q1037" i="1"/>
  <c r="P919" i="1"/>
  <c r="F887" i="1"/>
  <c r="F986" i="1"/>
  <c r="Q986" i="1"/>
  <c r="P996" i="1"/>
  <c r="F791" i="1"/>
  <c r="P799" i="1"/>
  <c r="F897" i="1"/>
  <c r="F1037" i="1"/>
  <c r="F749" i="1"/>
  <c r="P738" i="1"/>
  <c r="Q249" i="1"/>
  <c r="F362" i="1"/>
  <c r="Q811" i="1"/>
  <c r="Q951" i="1"/>
  <c r="F967" i="1"/>
  <c r="Q900" i="1"/>
  <c r="Q763" i="1"/>
  <c r="P219" i="1"/>
  <c r="P249" i="1"/>
  <c r="P1176" i="1"/>
  <c r="F826" i="1"/>
  <c r="Q729" i="1"/>
  <c r="Q806" i="1"/>
  <c r="F964" i="1"/>
  <c r="P811" i="1"/>
  <c r="Q993" i="1"/>
  <c r="Q996" i="1"/>
  <c r="Q219" i="1"/>
  <c r="Q233" i="1"/>
  <c r="F1166" i="1"/>
  <c r="Q751" i="1"/>
  <c r="Q1008" i="1"/>
  <c r="Q734" i="1"/>
  <c r="Q321" i="1"/>
  <c r="Q369" i="1"/>
  <c r="F286" i="1"/>
  <c r="F1175" i="1"/>
  <c r="P1167" i="1"/>
  <c r="P903" i="1"/>
  <c r="Q1010" i="1"/>
  <c r="Q887" i="1"/>
  <c r="Q286" i="1"/>
  <c r="Q722" i="1"/>
  <c r="P848" i="1"/>
  <c r="P949" i="1"/>
  <c r="F325" i="1"/>
  <c r="P992" i="1"/>
  <c r="F900" i="1"/>
  <c r="P744" i="1"/>
  <c r="Q742" i="1"/>
  <c r="Q738" i="1"/>
  <c r="F742" i="1"/>
  <c r="Q750" i="1"/>
  <c r="F750" i="1"/>
  <c r="P734" i="1"/>
  <c r="Q754" i="1"/>
  <c r="Q735" i="1"/>
  <c r="P759" i="1"/>
  <c r="F755" i="1"/>
  <c r="P755" i="1"/>
  <c r="F758" i="1"/>
  <c r="P737" i="1"/>
  <c r="F737" i="1"/>
  <c r="F754" i="1"/>
  <c r="Q728" i="1"/>
  <c r="Q760" i="1"/>
  <c r="F933" i="1"/>
  <c r="Q876" i="1"/>
  <c r="P732" i="1"/>
  <c r="F841" i="1"/>
  <c r="P753" i="1"/>
  <c r="Q748" i="1"/>
  <c r="F916" i="1"/>
  <c r="F985" i="1"/>
  <c r="Q921" i="1"/>
  <c r="Q980" i="1"/>
  <c r="F1000" i="1"/>
  <c r="F730" i="1"/>
  <c r="Q732" i="1"/>
  <c r="F876" i="1"/>
  <c r="P1000" i="1"/>
  <c r="Q983" i="1"/>
  <c r="Q905" i="1"/>
  <c r="Q277" i="1"/>
  <c r="F353" i="1"/>
  <c r="P921" i="1"/>
  <c r="P983" i="1"/>
  <c r="P728" i="1"/>
  <c r="Q753" i="1"/>
  <c r="P927" i="1"/>
  <c r="F879" i="1"/>
  <c r="P965" i="1"/>
  <c r="P905" i="1"/>
  <c r="Q730" i="1"/>
  <c r="P297" i="1"/>
  <c r="F965" i="1"/>
  <c r="F930" i="1"/>
  <c r="P968" i="1"/>
  <c r="P885" i="1"/>
  <c r="P1004" i="1"/>
  <c r="Q977" i="1"/>
  <c r="Q935" i="1"/>
  <c r="Q782" i="1"/>
  <c r="P930" i="1"/>
  <c r="Q1004" i="1"/>
  <c r="P796" i="1"/>
  <c r="F717" i="1"/>
  <c r="Q798" i="1"/>
  <c r="Q835" i="1"/>
  <c r="F945" i="1"/>
  <c r="Q1002" i="1"/>
  <c r="Q952" i="1"/>
  <c r="F898" i="1"/>
  <c r="F991" i="1"/>
  <c r="Q927" i="1"/>
  <c r="P982" i="1"/>
  <c r="F1031" i="1"/>
  <c r="P938" i="1"/>
  <c r="F338" i="1"/>
  <c r="P369" i="1"/>
  <c r="Q349" i="1"/>
  <c r="Q338" i="1"/>
  <c r="P233" i="1"/>
  <c r="P746" i="1"/>
  <c r="P349" i="1"/>
  <c r="P281" i="1"/>
  <c r="P748" i="1"/>
  <c r="Q745" i="1"/>
  <c r="P745" i="1"/>
  <c r="F1013" i="1"/>
  <c r="P946" i="1"/>
  <c r="P716" i="1"/>
  <c r="Q353" i="1"/>
  <c r="F218" i="1"/>
  <c r="Q779" i="1"/>
  <c r="F831" i="1"/>
  <c r="P863" i="1"/>
  <c r="Q831" i="1"/>
  <c r="Q841" i="1"/>
  <c r="F973" i="1"/>
  <c r="Q774" i="1"/>
  <c r="P760" i="1"/>
  <c r="P962" i="1"/>
  <c r="F955" i="1"/>
  <c r="P766" i="1"/>
  <c r="Q281" i="1"/>
  <c r="P386" i="1"/>
  <c r="P739" i="1"/>
  <c r="Q768" i="1"/>
  <c r="Q773" i="1"/>
  <c r="Q973" i="1"/>
  <c r="F950" i="1"/>
  <c r="Q364" i="1"/>
  <c r="P850" i="1"/>
  <c r="P932" i="1"/>
  <c r="F205" i="1"/>
  <c r="F922" i="1"/>
  <c r="Q1034" i="1"/>
  <c r="P715" i="1"/>
  <c r="Q981" i="1"/>
  <c r="P922" i="1"/>
  <c r="F175" i="1"/>
  <c r="F850" i="1"/>
  <c r="F937" i="1"/>
  <c r="P943" i="1"/>
  <c r="P909" i="1"/>
  <c r="P815" i="1"/>
  <c r="P937" i="1"/>
  <c r="F1033" i="1"/>
  <c r="P1007" i="1"/>
  <c r="P1003" i="1"/>
  <c r="Q810" i="1"/>
  <c r="P892" i="1"/>
  <c r="Q1003" i="1"/>
  <c r="F723" i="1"/>
  <c r="F815" i="1"/>
  <c r="Q895" i="1"/>
  <c r="F926" i="1"/>
  <c r="Q757" i="1"/>
  <c r="Q723" i="1"/>
  <c r="Q792" i="1"/>
  <c r="P810" i="1"/>
  <c r="P911" i="1"/>
  <c r="F892" i="1"/>
  <c r="P792" i="1"/>
  <c r="P782" i="1"/>
  <c r="Q1006" i="1"/>
  <c r="P895" i="1"/>
  <c r="P1029" i="1"/>
  <c r="P1027" i="1"/>
  <c r="F783" i="1"/>
  <c r="Q1025" i="1"/>
  <c r="F1029" i="1"/>
  <c r="Q1027" i="1"/>
  <c r="P976" i="1"/>
  <c r="P758" i="1"/>
  <c r="F932" i="1"/>
  <c r="Q769" i="1"/>
  <c r="F1008" i="1"/>
  <c r="Q872" i="1"/>
  <c r="Q785" i="1"/>
  <c r="F1025" i="1"/>
  <c r="Q938" i="1"/>
  <c r="Q974" i="1"/>
  <c r="Q943" i="1"/>
  <c r="F733" i="1"/>
  <c r="Q994" i="1"/>
  <c r="Q733" i="1"/>
  <c r="P769" i="1"/>
  <c r="F1176" i="1"/>
  <c r="F773" i="1"/>
  <c r="Q909" i="1"/>
  <c r="P988" i="1"/>
  <c r="P1018" i="1"/>
  <c r="P1006" i="1"/>
  <c r="Q175" i="1"/>
  <c r="P830" i="1"/>
  <c r="P832" i="1"/>
  <c r="P1033" i="1"/>
  <c r="F939" i="1"/>
  <c r="P1034" i="1"/>
  <c r="Q839" i="1"/>
  <c r="F277" i="1"/>
  <c r="P724" i="1"/>
  <c r="P783" i="1"/>
  <c r="Q861" i="1"/>
  <c r="P999" i="1"/>
  <c r="P994" i="1"/>
  <c r="P851" i="1"/>
  <c r="Q796" i="1"/>
  <c r="F830" i="1"/>
  <c r="Q804" i="1"/>
  <c r="F832" i="1"/>
  <c r="P874" i="1"/>
  <c r="P839" i="1"/>
  <c r="P872" i="1"/>
  <c r="Q325" i="1"/>
  <c r="Q791" i="1"/>
  <c r="P757" i="1"/>
  <c r="Q808" i="1"/>
  <c r="Q1035" i="1"/>
  <c r="P974" i="1"/>
  <c r="F1010" i="1"/>
  <c r="F988" i="1"/>
  <c r="P978" i="1"/>
  <c r="P804" i="1"/>
  <c r="Q746" i="1"/>
  <c r="P861" i="1"/>
  <c r="F859" i="1"/>
  <c r="Q917" i="1"/>
  <c r="Q823" i="1"/>
  <c r="F720" i="1"/>
  <c r="F961" i="1"/>
  <c r="P1017" i="1"/>
  <c r="F931" i="1"/>
  <c r="P953" i="1"/>
  <c r="Q1030" i="1"/>
  <c r="P931" i="1"/>
  <c r="P747" i="1"/>
  <c r="Q747" i="1"/>
  <c r="F771" i="1"/>
  <c r="F836" i="1"/>
  <c r="Q836" i="1"/>
  <c r="F1036" i="1"/>
  <c r="F944" i="1"/>
  <c r="P1030" i="1"/>
  <c r="P756" i="1"/>
  <c r="P829" i="1"/>
  <c r="P1036" i="1"/>
  <c r="P945" i="1"/>
  <c r="Q947" i="1"/>
  <c r="P944" i="1"/>
  <c r="F823" i="1"/>
  <c r="P836" i="1"/>
  <c r="P784" i="1"/>
  <c r="Q766" i="1"/>
  <c r="P795" i="1"/>
  <c r="Q844" i="1"/>
  <c r="F953" i="1"/>
  <c r="F946" i="1"/>
  <c r="P879" i="1"/>
  <c r="P977" i="1"/>
  <c r="Q801" i="1"/>
  <c r="F960" i="1"/>
  <c r="Q950" i="1"/>
  <c r="P916" i="1"/>
  <c r="P948" i="1"/>
  <c r="P721" i="1"/>
  <c r="F756" i="1"/>
  <c r="F947" i="1"/>
  <c r="Q961" i="1"/>
  <c r="Q1017" i="1"/>
  <c r="F764" i="1"/>
  <c r="Q971" i="1"/>
  <c r="P971" i="1"/>
  <c r="F858" i="1"/>
  <c r="Q858" i="1"/>
  <c r="P785" i="1"/>
  <c r="Q794" i="1"/>
  <c r="Q960" i="1"/>
  <c r="Q969" i="1"/>
  <c r="P1020" i="1"/>
  <c r="F779" i="1"/>
  <c r="P780" i="1"/>
  <c r="Q1020" i="1"/>
  <c r="Q911" i="1"/>
  <c r="F997" i="1"/>
  <c r="Q721" i="1"/>
  <c r="P942" i="1"/>
  <c r="P923" i="1"/>
  <c r="P955" i="1"/>
  <c r="F942" i="1"/>
  <c r="P1005" i="1"/>
  <c r="P985" i="1"/>
  <c r="Q739" i="1"/>
  <c r="F780" i="1"/>
  <c r="Q962" i="1"/>
  <c r="P771" i="1"/>
  <c r="Q829" i="1"/>
  <c r="P969" i="1"/>
  <c r="Q1005" i="1"/>
  <c r="Q770" i="1"/>
  <c r="P768" i="1"/>
  <c r="F794" i="1"/>
  <c r="Q846" i="1"/>
  <c r="P912" i="1"/>
  <c r="Q912" i="1"/>
  <c r="Q715" i="1"/>
  <c r="Q859" i="1"/>
  <c r="Q939" i="1"/>
  <c r="F874" i="1"/>
  <c r="P917" i="1"/>
  <c r="P806" i="1"/>
  <c r="Q1014" i="1"/>
  <c r="F971" i="1"/>
  <c r="P1014" i="1"/>
  <c r="P981" i="1"/>
  <c r="F882" i="1"/>
  <c r="Q882" i="1"/>
  <c r="P776" i="1"/>
  <c r="F941" i="1"/>
  <c r="Q941" i="1"/>
  <c r="Q731" i="1"/>
  <c r="F856" i="1"/>
  <c r="P856" i="1"/>
  <c r="P881" i="1"/>
  <c r="Q881" i="1"/>
  <c r="F743" i="1"/>
  <c r="P743" i="1"/>
  <c r="F834" i="1"/>
  <c r="P834" i="1"/>
  <c r="Q834" i="1"/>
  <c r="Q972" i="1"/>
  <c r="F972" i="1"/>
  <c r="F1002" i="1"/>
  <c r="F844" i="1"/>
  <c r="P774" i="1"/>
  <c r="Q788" i="1"/>
  <c r="F990" i="1"/>
  <c r="P788" i="1"/>
  <c r="P866" i="1"/>
  <c r="P775" i="1"/>
  <c r="Q775" i="1"/>
  <c r="P808" i="1"/>
  <c r="Q787" i="1"/>
  <c r="P1009" i="1"/>
  <c r="Q1009" i="1"/>
  <c r="P924" i="1"/>
  <c r="P906" i="1"/>
  <c r="P772" i="1"/>
  <c r="F906" i="1"/>
  <c r="F1026" i="1"/>
  <c r="P1026" i="1"/>
  <c r="F984" i="1"/>
  <c r="Q764" i="1"/>
  <c r="P761" i="1"/>
  <c r="P798" i="1"/>
  <c r="P731" i="1"/>
  <c r="P972" i="1"/>
  <c r="P984" i="1"/>
  <c r="Q789" i="1"/>
  <c r="F812" i="1"/>
  <c r="P997" i="1"/>
  <c r="F886" i="1"/>
  <c r="P886" i="1"/>
  <c r="P770" i="1"/>
  <c r="F787" i="1"/>
  <c r="Q866" i="1"/>
  <c r="Q924" i="1"/>
  <c r="P940" i="1"/>
  <c r="Q894" i="1"/>
  <c r="F894" i="1"/>
  <c r="P812" i="1"/>
  <c r="F775" i="1"/>
  <c r="F899" i="1"/>
  <c r="P899" i="1"/>
  <c r="Q899" i="1"/>
  <c r="F1032" i="1"/>
  <c r="P941" i="1"/>
  <c r="F781" i="1"/>
  <c r="Q781" i="1"/>
  <c r="P767" i="1"/>
  <c r="F767" i="1"/>
  <c r="F817" i="1"/>
  <c r="P817" i="1"/>
  <c r="Q817" i="1"/>
  <c r="F789" i="1"/>
  <c r="P819" i="1"/>
  <c r="Q819" i="1"/>
  <c r="F776" i="1"/>
  <c r="F852" i="1"/>
  <c r="Q852" i="1"/>
  <c r="P964" i="1"/>
  <c r="F1009" i="1"/>
  <c r="F908" i="1"/>
  <c r="P908" i="1"/>
  <c r="Q908" i="1"/>
  <c r="F761" i="1"/>
  <c r="Q1032" i="1"/>
  <c r="P781" i="1"/>
  <c r="Q856" i="1"/>
  <c r="F940" i="1"/>
  <c r="P846" i="1"/>
  <c r="F958" i="1"/>
  <c r="P958" i="1"/>
  <c r="Q990" i="1"/>
  <c r="Q772" i="1"/>
  <c r="F865" i="1"/>
  <c r="Q865" i="1"/>
  <c r="P882" i="1"/>
  <c r="P364" i="1"/>
  <c r="Q1167" i="1"/>
  <c r="P1178" i="1"/>
  <c r="P388" i="1"/>
  <c r="Q1178" i="1"/>
  <c r="Q388" i="1"/>
  <c r="Q1175" i="1"/>
  <c r="Q297" i="1"/>
  <c r="Q356" i="1"/>
  <c r="F196" i="1"/>
  <c r="F268" i="1"/>
  <c r="F316" i="1"/>
  <c r="F1172" i="1"/>
  <c r="Q1171" i="1"/>
  <c r="P1174" i="1"/>
  <c r="Q1172" i="1"/>
  <c r="Q1174" i="1"/>
  <c r="Q316" i="1"/>
  <c r="Q196" i="1"/>
  <c r="P378" i="1"/>
  <c r="P238" i="1"/>
  <c r="Q285" i="1"/>
  <c r="F1171" i="1"/>
  <c r="Q172" i="1"/>
  <c r="P268" i="1"/>
  <c r="P172" i="1"/>
  <c r="P291" i="1"/>
  <c r="Q1170" i="1"/>
  <c r="P301" i="1"/>
  <c r="Q332" i="1"/>
  <c r="P332" i="1"/>
  <c r="F363" i="1"/>
  <c r="F1170" i="1"/>
  <c r="Q187" i="1"/>
  <c r="P260" i="1"/>
  <c r="F188" i="1"/>
  <c r="P184" i="1"/>
  <c r="P315" i="1"/>
  <c r="Q177" i="1"/>
  <c r="P177" i="1"/>
  <c r="F315" i="1"/>
  <c r="P363" i="1"/>
  <c r="Q328" i="1"/>
  <c r="Q171" i="1"/>
  <c r="Q256" i="1"/>
  <c r="Q243" i="1"/>
  <c r="Q291" i="1"/>
  <c r="F256" i="1"/>
  <c r="Q212" i="1"/>
  <c r="Q358" i="1"/>
  <c r="P358" i="1"/>
  <c r="P171" i="1"/>
  <c r="P243" i="1"/>
  <c r="P195" i="1"/>
  <c r="P253" i="1"/>
  <c r="Q195" i="1"/>
  <c r="Q1173" i="1"/>
  <c r="P1173" i="1"/>
  <c r="F253" i="1"/>
  <c r="P189" i="1"/>
  <c r="P321" i="1"/>
  <c r="F212" i="1"/>
  <c r="Q169" i="1"/>
  <c r="P282" i="1"/>
  <c r="Q238" i="1"/>
  <c r="P214" i="1"/>
  <c r="P258" i="1"/>
  <c r="Q214" i="1"/>
  <c r="F378" i="1"/>
  <c r="Q282" i="1"/>
  <c r="P393" i="1"/>
  <c r="Q393" i="1"/>
  <c r="Q345" i="1"/>
  <c r="P345" i="1"/>
  <c r="F356" i="1"/>
  <c r="F236" i="1"/>
  <c r="P232" i="1"/>
  <c r="F385" i="1"/>
  <c r="Q236" i="1"/>
  <c r="F189" i="1"/>
  <c r="P237" i="1"/>
  <c r="F357" i="1"/>
  <c r="F210" i="1"/>
  <c r="F213" i="1"/>
  <c r="F301" i="1"/>
  <c r="P376" i="1"/>
  <c r="Q273" i="1"/>
  <c r="P273" i="1"/>
  <c r="Q201" i="1"/>
  <c r="Q188" i="1"/>
  <c r="P201" i="1"/>
  <c r="Q232" i="1"/>
  <c r="Q225" i="1"/>
  <c r="P225" i="1"/>
  <c r="Q260" i="1"/>
  <c r="Q284" i="1"/>
  <c r="Q377" i="1"/>
  <c r="Q381" i="1"/>
  <c r="F284" i="1"/>
  <c r="P377" i="1"/>
  <c r="P357" i="1"/>
  <c r="P210" i="1"/>
  <c r="F280" i="1"/>
  <c r="Q308" i="1"/>
  <c r="F308" i="1"/>
  <c r="F261" i="1"/>
  <c r="F208" i="1"/>
  <c r="Q208" i="1"/>
  <c r="F186" i="1"/>
  <c r="P333" i="1"/>
  <c r="F709" i="1"/>
  <c r="F276" i="1"/>
  <c r="Q329" i="1"/>
  <c r="Q257" i="1"/>
  <c r="P257" i="1"/>
  <c r="F329" i="1"/>
  <c r="Q180" i="1"/>
  <c r="F229" i="1"/>
  <c r="P280" i="1"/>
  <c r="P330" i="1"/>
  <c r="F184" i="1"/>
  <c r="F306" i="1"/>
  <c r="Q309" i="1"/>
  <c r="P379" i="1"/>
  <c r="P186" i="1"/>
  <c r="P306" i="1"/>
  <c r="P309" i="1"/>
  <c r="F258" i="1"/>
  <c r="F330" i="1"/>
  <c r="F169" i="1"/>
  <c r="F215" i="1"/>
  <c r="Q380" i="1"/>
  <c r="Q213" i="1"/>
  <c r="F328" i="1"/>
  <c r="P400" i="1"/>
  <c r="P385" i="1"/>
  <c r="P304" i="1"/>
  <c r="F352" i="1"/>
  <c r="Q400" i="1"/>
  <c r="Q261" i="1"/>
  <c r="P352" i="1"/>
  <c r="F237" i="1"/>
  <c r="F187" i="1"/>
  <c r="F300" i="1"/>
  <c r="F304" i="1"/>
  <c r="F376" i="1"/>
  <c r="Q331" i="1"/>
  <c r="F361" i="1"/>
  <c r="F379" i="1"/>
  <c r="F180" i="1"/>
  <c r="F323" i="1"/>
  <c r="P289" i="1"/>
  <c r="F380" i="1"/>
  <c r="Q289" i="1"/>
  <c r="Q300" i="1"/>
  <c r="Q276" i="1"/>
  <c r="F381" i="1"/>
  <c r="Q259" i="1"/>
  <c r="F211" i="1"/>
  <c r="P241" i="1"/>
  <c r="P265" i="1"/>
  <c r="P283" i="1"/>
  <c r="F181" i="1"/>
  <c r="F283" i="1"/>
  <c r="F259" i="1"/>
  <c r="F217" i="1"/>
  <c r="F331" i="1"/>
  <c r="Q239" i="1"/>
  <c r="P337" i="1"/>
  <c r="F333" i="1"/>
  <c r="Q229" i="1"/>
  <c r="F307" i="1"/>
  <c r="P217" i="1"/>
  <c r="F265" i="1"/>
  <c r="P361" i="1"/>
  <c r="F337" i="1"/>
  <c r="Q241" i="1"/>
  <c r="Q181" i="1"/>
  <c r="Q307" i="1"/>
  <c r="Q211" i="1"/>
  <c r="F239" i="1"/>
  <c r="P191" i="1"/>
  <c r="F395" i="1"/>
  <c r="P323" i="1"/>
  <c r="P288" i="1"/>
  <c r="F299" i="1"/>
  <c r="P709" i="1"/>
  <c r="Q250" i="1"/>
  <c r="P347" i="1"/>
  <c r="Q322" i="1"/>
  <c r="Q245" i="1"/>
  <c r="Q275" i="1"/>
  <c r="Q299" i="1"/>
  <c r="Q688" i="1"/>
  <c r="Q227" i="1"/>
  <c r="P227" i="1"/>
  <c r="Q251" i="1"/>
  <c r="P179" i="1"/>
  <c r="P251" i="1"/>
  <c r="F203" i="1"/>
  <c r="P275" i="1"/>
  <c r="Q395" i="1"/>
  <c r="P394" i="1"/>
  <c r="Q203" i="1"/>
  <c r="P371" i="1"/>
  <c r="Q347" i="1"/>
  <c r="Q274" i="1"/>
  <c r="F179" i="1"/>
  <c r="F371" i="1"/>
  <c r="F293" i="1"/>
  <c r="Q293" i="1"/>
  <c r="F341" i="1"/>
  <c r="P341" i="1"/>
  <c r="F366" i="1"/>
  <c r="F197" i="1"/>
  <c r="P197" i="1"/>
  <c r="F221" i="1"/>
  <c r="F269" i="1"/>
  <c r="Q221" i="1"/>
  <c r="Q269" i="1"/>
  <c r="Q389" i="1"/>
  <c r="P389" i="1"/>
  <c r="P173" i="1"/>
  <c r="F191" i="1"/>
  <c r="F317" i="1"/>
  <c r="Q173" i="1"/>
  <c r="P245" i="1"/>
  <c r="F682" i="1"/>
  <c r="Q390" i="1"/>
  <c r="F390" i="1"/>
  <c r="Q270" i="1"/>
  <c r="Q680" i="1"/>
  <c r="Q246" i="1"/>
  <c r="P682" i="1"/>
  <c r="Q690" i="1"/>
  <c r="Q263" i="1"/>
  <c r="Q317" i="1"/>
  <c r="F365" i="1"/>
  <c r="F690" i="1"/>
  <c r="Q311" i="1"/>
  <c r="F311" i="1"/>
  <c r="F246" i="1"/>
  <c r="P365" i="1"/>
  <c r="F702" i="1"/>
  <c r="Q370" i="1"/>
  <c r="P318" i="1"/>
  <c r="P263" i="1"/>
  <c r="F681" i="1"/>
  <c r="P681" i="1"/>
  <c r="F685" i="1"/>
  <c r="F322" i="1"/>
  <c r="P634" i="1"/>
  <c r="Q685" i="1"/>
  <c r="F375" i="1"/>
  <c r="Q702" i="1"/>
  <c r="F294" i="1"/>
  <c r="P294" i="1"/>
  <c r="F248" i="1"/>
  <c r="F680" i="1"/>
  <c r="P248" i="1"/>
  <c r="F272" i="1"/>
  <c r="P351" i="1"/>
  <c r="Q312" i="1"/>
  <c r="Q336" i="1"/>
  <c r="Q360" i="1"/>
  <c r="P360" i="1"/>
  <c r="P696" i="1"/>
  <c r="F264" i="1"/>
  <c r="Q226" i="1"/>
  <c r="Q207" i="1"/>
  <c r="F226" i="1"/>
  <c r="F303" i="1"/>
  <c r="F351" i="1"/>
  <c r="P375" i="1"/>
  <c r="P215" i="1"/>
  <c r="P679" i="1"/>
  <c r="P335" i="1"/>
  <c r="Q366" i="1"/>
  <c r="Q634" i="1"/>
  <c r="F679" i="1"/>
  <c r="Q222" i="1"/>
  <c r="Q264" i="1"/>
  <c r="P327" i="1"/>
  <c r="F202" i="1"/>
  <c r="F224" i="1"/>
  <c r="Q202" i="1"/>
  <c r="P224" i="1"/>
  <c r="F287" i="1"/>
  <c r="F240" i="1"/>
  <c r="Q178" i="1"/>
  <c r="F279" i="1"/>
  <c r="F335" i="1"/>
  <c r="Q240" i="1"/>
  <c r="Q287" i="1"/>
  <c r="F342" i="1"/>
  <c r="P342" i="1"/>
  <c r="F712" i="1"/>
  <c r="Q712" i="1"/>
  <c r="P688" i="1"/>
  <c r="F255" i="1"/>
  <c r="Q200" i="1"/>
  <c r="F327" i="1"/>
  <c r="F714" i="1"/>
  <c r="Q255" i="1"/>
  <c r="F182" i="1"/>
  <c r="P303" i="1"/>
  <c r="P192" i="1"/>
  <c r="P174" i="1"/>
  <c r="F192" i="1"/>
  <c r="F207" i="1"/>
  <c r="F318" i="1"/>
  <c r="Q174" i="1"/>
  <c r="Q288" i="1"/>
  <c r="Q693" i="1"/>
  <c r="Q346" i="1"/>
  <c r="F313" i="1"/>
  <c r="F200" i="1"/>
  <c r="F711" i="1"/>
  <c r="F270" i="1"/>
  <c r="Q176" i="1"/>
  <c r="F216" i="1"/>
  <c r="P359" i="1"/>
  <c r="F336" i="1"/>
  <c r="F178" i="1"/>
  <c r="P216" i="1"/>
  <c r="F705" i="1"/>
  <c r="Q359" i="1"/>
  <c r="Q711" i="1"/>
  <c r="P383" i="1"/>
  <c r="Q383" i="1"/>
  <c r="P706" i="1"/>
  <c r="P279" i="1"/>
  <c r="Q231" i="1"/>
  <c r="Q384" i="1"/>
  <c r="Q193" i="1"/>
  <c r="F370" i="1"/>
  <c r="P384" i="1"/>
  <c r="Q694" i="1"/>
  <c r="F176" i="1"/>
  <c r="Q706" i="1"/>
  <c r="Q182" i="1"/>
  <c r="Q696" i="1"/>
  <c r="P714" i="1"/>
  <c r="F250" i="1"/>
  <c r="P694" i="1"/>
  <c r="F687" i="1"/>
  <c r="F374" i="1"/>
  <c r="Q705" i="1"/>
  <c r="P703" i="1"/>
  <c r="F326" i="1"/>
  <c r="F206" i="1"/>
  <c r="F193" i="1"/>
  <c r="Q700" i="1"/>
  <c r="F230" i="1"/>
  <c r="F368" i="1"/>
  <c r="P700" i="1"/>
  <c r="F399" i="1"/>
  <c r="Q683" i="1"/>
  <c r="P692" i="1"/>
  <c r="Q703" i="1"/>
  <c r="F683" i="1"/>
  <c r="Q272" i="1"/>
  <c r="Q296" i="1"/>
  <c r="P296" i="1"/>
  <c r="Q206" i="1"/>
  <c r="Q230" i="1"/>
  <c r="Q344" i="1"/>
  <c r="F312" i="1"/>
  <c r="F689" i="1"/>
  <c r="Q399" i="1"/>
  <c r="Q692" i="1"/>
  <c r="F686" i="1"/>
  <c r="P392" i="1"/>
  <c r="Q704" i="1"/>
  <c r="Q686" i="1"/>
  <c r="P695" i="1"/>
  <c r="Q350" i="1"/>
  <c r="F222" i="1"/>
  <c r="F198" i="1"/>
  <c r="P687" i="1"/>
  <c r="F695" i="1"/>
  <c r="Q398" i="1"/>
  <c r="Q392" i="1"/>
  <c r="P183" i="1"/>
  <c r="P198" i="1"/>
  <c r="Q698" i="1"/>
  <c r="Q374" i="1"/>
  <c r="Q183" i="1"/>
  <c r="F704" i="1"/>
  <c r="F684" i="1"/>
  <c r="F693" i="1"/>
  <c r="Q710" i="1"/>
  <c r="Q326" i="1"/>
  <c r="P344" i="1"/>
  <c r="Q320" i="1"/>
  <c r="Q368" i="1"/>
  <c r="Q689" i="1"/>
  <c r="P697" i="1"/>
  <c r="P320" i="1"/>
  <c r="F698" i="1"/>
  <c r="F394" i="1"/>
  <c r="Q684" i="1"/>
  <c r="F398" i="1"/>
  <c r="P701" i="1"/>
  <c r="F278" i="1"/>
  <c r="F701" i="1"/>
  <c r="P691" i="1"/>
  <c r="Q697" i="1"/>
  <c r="F346" i="1"/>
  <c r="Q298" i="1"/>
  <c r="Q707" i="1"/>
  <c r="P707" i="1"/>
  <c r="F691" i="1"/>
  <c r="F302" i="1"/>
  <c r="F298" i="1"/>
  <c r="F350" i="1"/>
  <c r="Q254" i="1"/>
  <c r="F710" i="1"/>
  <c r="Q278" i="1"/>
  <c r="Q302" i="1"/>
  <c r="F254" i="1"/>
  <c r="F274" i="1"/>
  <c r="F231" i="1"/>
  <c r="P313" i="1"/>
  <c r="P699" i="1"/>
  <c r="Q713" i="1"/>
  <c r="F713" i="1"/>
  <c r="Q628" i="1"/>
  <c r="P708" i="1"/>
  <c r="F699" i="1"/>
  <c r="F611" i="1"/>
  <c r="F708" i="1"/>
  <c r="Q41" i="1"/>
  <c r="Q90" i="1"/>
  <c r="Q602" i="1"/>
  <c r="F641" i="1"/>
  <c r="P569" i="1"/>
  <c r="P611" i="1"/>
  <c r="Q569" i="1"/>
  <c r="P641" i="1"/>
  <c r="P602" i="1"/>
  <c r="Q137" i="1"/>
  <c r="P646" i="1"/>
  <c r="F628" i="1"/>
  <c r="F575" i="1"/>
  <c r="P629" i="1"/>
  <c r="Q80" i="1"/>
  <c r="F651" i="1"/>
  <c r="F655" i="1"/>
  <c r="F39" i="1"/>
  <c r="Q658" i="1"/>
  <c r="F640" i="1"/>
  <c r="Q39" i="1"/>
  <c r="P677" i="1"/>
  <c r="Q646" i="1"/>
  <c r="Q24" i="1"/>
  <c r="F677" i="1"/>
  <c r="P20" i="1"/>
  <c r="Q671" i="1"/>
  <c r="P615" i="1"/>
  <c r="F624" i="1"/>
  <c r="P655" i="1"/>
  <c r="P592" i="1"/>
  <c r="Q592" i="1"/>
  <c r="P671" i="1"/>
  <c r="F658" i="1"/>
  <c r="P109" i="1"/>
  <c r="F572" i="1"/>
  <c r="Q13" i="1"/>
  <c r="F578" i="1"/>
  <c r="P660" i="1"/>
  <c r="F68" i="1"/>
  <c r="P65" i="1"/>
  <c r="Q72" i="1"/>
  <c r="P572" i="1"/>
  <c r="Q648" i="1"/>
  <c r="F674" i="1"/>
  <c r="P137" i="1"/>
  <c r="P559" i="1"/>
  <c r="P612" i="1"/>
  <c r="F580" i="1"/>
  <c r="P580" i="1"/>
  <c r="Q635" i="1"/>
  <c r="P664" i="1"/>
  <c r="P587" i="1"/>
  <c r="F599" i="1"/>
  <c r="Q612" i="1"/>
  <c r="F643" i="1"/>
  <c r="P643" i="1"/>
  <c r="P675" i="1"/>
  <c r="F6" i="1"/>
  <c r="P41" i="1"/>
  <c r="F559" i="1"/>
  <c r="Q21" i="1"/>
  <c r="Q104" i="1"/>
  <c r="P24" i="1"/>
  <c r="P661" i="1"/>
  <c r="F660" i="1"/>
  <c r="P590" i="1"/>
  <c r="Q63" i="1"/>
  <c r="Q638" i="1"/>
  <c r="P621" i="1"/>
  <c r="P63" i="1"/>
  <c r="P79" i="1"/>
  <c r="F557" i="1"/>
  <c r="P8" i="1"/>
  <c r="P80" i="1"/>
  <c r="F661" i="1"/>
  <c r="F635" i="1"/>
  <c r="F71" i="1"/>
  <c r="F669" i="1"/>
  <c r="Q578" i="1"/>
  <c r="P581" i="1"/>
  <c r="F103" i="1"/>
  <c r="F608" i="1"/>
  <c r="F563" i="1"/>
  <c r="F11" i="1"/>
  <c r="F1180" i="1"/>
  <c r="Q645" i="1"/>
  <c r="F72" i="1"/>
  <c r="F645" i="1"/>
  <c r="P669" i="1"/>
  <c r="F1189" i="1"/>
  <c r="P562" i="1"/>
  <c r="F558" i="1"/>
  <c r="P674" i="1"/>
  <c r="Q563" i="1"/>
  <c r="F562" i="1"/>
  <c r="P608" i="1"/>
  <c r="F609" i="1"/>
  <c r="F648" i="1"/>
  <c r="F644" i="1"/>
  <c r="F638" i="1"/>
  <c r="F1179" i="1"/>
  <c r="P620" i="1"/>
  <c r="Q557" i="1"/>
  <c r="Q672" i="1"/>
  <c r="P644" i="1"/>
  <c r="P90" i="1"/>
  <c r="F587" i="1"/>
  <c r="Q619" i="1"/>
  <c r="F619" i="1"/>
  <c r="P597" i="1"/>
  <c r="Q605" i="1"/>
  <c r="Q121" i="1"/>
  <c r="F597" i="1"/>
  <c r="P595" i="1"/>
  <c r="P1179" i="1"/>
  <c r="Q144" i="1"/>
  <c r="Q620" i="1"/>
  <c r="Q97" i="1"/>
  <c r="Q623" i="1"/>
  <c r="Q151" i="1"/>
  <c r="F647" i="1"/>
  <c r="P604" i="1"/>
  <c r="Q73" i="1"/>
  <c r="F584" i="1"/>
  <c r="Q574" i="1"/>
  <c r="Q636" i="1"/>
  <c r="Q600" i="1"/>
  <c r="P153" i="1"/>
  <c r="Q590" i="1"/>
  <c r="F665" i="1"/>
  <c r="F581" i="1"/>
  <c r="P609" i="1"/>
  <c r="F33" i="1"/>
  <c r="Q561" i="1"/>
  <c r="F40" i="1"/>
  <c r="Q71" i="1"/>
  <c r="Q19" i="1"/>
  <c r="P589" i="1"/>
  <c r="Q629" i="1"/>
  <c r="P560" i="1"/>
  <c r="P584" i="1"/>
  <c r="Q91" i="1"/>
  <c r="P85" i="1"/>
  <c r="P32" i="1"/>
  <c r="Q665" i="1"/>
  <c r="P626" i="1"/>
  <c r="F104" i="1"/>
  <c r="Q604" i="1"/>
  <c r="F598" i="1"/>
  <c r="Q20" i="1"/>
  <c r="P668" i="1"/>
  <c r="F153" i="1"/>
  <c r="F675" i="1"/>
  <c r="Q626" i="1"/>
  <c r="Q65" i="1"/>
  <c r="F128" i="1"/>
  <c r="P598" i="1"/>
  <c r="F13" i="1"/>
  <c r="F653" i="1"/>
  <c r="F650" i="1"/>
  <c r="F23" i="1"/>
  <c r="P55" i="1"/>
  <c r="Q575" i="1"/>
  <c r="F74" i="1"/>
  <c r="P579" i="1"/>
  <c r="Q668" i="1"/>
  <c r="F595" i="1"/>
  <c r="F10" i="1"/>
  <c r="F649" i="1"/>
  <c r="P599" i="1"/>
  <c r="F38" i="1"/>
  <c r="P573" i="1"/>
  <c r="Q25" i="1"/>
  <c r="P66" i="1"/>
  <c r="F61" i="1"/>
  <c r="F573" i="1"/>
  <c r="F630" i="1"/>
  <c r="F85" i="1"/>
  <c r="P568" i="1"/>
  <c r="P61" i="1"/>
  <c r="P45" i="1"/>
  <c r="P591" i="1"/>
  <c r="F109" i="1"/>
  <c r="P622" i="1"/>
  <c r="Q649" i="1"/>
  <c r="P34" i="1"/>
  <c r="P603" i="1"/>
  <c r="F133" i="1"/>
  <c r="F9" i="1"/>
  <c r="Q617" i="1"/>
  <c r="P624" i="1"/>
  <c r="P596" i="1"/>
  <c r="F96" i="1"/>
  <c r="F657" i="1"/>
  <c r="Q37" i="1"/>
  <c r="P627" i="1"/>
  <c r="F118" i="1"/>
  <c r="P657" i="1"/>
  <c r="Q66" i="1"/>
  <c r="F59" i="1"/>
  <c r="Q139" i="1"/>
  <c r="Q115" i="1"/>
  <c r="Q105" i="1"/>
  <c r="P656" i="1"/>
  <c r="F571" i="1"/>
  <c r="F83" i="1"/>
  <c r="P651" i="1"/>
  <c r="P114" i="1"/>
  <c r="Q114" i="1"/>
  <c r="P146" i="1"/>
  <c r="F82" i="1"/>
  <c r="F138" i="1"/>
  <c r="Q622" i="1"/>
  <c r="F583" i="1"/>
  <c r="F666" i="1"/>
  <c r="Q567" i="1"/>
  <c r="P631" i="1"/>
  <c r="P614" i="1"/>
  <c r="Q138" i="1"/>
  <c r="Q53" i="1"/>
  <c r="Q579" i="1"/>
  <c r="F37" i="1"/>
  <c r="P585" i="1"/>
  <c r="F642" i="1"/>
  <c r="F596" i="1"/>
  <c r="P600" i="1"/>
  <c r="Q591" i="1"/>
  <c r="P618" i="1"/>
  <c r="F585" i="1"/>
  <c r="Q568" i="1"/>
  <c r="Q586" i="1"/>
  <c r="F35" i="1"/>
  <c r="P151" i="1"/>
  <c r="Q603" i="1"/>
  <c r="P630" i="1"/>
  <c r="P583" i="1"/>
  <c r="Q616" i="1"/>
  <c r="F656" i="1"/>
  <c r="P87" i="1"/>
  <c r="Q615" i="1"/>
  <c r="P642" i="1"/>
  <c r="F632" i="1"/>
  <c r="F618" i="1"/>
  <c r="Q614" i="1"/>
  <c r="Q45" i="1"/>
  <c r="Q627" i="1"/>
  <c r="P654" i="1"/>
  <c r="P653" i="1"/>
  <c r="F636" i="1"/>
  <c r="Q44" i="1"/>
  <c r="Q133" i="1"/>
  <c r="Q621" i="1"/>
  <c r="F623" i="1"/>
  <c r="P64" i="1"/>
  <c r="P14" i="1"/>
  <c r="P44" i="1"/>
  <c r="F639" i="1"/>
  <c r="F616" i="1"/>
  <c r="P647" i="1"/>
  <c r="Q571" i="1"/>
  <c r="F88" i="1"/>
  <c r="P662" i="1"/>
  <c r="P666" i="1"/>
  <c r="P633" i="1"/>
  <c r="F136" i="1"/>
  <c r="F97" i="1"/>
  <c r="F121" i="1"/>
  <c r="F64" i="1"/>
  <c r="Q659" i="1"/>
  <c r="P116" i="1"/>
  <c r="Q566" i="1"/>
  <c r="P659" i="1"/>
  <c r="P601" i="1"/>
  <c r="P566" i="1"/>
  <c r="Q662" i="1"/>
  <c r="F95" i="1"/>
  <c r="Q676" i="1"/>
  <c r="F633" i="1"/>
  <c r="Q631" i="1"/>
  <c r="F53" i="1"/>
  <c r="F131" i="1"/>
  <c r="P77" i="1"/>
  <c r="Q560" i="1"/>
  <c r="P637" i="1"/>
  <c r="F8" i="1"/>
  <c r="F14" i="1"/>
  <c r="P640" i="1"/>
  <c r="F664" i="1"/>
  <c r="F91" i="1"/>
  <c r="P561" i="1"/>
  <c r="P574" i="1"/>
  <c r="F115" i="1"/>
  <c r="Q126" i="1"/>
  <c r="Q32" i="1"/>
  <c r="F15" i="1"/>
  <c r="F93" i="1"/>
  <c r="Q663" i="1"/>
  <c r="F56" i="1"/>
  <c r="Q632" i="1"/>
  <c r="F139" i="1"/>
  <c r="F637" i="1"/>
  <c r="P82" i="1"/>
  <c r="P42" i="1"/>
  <c r="Q68" i="1"/>
  <c r="Q128" i="1"/>
  <c r="P593" i="1"/>
  <c r="P650" i="1"/>
  <c r="P676" i="1"/>
  <c r="Q15" i="1"/>
  <c r="F607" i="1"/>
  <c r="P60" i="1"/>
  <c r="P17" i="1"/>
  <c r="P558" i="1"/>
  <c r="F148" i="1"/>
  <c r="F17" i="1"/>
  <c r="Q40" i="1"/>
  <c r="Q69" i="1"/>
  <c r="Q93" i="1"/>
  <c r="P150" i="1"/>
  <c r="P605" i="1"/>
  <c r="F123" i="1"/>
  <c r="P564" i="1"/>
  <c r="F564" i="1"/>
  <c r="F146" i="1"/>
  <c r="F101" i="1"/>
  <c r="Q588" i="1"/>
  <c r="F107" i="1"/>
  <c r="F122" i="1"/>
  <c r="F18" i="1"/>
  <c r="F129" i="1"/>
  <c r="P613" i="1"/>
  <c r="F22" i="1"/>
  <c r="F58" i="1"/>
  <c r="Q48" i="1"/>
  <c r="P89" i="1"/>
  <c r="F89" i="1"/>
  <c r="F100" i="1"/>
  <c r="F76" i="1"/>
  <c r="F145" i="1"/>
  <c r="F81" i="1"/>
  <c r="F120" i="1"/>
  <c r="Q111" i="1"/>
  <c r="P111" i="1"/>
  <c r="P48" i="1"/>
  <c r="Q36" i="1"/>
  <c r="Q639" i="1"/>
  <c r="P625" i="1"/>
  <c r="F119" i="1"/>
  <c r="P113" i="1"/>
  <c r="F57" i="1"/>
  <c r="P88" i="1"/>
  <c r="P69" i="1"/>
  <c r="F577" i="1"/>
  <c r="F589" i="1"/>
  <c r="F34" i="1"/>
  <c r="P588" i="1"/>
  <c r="F124" i="1"/>
  <c r="F613" i="1"/>
  <c r="F565" i="1"/>
  <c r="F606" i="1"/>
  <c r="P33" i="1"/>
  <c r="P567" i="1"/>
  <c r="F625" i="1"/>
  <c r="F102" i="1"/>
  <c r="F663" i="1"/>
  <c r="F30" i="1"/>
  <c r="F12" i="1"/>
  <c r="Q667" i="1"/>
  <c r="F52" i="1"/>
  <c r="F87" i="1"/>
  <c r="F105" i="1"/>
  <c r="F125" i="1"/>
  <c r="F127" i="1"/>
  <c r="F594" i="1"/>
  <c r="F67" i="1"/>
  <c r="F152" i="1"/>
  <c r="F667" i="1"/>
  <c r="F601" i="1"/>
  <c r="F150" i="1"/>
  <c r="F149" i="1"/>
  <c r="F60" i="1"/>
  <c r="Q113" i="1"/>
  <c r="F147" i="1"/>
  <c r="P58" i="1"/>
  <c r="Q81" i="1"/>
  <c r="P582" i="1"/>
  <c r="F51" i="1"/>
  <c r="F4" i="1"/>
  <c r="F54" i="1"/>
  <c r="F21" i="1"/>
  <c r="F73" i="1"/>
  <c r="Q670" i="1"/>
  <c r="F84" i="1"/>
  <c r="F36" i="1"/>
  <c r="F672" i="1"/>
  <c r="P652" i="1"/>
  <c r="F652" i="1"/>
  <c r="P30" i="1"/>
  <c r="P594" i="1"/>
  <c r="P610" i="1"/>
  <c r="F117" i="1"/>
  <c r="F654" i="1"/>
  <c r="F143" i="1"/>
  <c r="F28" i="1"/>
  <c r="F62" i="1"/>
  <c r="F92" i="1"/>
  <c r="F144" i="1"/>
  <c r="F43" i="1"/>
  <c r="Q678" i="1"/>
  <c r="F678" i="1"/>
  <c r="Q607" i="1"/>
  <c r="F582" i="1"/>
  <c r="P586" i="1"/>
  <c r="P102" i="1"/>
  <c r="P565" i="1"/>
  <c r="P606" i="1"/>
  <c r="F110" i="1"/>
  <c r="F126" i="1"/>
  <c r="F78" i="1"/>
  <c r="F26" i="1"/>
  <c r="F108" i="1"/>
  <c r="F75" i="1"/>
  <c r="P576" i="1"/>
  <c r="F142" i="1"/>
  <c r="Q576" i="1"/>
  <c r="F106" i="1"/>
  <c r="P577" i="1"/>
  <c r="P617" i="1"/>
  <c r="F134" i="1"/>
  <c r="Q564" i="1"/>
  <c r="F112" i="1"/>
  <c r="F50" i="1"/>
  <c r="F135" i="1"/>
  <c r="F130" i="1"/>
  <c r="P125" i="1"/>
  <c r="P670" i="1"/>
  <c r="Q673" i="1"/>
  <c r="F673" i="1"/>
  <c r="Q570" i="1"/>
  <c r="F570" i="1"/>
  <c r="F19" i="1"/>
  <c r="F42" i="1"/>
  <c r="Q610" i="1"/>
  <c r="F16" i="1"/>
  <c r="Q593" i="1"/>
  <c r="F140" i="1"/>
  <c r="P132" i="1"/>
  <c r="P46" i="1"/>
  <c r="Q127" i="1"/>
  <c r="P18" i="1"/>
  <c r="P5" i="1"/>
  <c r="Q131" i="1"/>
  <c r="Q75" i="1"/>
  <c r="Q116" i="1"/>
  <c r="Q50" i="1"/>
  <c r="P25" i="1"/>
  <c r="P99" i="1"/>
  <c r="Q29" i="1"/>
  <c r="P47" i="1"/>
  <c r="P49" i="1"/>
  <c r="Q67" i="1"/>
  <c r="P86" i="1"/>
  <c r="Q16" i="1"/>
  <c r="Q99" i="1"/>
  <c r="Q112" i="1"/>
  <c r="P92" i="1"/>
  <c r="Q140" i="1"/>
  <c r="Q89" i="1"/>
  <c r="F3" i="1"/>
  <c r="Q94" i="1"/>
  <c r="P136" i="1"/>
  <c r="Q132" i="1"/>
  <c r="P141" i="1"/>
  <c r="P70" i="1"/>
  <c r="Q117" i="1"/>
  <c r="Q141" i="1"/>
  <c r="Q27" i="1"/>
  <c r="Q135" i="1"/>
  <c r="Q7" i="1"/>
  <c r="Q77" i="1"/>
  <c r="Q49" i="1"/>
  <c r="P31" i="1"/>
  <c r="Q55" i="1"/>
  <c r="P103" i="1"/>
  <c r="Q79" i="1"/>
  <c r="P108" i="1"/>
  <c r="Q22" i="1"/>
  <c r="P152" i="1"/>
  <c r="P11" i="1"/>
  <c r="Q1187" i="1"/>
  <c r="P6" i="1"/>
  <c r="Q1184" i="1"/>
  <c r="P3" i="1"/>
  <c r="Q1180" i="1"/>
  <c r="P12" i="1"/>
  <c r="Q46" i="1"/>
  <c r="Q86" i="1"/>
  <c r="F1183" i="1"/>
  <c r="Q31" i="1"/>
  <c r="P120" i="1"/>
  <c r="Q96" i="1"/>
  <c r="Q84" i="1"/>
  <c r="Q56" i="1"/>
  <c r="F1187" i="1"/>
  <c r="P1183" i="1"/>
  <c r="P94" i="1"/>
  <c r="Q43" i="1"/>
  <c r="P142" i="1"/>
  <c r="P7" i="1"/>
  <c r="P129" i="1"/>
  <c r="P107" i="1"/>
  <c r="P147" i="1"/>
  <c r="Q47" i="1"/>
  <c r="P4" i="1"/>
  <c r="Q5" i="1"/>
  <c r="P78" i="1"/>
  <c r="Q54" i="1"/>
  <c r="Q35" i="1"/>
  <c r="P57" i="1"/>
  <c r="F1184" i="1"/>
  <c r="Q118" i="1"/>
  <c r="Q100" i="1"/>
  <c r="F1185" i="1"/>
  <c r="P145" i="1"/>
  <c r="Q149" i="1"/>
  <c r="P76" i="1"/>
  <c r="P23" i="1"/>
  <c r="P52" i="1"/>
  <c r="P1189" i="1"/>
  <c r="P106" i="1"/>
  <c r="P130" i="1"/>
  <c r="Q123" i="1"/>
  <c r="Q59" i="1"/>
  <c r="Q1186" i="1"/>
  <c r="Q26" i="1"/>
  <c r="Q70" i="1"/>
  <c r="F1186" i="1"/>
  <c r="Q62" i="1"/>
  <c r="P1190" i="1"/>
  <c r="P148" i="1"/>
  <c r="Q95" i="1"/>
  <c r="Q143" i="1"/>
  <c r="P29" i="1"/>
  <c r="Q51" i="1"/>
  <c r="P1182" i="1"/>
  <c r="Q119" i="1"/>
  <c r="P9" i="1"/>
  <c r="P101" i="1"/>
  <c r="F1181" i="1"/>
  <c r="Q38" i="1"/>
  <c r="F1182" i="1"/>
  <c r="Q124" i="1"/>
  <c r="Q1181" i="1"/>
  <c r="Q134" i="1"/>
  <c r="Q122" i="1"/>
  <c r="P10" i="1"/>
  <c r="P1188" i="1"/>
  <c r="F1188" i="1"/>
  <c r="F1190" i="1"/>
  <c r="P28" i="1"/>
  <c r="P83" i="1"/>
  <c r="P1185" i="1"/>
  <c r="P27" i="1"/>
  <c r="P98" i="1"/>
  <c r="Q98" i="1"/>
  <c r="Q110" i="1"/>
  <c r="Q74" i="1"/>
  <c r="Q1188" i="1"/>
  <c r="R1189" i="1" l="1"/>
  <c r="R1140" i="1"/>
  <c r="R1096" i="1"/>
  <c r="R1109" i="1"/>
  <c r="R1065" i="1"/>
  <c r="R1128" i="1"/>
  <c r="R1059" i="1"/>
  <c r="R1156" i="1"/>
  <c r="R1164" i="1"/>
  <c r="R1051" i="1"/>
  <c r="R1081" i="1"/>
  <c r="R1052" i="1"/>
  <c r="R1070" i="1"/>
  <c r="R1132" i="1"/>
  <c r="R1131" i="1"/>
  <c r="R1114" i="1"/>
  <c r="R1091" i="1"/>
  <c r="R1103" i="1"/>
  <c r="R1119" i="1"/>
  <c r="R1135" i="1"/>
  <c r="R1154" i="1"/>
  <c r="R1055" i="1"/>
  <c r="R1101" i="1"/>
  <c r="R1077" i="1"/>
  <c r="R1148" i="1"/>
  <c r="R1113" i="1"/>
  <c r="R1142" i="1"/>
  <c r="R1161" i="1"/>
  <c r="R1112" i="1"/>
  <c r="R1137" i="1"/>
  <c r="R1092" i="1"/>
  <c r="R1044" i="1"/>
  <c r="R1075" i="1"/>
  <c r="R1125" i="1"/>
  <c r="R1124" i="1"/>
  <c r="R1064" i="1"/>
  <c r="R1111" i="1"/>
  <c r="R1110" i="1"/>
  <c r="R1046" i="1"/>
  <c r="R1104" i="1"/>
  <c r="R1090" i="1"/>
  <c r="R1050" i="1"/>
  <c r="R1047" i="1"/>
  <c r="R1085" i="1"/>
  <c r="R1108" i="1"/>
  <c r="R1107" i="1"/>
  <c r="R1165" i="1"/>
  <c r="R1087" i="1"/>
  <c r="R1088" i="1"/>
  <c r="R1147" i="1"/>
  <c r="R1120" i="1"/>
  <c r="R1159" i="1"/>
  <c r="R1084" i="1"/>
  <c r="R1134" i="1"/>
  <c r="R1102" i="1"/>
  <c r="R1062" i="1"/>
  <c r="R1141" i="1"/>
  <c r="R1158" i="1"/>
  <c r="R1162" i="1"/>
  <c r="R1073" i="1"/>
  <c r="R1057" i="1"/>
  <c r="R1153" i="1"/>
  <c r="R1152" i="1"/>
  <c r="R1100" i="1"/>
  <c r="R1106" i="1"/>
  <c r="R1076" i="1"/>
  <c r="R1130" i="1"/>
  <c r="R1063" i="1"/>
  <c r="R1117" i="1"/>
  <c r="R1123" i="1"/>
  <c r="R1097" i="1"/>
  <c r="R1098" i="1"/>
  <c r="R1144" i="1"/>
  <c r="R1133" i="1"/>
  <c r="R1136" i="1"/>
  <c r="R1080" i="1"/>
  <c r="R1145" i="1"/>
  <c r="R1067" i="1"/>
  <c r="R1138" i="1"/>
  <c r="R1160" i="1"/>
  <c r="R1149" i="1"/>
  <c r="R1095" i="1"/>
  <c r="R1083" i="1"/>
  <c r="R1082" i="1"/>
  <c r="R1054" i="1"/>
  <c r="R1056" i="1"/>
  <c r="R1126" i="1"/>
  <c r="R1078" i="1"/>
  <c r="R1121" i="1"/>
  <c r="R1074" i="1"/>
  <c r="R1053" i="1"/>
  <c r="R1079" i="1"/>
  <c r="R1139" i="1"/>
  <c r="R1157" i="1"/>
  <c r="R1058" i="1"/>
  <c r="R1116" i="1"/>
  <c r="R1099" i="1"/>
  <c r="R1071" i="1"/>
  <c r="R1069" i="1"/>
  <c r="R1072" i="1"/>
  <c r="R1045" i="1"/>
  <c r="R1122" i="1"/>
  <c r="R1146" i="1"/>
  <c r="R1089" i="1"/>
  <c r="R1060" i="1"/>
  <c r="R1163" i="1"/>
  <c r="R1094" i="1"/>
  <c r="R1151" i="1"/>
  <c r="R1127" i="1"/>
  <c r="R1086" i="1"/>
  <c r="R1093" i="1"/>
  <c r="R1066" i="1"/>
  <c r="R1115" i="1"/>
  <c r="R1061" i="1"/>
  <c r="R1048" i="1"/>
  <c r="R1049" i="1"/>
  <c r="R1143" i="1"/>
  <c r="R1068" i="1"/>
  <c r="R1129" i="1"/>
  <c r="R1150" i="1"/>
  <c r="R1118" i="1"/>
  <c r="R1155" i="1"/>
  <c r="R1105" i="1"/>
  <c r="R1169" i="1"/>
  <c r="R1176" i="1"/>
  <c r="R1178" i="1"/>
  <c r="R1168" i="1"/>
  <c r="R1177" i="1"/>
  <c r="R1166" i="1"/>
  <c r="R1167" i="1"/>
  <c r="R1173" i="1"/>
  <c r="R1174" i="1"/>
  <c r="R1172" i="1"/>
  <c r="R1171" i="1"/>
  <c r="R1175" i="1"/>
  <c r="R1170" i="1"/>
  <c r="R675" i="1"/>
  <c r="R1190" i="1"/>
  <c r="R1179" i="1"/>
  <c r="R1186" i="1"/>
  <c r="R1188" i="1"/>
  <c r="R1182" i="1"/>
  <c r="R1187" i="1"/>
  <c r="R1183" i="1"/>
  <c r="R1180" i="1"/>
  <c r="R1181" i="1"/>
  <c r="R1185" i="1"/>
  <c r="R118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<sst xmlns="http://schemas.openxmlformats.org/spreadsheetml/2006/main" count="7843" uniqueCount="1398">
  <si>
    <t>S-FPL51</t>
  </si>
  <si>
    <t>S-FPL53</t>
  </si>
  <si>
    <t>S-FPL55</t>
  </si>
  <si>
    <t>S-FSL 5</t>
  </si>
  <si>
    <t>S-BSL 7</t>
  </si>
  <si>
    <t>S-BSM 2</t>
  </si>
  <si>
    <t>S-BSM10</t>
  </si>
  <si>
    <t>S-BSM14</t>
  </si>
  <si>
    <t>S-BSM15</t>
  </si>
  <si>
    <t>S-BSM16</t>
  </si>
  <si>
    <t>S-BSM25</t>
  </si>
  <si>
    <t>S-BSM28</t>
  </si>
  <si>
    <t>S-BSM71</t>
  </si>
  <si>
    <t>S-BSM81</t>
  </si>
  <si>
    <t>S-NSL 3</t>
  </si>
  <si>
    <t>S-NSL36</t>
  </si>
  <si>
    <t>S-BAL 3</t>
  </si>
  <si>
    <t>S-BAL12</t>
  </si>
  <si>
    <t>S-BAL14</t>
  </si>
  <si>
    <t>S-BAL35</t>
  </si>
  <si>
    <t>S-BAL42</t>
  </si>
  <si>
    <t>S-BAM 4</t>
  </si>
  <si>
    <t>S-BAM12</t>
  </si>
  <si>
    <t>S-BAH11</t>
  </si>
  <si>
    <t>S-BAH27</t>
  </si>
  <si>
    <t>S-BAH28</t>
  </si>
  <si>
    <t>S-PHM52</t>
  </si>
  <si>
    <t>S-PHM53</t>
  </si>
  <si>
    <t>S-TIL 1</t>
  </si>
  <si>
    <t>S-TIL 2</t>
  </si>
  <si>
    <t>S-TIL 6</t>
  </si>
  <si>
    <t>S-TIL25</t>
  </si>
  <si>
    <t>S-TIL26</t>
  </si>
  <si>
    <t>S-TIL27</t>
  </si>
  <si>
    <t>S-TIM 2</t>
  </si>
  <si>
    <t>S-TIM 5</t>
  </si>
  <si>
    <t>S-TIM 8</t>
  </si>
  <si>
    <t>S-TIM25</t>
  </si>
  <si>
    <t>S-TIM27</t>
  </si>
  <si>
    <t>S-TIM28</t>
  </si>
  <si>
    <t>S-TIM35</t>
  </si>
  <si>
    <t>S-TIH 4</t>
  </si>
  <si>
    <t>S-TIH 6</t>
  </si>
  <si>
    <t>S-TIH10</t>
  </si>
  <si>
    <t>S-TIH11</t>
  </si>
  <si>
    <t>S-TIH13</t>
  </si>
  <si>
    <t>S-TIH14</t>
  </si>
  <si>
    <t>S-TIH18</t>
  </si>
  <si>
    <t>S-TIH57</t>
  </si>
  <si>
    <t>S-LAL 8</t>
  </si>
  <si>
    <t>S-LAL10</t>
  </si>
  <si>
    <t>S-LAL12</t>
  </si>
  <si>
    <t>S-LAL14</t>
  </si>
  <si>
    <t>S-LAL18</t>
  </si>
  <si>
    <t>S-LAL21</t>
  </si>
  <si>
    <t>S-LAL58</t>
  </si>
  <si>
    <t>S-LAL59</t>
  </si>
  <si>
    <t>S-LAL61</t>
  </si>
  <si>
    <t>S-LAM 2</t>
  </si>
  <si>
    <t>S-LAM 3</t>
  </si>
  <si>
    <t>S-LAM55</t>
  </si>
  <si>
    <t>S-LAM60</t>
  </si>
  <si>
    <t>S-LAM66</t>
  </si>
  <si>
    <t>S-LAM73</t>
  </si>
  <si>
    <t>S-LAH51</t>
  </si>
  <si>
    <t>S-LAH52</t>
  </si>
  <si>
    <t>S-LAH52Q</t>
  </si>
  <si>
    <t>S-LAH53</t>
  </si>
  <si>
    <t>S-LAH55V</t>
  </si>
  <si>
    <t>S-LAH58</t>
  </si>
  <si>
    <t>S-LAH59</t>
  </si>
  <si>
    <t>S-LAH60</t>
  </si>
  <si>
    <t>S-LAH60MQ</t>
  </si>
  <si>
    <t>S-LAH63Q</t>
  </si>
  <si>
    <t>S-LAH64</t>
  </si>
  <si>
    <t>S-LAH65V</t>
  </si>
  <si>
    <t>S-LAH66</t>
  </si>
  <si>
    <t>S-LAH71</t>
  </si>
  <si>
    <t>S-LAH79</t>
  </si>
  <si>
    <t>S-LAH88</t>
  </si>
  <si>
    <t>S-LAH95</t>
  </si>
  <si>
    <t>S-LAH96</t>
  </si>
  <si>
    <t>S-LAH97</t>
  </si>
  <si>
    <t>S-LAH98</t>
  </si>
  <si>
    <t>S-LAH99</t>
  </si>
  <si>
    <t>S-NBM51</t>
  </si>
  <si>
    <t>S-NBH51</t>
  </si>
  <si>
    <t>S-NPH 1</t>
  </si>
  <si>
    <t>S-FPM 2</t>
  </si>
  <si>
    <t>S-FPM 3</t>
  </si>
  <si>
    <t>S-FPM 4</t>
  </si>
  <si>
    <t>S-BSM18</t>
  </si>
  <si>
    <t>S-TIH 1</t>
  </si>
  <si>
    <t>S-TIH 3</t>
  </si>
  <si>
    <t>S-TIH53</t>
  </si>
  <si>
    <t>S-TIH53W</t>
  </si>
  <si>
    <t>S-LAL 7Q</t>
  </si>
  <si>
    <t>S-LAL 9</t>
  </si>
  <si>
    <t>S-LAL19</t>
  </si>
  <si>
    <t>S-LAL20</t>
  </si>
  <si>
    <t>S-LAL54Q</t>
  </si>
  <si>
    <t>S-LAM 7</t>
  </si>
  <si>
    <t>S-LAH53V</t>
  </si>
  <si>
    <t>S-LAH55VS</t>
  </si>
  <si>
    <t>S-LAH60V</t>
  </si>
  <si>
    <t>S-LAH65VS</t>
  </si>
  <si>
    <t>S-LAH89</t>
  </si>
  <si>
    <t>S-LAH92</t>
  </si>
  <si>
    <t>S-LAH93</t>
  </si>
  <si>
    <t>S-NBH 5</t>
  </si>
  <si>
    <t>S-NBH 8</t>
  </si>
  <si>
    <t>S-NBH55</t>
  </si>
  <si>
    <t>S-NBH56</t>
  </si>
  <si>
    <t>S-NBH57</t>
  </si>
  <si>
    <t>S-NBH58</t>
  </si>
  <si>
    <t>S-NPH 2</t>
  </si>
  <si>
    <t>S-NPH 3</t>
  </si>
  <si>
    <t>S-NPH 4</t>
  </si>
  <si>
    <t>S-NPH 5</t>
  </si>
  <si>
    <t>Remarks</t>
  </si>
  <si>
    <t>FC5</t>
  </si>
  <si>
    <t>FCD1</t>
  </si>
  <si>
    <t>FCD1B</t>
  </si>
  <si>
    <t>FCD10A</t>
  </si>
  <si>
    <t>FCD100</t>
  </si>
  <si>
    <t>FCD515</t>
  </si>
  <si>
    <t>FCD600</t>
  </si>
  <si>
    <t>FCD705</t>
  </si>
  <si>
    <t>PCD4</t>
  </si>
  <si>
    <t>PCD40</t>
  </si>
  <si>
    <t>PCD51</t>
  </si>
  <si>
    <t>BSC7</t>
  </si>
  <si>
    <t>E-CF6</t>
  </si>
  <si>
    <t>E-FEL1</t>
  </si>
  <si>
    <t>E-FEL2</t>
  </si>
  <si>
    <t>E-FL5</t>
  </si>
  <si>
    <t>E-FL6</t>
  </si>
  <si>
    <t>E-F2</t>
  </si>
  <si>
    <t>E-F5</t>
  </si>
  <si>
    <t>E-FD1</t>
  </si>
  <si>
    <t>E-FD2</t>
  </si>
  <si>
    <t>E-FD4</t>
  </si>
  <si>
    <t>E-FD5</t>
  </si>
  <si>
    <t>E-FD8</t>
  </si>
  <si>
    <t>E-FD80</t>
  </si>
  <si>
    <t>E-FD10</t>
  </si>
  <si>
    <t>E-FD13</t>
  </si>
  <si>
    <t>E-FD15</t>
  </si>
  <si>
    <t>FD60-W</t>
  </si>
  <si>
    <t>FD60</t>
  </si>
  <si>
    <t>FD110</t>
  </si>
  <si>
    <t>FD140</t>
  </si>
  <si>
    <t>FD225</t>
  </si>
  <si>
    <t>E-FDS1-W</t>
  </si>
  <si>
    <t>E-FDS1</t>
  </si>
  <si>
    <t>E-FDS2</t>
  </si>
  <si>
    <t>E-FDS3</t>
  </si>
  <si>
    <t>FDS16-W</t>
  </si>
  <si>
    <t>FDS18-W</t>
  </si>
  <si>
    <t>FDS18</t>
  </si>
  <si>
    <t>FDS24</t>
  </si>
  <si>
    <t>FDS90-SG</t>
  </si>
  <si>
    <t>FDS90</t>
  </si>
  <si>
    <t>FF5</t>
  </si>
  <si>
    <t>FF8</t>
  </si>
  <si>
    <t>FCD10</t>
  </si>
  <si>
    <t>FCD505</t>
  </si>
  <si>
    <t>LBC3N</t>
  </si>
  <si>
    <t>E-FEL6</t>
  </si>
  <si>
    <t>E-F1</t>
  </si>
  <si>
    <t>E-F3</t>
  </si>
  <si>
    <t>E-F8</t>
  </si>
  <si>
    <t>E-FD7</t>
  </si>
  <si>
    <t>E-ADF10</t>
  </si>
  <si>
    <t>E-ADF50</t>
  </si>
  <si>
    <t>F2</t>
  </si>
  <si>
    <t>F2HT</t>
  </si>
  <si>
    <t>F5</t>
  </si>
  <si>
    <t>FK5HTi</t>
  </si>
  <si>
    <t>K10</t>
  </si>
  <si>
    <t>K7</t>
  </si>
  <si>
    <t>LF5</t>
  </si>
  <si>
    <t>LF5HTi</t>
  </si>
  <si>
    <t>LLF1</t>
  </si>
  <si>
    <t>LLF1HTi</t>
  </si>
  <si>
    <t>N-BK10</t>
  </si>
  <si>
    <t>N-BK7</t>
  </si>
  <si>
    <t>N-BK7HT</t>
  </si>
  <si>
    <t>N-BK7HTi</t>
  </si>
  <si>
    <t>N-F2</t>
  </si>
  <si>
    <t>N-FK5</t>
  </si>
  <si>
    <t>N-FK51A</t>
  </si>
  <si>
    <t>N-FK58</t>
  </si>
  <si>
    <t>N-K5</t>
  </si>
  <si>
    <t>N-KF9</t>
  </si>
  <si>
    <t>N-PK51</t>
  </si>
  <si>
    <t>N-PK52A</t>
  </si>
  <si>
    <t>N-PSK3</t>
  </si>
  <si>
    <t>N-PSK53A</t>
  </si>
  <si>
    <t>N-SF1</t>
  </si>
  <si>
    <t>N-SF10</t>
  </si>
  <si>
    <t>N-SF11</t>
  </si>
  <si>
    <t>N-SF14</t>
  </si>
  <si>
    <t>N-SF15</t>
  </si>
  <si>
    <t>N-SF2</t>
  </si>
  <si>
    <t>N-SF4</t>
  </si>
  <si>
    <t>N-SF5</t>
  </si>
  <si>
    <t>N-SF57</t>
  </si>
  <si>
    <t>N-SF57HT</t>
  </si>
  <si>
    <t>N-SF6</t>
  </si>
  <si>
    <t>N-SF66</t>
  </si>
  <si>
    <t>N-SF6HT</t>
  </si>
  <si>
    <t>N-SF8</t>
  </si>
  <si>
    <t>N-SK11</t>
  </si>
  <si>
    <t>N-SK14</t>
  </si>
  <si>
    <t>N-SK16</t>
  </si>
  <si>
    <t>N-SK2</t>
  </si>
  <si>
    <t>N-SK2HT</t>
  </si>
  <si>
    <t>N-SK4</t>
  </si>
  <si>
    <t>N-SK5</t>
  </si>
  <si>
    <t>N-SSK2</t>
  </si>
  <si>
    <t>N-SSK5</t>
  </si>
  <si>
    <t>N-SSK8</t>
  </si>
  <si>
    <t>N-ZK7</t>
  </si>
  <si>
    <t>N-ZK7A</t>
  </si>
  <si>
    <t>P-BK7</t>
  </si>
  <si>
    <t>P-SF68</t>
  </si>
  <si>
    <t>P-SF69</t>
  </si>
  <si>
    <t>P-SF8</t>
  </si>
  <si>
    <t>P-SK57</t>
  </si>
  <si>
    <t>P-SK57Q1</t>
  </si>
  <si>
    <t>P-SK58A</t>
  </si>
  <si>
    <t>P-SK60</t>
  </si>
  <si>
    <t>SF1</t>
  </si>
  <si>
    <t>SF10</t>
  </si>
  <si>
    <t>SF11</t>
  </si>
  <si>
    <t>SF2</t>
  </si>
  <si>
    <t>SF4</t>
  </si>
  <si>
    <t>SF5</t>
  </si>
  <si>
    <t>SF56A</t>
  </si>
  <si>
    <t>SF57</t>
  </si>
  <si>
    <t>SF6</t>
  </si>
  <si>
    <t>SF6HT</t>
  </si>
  <si>
    <t>S-FTM16</t>
  </si>
  <si>
    <t>S-NBH52V</t>
  </si>
  <si>
    <t>S-NBH53V</t>
  </si>
  <si>
    <t>S-NPH 1W</t>
  </si>
  <si>
    <t>E-C3</t>
  </si>
  <si>
    <t xml:space="preserve"> </t>
  </si>
  <si>
    <t/>
  </si>
  <si>
    <t>Manufacturer</t>
  </si>
  <si>
    <t>Ohara</t>
  </si>
  <si>
    <t>Hoya</t>
  </si>
  <si>
    <t>Schott</t>
  </si>
  <si>
    <t>Fused Silica</t>
  </si>
  <si>
    <t>Reference</t>
  </si>
  <si>
    <t>Fluorite</t>
  </si>
  <si>
    <t>Designation</t>
  </si>
  <si>
    <t>y</t>
  </si>
  <si>
    <t>Z</t>
  </si>
  <si>
    <t>A</t>
  </si>
  <si>
    <t>B</t>
  </si>
  <si>
    <t>C</t>
  </si>
  <si>
    <t>a</t>
  </si>
  <si>
    <t>e</t>
  </si>
  <si>
    <t>c</t>
  </si>
  <si>
    <t>F</t>
  </si>
  <si>
    <t>d</t>
  </si>
  <si>
    <t>G'</t>
  </si>
  <si>
    <t>h</t>
  </si>
  <si>
    <t>H</t>
  </si>
  <si>
    <t>K</t>
  </si>
  <si>
    <t>L</t>
  </si>
  <si>
    <t>N</t>
  </si>
  <si>
    <t>P</t>
  </si>
  <si>
    <t>T</t>
  </si>
  <si>
    <t>t</t>
  </si>
  <si>
    <t>Na</t>
  </si>
  <si>
    <t>He</t>
  </si>
  <si>
    <t>Hg</t>
  </si>
  <si>
    <t>Fe</t>
  </si>
  <si>
    <t>Mg</t>
  </si>
  <si>
    <t>Ca</t>
  </si>
  <si>
    <t>Ni</t>
  </si>
  <si>
    <t>G</t>
  </si>
  <si>
    <t>s</t>
  </si>
  <si>
    <t>Cs</t>
  </si>
  <si>
    <t>i</t>
  </si>
  <si>
    <t>g</t>
  </si>
  <si>
    <t>Contains Lead</t>
  </si>
  <si>
    <t>Hikari</t>
  </si>
  <si>
    <t>J-FK5</t>
  </si>
  <si>
    <t>J-FK01A</t>
  </si>
  <si>
    <t>J-FKH1</t>
  </si>
  <si>
    <t>J-FKH2</t>
  </si>
  <si>
    <t>J-PKH1</t>
  </si>
  <si>
    <t>J-PSK02</t>
  </si>
  <si>
    <t>J-PSK03</t>
  </si>
  <si>
    <t>J-PSKH1</t>
  </si>
  <si>
    <t>J-PSKH4</t>
  </si>
  <si>
    <t>J-BK7A</t>
  </si>
  <si>
    <t>J-BAK1</t>
  </si>
  <si>
    <t>J-BAK2</t>
  </si>
  <si>
    <t>J-BAK4</t>
  </si>
  <si>
    <t>J-K3</t>
  </si>
  <si>
    <t>J-K5</t>
  </si>
  <si>
    <t>J-KZFH1</t>
  </si>
  <si>
    <t>J-KZFH4</t>
  </si>
  <si>
    <t>J-KZFH6</t>
  </si>
  <si>
    <t>J-KZFH7</t>
  </si>
  <si>
    <t>J-KF6</t>
  </si>
  <si>
    <t>J-BALF4</t>
  </si>
  <si>
    <t>J-BAF10</t>
  </si>
  <si>
    <t>J-BAF11</t>
  </si>
  <si>
    <t>J-BASF2</t>
  </si>
  <si>
    <t>J-BASF6</t>
  </si>
  <si>
    <t>J-BASF7</t>
  </si>
  <si>
    <t>J-BASF8</t>
  </si>
  <si>
    <t>J-SK2</t>
  </si>
  <si>
    <t>J-SK4</t>
  </si>
  <si>
    <t>J-SK5</t>
  </si>
  <si>
    <t>J-SK10</t>
  </si>
  <si>
    <t>J-SK11</t>
  </si>
  <si>
    <t>J-SK12</t>
  </si>
  <si>
    <t>J-SK14</t>
  </si>
  <si>
    <t>J-SK15</t>
  </si>
  <si>
    <t>J-SK16</t>
  </si>
  <si>
    <t>J-SK18</t>
  </si>
  <si>
    <t>J-SSK1</t>
  </si>
  <si>
    <t>J-SSK5</t>
  </si>
  <si>
    <t>J-SSK8</t>
  </si>
  <si>
    <t>J-LLF1</t>
  </si>
  <si>
    <t>J-LLF2</t>
  </si>
  <si>
    <t>J-LLF6</t>
  </si>
  <si>
    <t>J-LF5</t>
  </si>
  <si>
    <t>J-LF6</t>
  </si>
  <si>
    <t>J-LF7</t>
  </si>
  <si>
    <t>J-F1</t>
  </si>
  <si>
    <t>J-F2</t>
  </si>
  <si>
    <t>J-F5</t>
  </si>
  <si>
    <t>J-F8</t>
  </si>
  <si>
    <t>J-SF1</t>
  </si>
  <si>
    <t>J-SF2</t>
  </si>
  <si>
    <t>J-SF4</t>
  </si>
  <si>
    <t>J-SF5</t>
  </si>
  <si>
    <t>J-SF6</t>
  </si>
  <si>
    <t>J-SF6HS</t>
  </si>
  <si>
    <t>J-SF7</t>
  </si>
  <si>
    <t>J-SF8</t>
  </si>
  <si>
    <t>J-SF10</t>
  </si>
  <si>
    <t>J-SF11</t>
  </si>
  <si>
    <t>J-SF13</t>
  </si>
  <si>
    <t>J-SF14</t>
  </si>
  <si>
    <t>J-SF15</t>
  </si>
  <si>
    <t>J-SF03</t>
  </si>
  <si>
    <t>J-SF03HS</t>
  </si>
  <si>
    <t>J-SFS3</t>
  </si>
  <si>
    <t>J-SFH1</t>
  </si>
  <si>
    <t>J-SFH2</t>
  </si>
  <si>
    <t>J-LAK7</t>
  </si>
  <si>
    <t>J-LAK7R</t>
  </si>
  <si>
    <t>J-LAK8</t>
  </si>
  <si>
    <t>J-LAK10</t>
  </si>
  <si>
    <t>J-LAK12</t>
  </si>
  <si>
    <t>J-LAK13</t>
  </si>
  <si>
    <t>J-LAK14</t>
  </si>
  <si>
    <t>J-LAK18</t>
  </si>
  <si>
    <t>J-LAK01</t>
  </si>
  <si>
    <t>J-LAK09</t>
  </si>
  <si>
    <t>J-LAK011</t>
  </si>
  <si>
    <t>J-LASKH2</t>
  </si>
  <si>
    <t>J-LAF2</t>
  </si>
  <si>
    <t>J-LAF3</t>
  </si>
  <si>
    <t>J-LAF7</t>
  </si>
  <si>
    <t>J-LAF01</t>
  </si>
  <si>
    <t>J-LAF02</t>
  </si>
  <si>
    <t>J-LAF04</t>
  </si>
  <si>
    <t>J-LAF05</t>
  </si>
  <si>
    <t>J-LAF010</t>
  </si>
  <si>
    <t>J-LAF016</t>
  </si>
  <si>
    <t>J-LAF016HS</t>
  </si>
  <si>
    <t>J-LAFH3</t>
  </si>
  <si>
    <t>J-LAFH3HS</t>
  </si>
  <si>
    <t>J-LASF01</t>
  </si>
  <si>
    <t>J-LASF02</t>
  </si>
  <si>
    <t>J-LASF03</t>
  </si>
  <si>
    <t>J-LASF05</t>
  </si>
  <si>
    <t>J-LASF05HS</t>
  </si>
  <si>
    <t>J-LASF08A</t>
  </si>
  <si>
    <t>J-LASF09A</t>
  </si>
  <si>
    <t>J-LASF010</t>
  </si>
  <si>
    <t>J-LASF013</t>
  </si>
  <si>
    <t>J-LASF014</t>
  </si>
  <si>
    <t>J-LASF015</t>
  </si>
  <si>
    <t>J-LASF016</t>
  </si>
  <si>
    <t>J-LASF017</t>
  </si>
  <si>
    <t>J-LASF021</t>
  </si>
  <si>
    <t>J-LASF021HS</t>
  </si>
  <si>
    <t>J-LASFH2</t>
  </si>
  <si>
    <t>J-LASFH6</t>
  </si>
  <si>
    <t>J-LASFH9A</t>
  </si>
  <si>
    <t>J-LASFH13</t>
  </si>
  <si>
    <t>J-LASFH13HS</t>
  </si>
  <si>
    <t>J-LASFH15</t>
  </si>
  <si>
    <t>J-LASFH16</t>
  </si>
  <si>
    <t>J-LASFH17</t>
  </si>
  <si>
    <t>J-LASFH17HS</t>
  </si>
  <si>
    <t>J-LASFH21</t>
  </si>
  <si>
    <t>J-LASFH22</t>
  </si>
  <si>
    <t>J-LASFH23</t>
  </si>
  <si>
    <t>J-LASFH24</t>
  </si>
  <si>
    <t>J-LASFH24HS</t>
  </si>
  <si>
    <t>M-FCD1</t>
  </si>
  <si>
    <t>MP-FCD1-M20</t>
  </si>
  <si>
    <t>MC-FCD1-M20</t>
  </si>
  <si>
    <t>M-FCD500</t>
  </si>
  <si>
    <t>MP-FCD500-20</t>
  </si>
  <si>
    <t>MC-FCD500-20</t>
  </si>
  <si>
    <t>M-PCD4</t>
  </si>
  <si>
    <t>MP-PCD4-40</t>
  </si>
  <si>
    <t>MC-PCD4-40</t>
  </si>
  <si>
    <t>M-PCD51</t>
  </si>
  <si>
    <t>MP-PCD51-70</t>
  </si>
  <si>
    <t>MC-PCD51-70</t>
  </si>
  <si>
    <t>M-PCD55AR</t>
  </si>
  <si>
    <t>MP-PCD55AR</t>
  </si>
  <si>
    <t>M-BACD5N</t>
  </si>
  <si>
    <t>MP-BACD5N</t>
  </si>
  <si>
    <t>MC-BACD5N</t>
  </si>
  <si>
    <t>M-BACD12</t>
  </si>
  <si>
    <t>MP-BACD12</t>
  </si>
  <si>
    <t>MC-BACD12</t>
  </si>
  <si>
    <t>M-BACD15</t>
  </si>
  <si>
    <t>MP-BACD15</t>
  </si>
  <si>
    <t>M-LAC130</t>
  </si>
  <si>
    <t>MP-LAC130</t>
  </si>
  <si>
    <t>MC-LAC130</t>
  </si>
  <si>
    <t>M-LAC14</t>
  </si>
  <si>
    <t>MP-LAC14-80</t>
  </si>
  <si>
    <t>M-TAC60</t>
  </si>
  <si>
    <t>MP-TAC60-90</t>
  </si>
  <si>
    <t>M-TAC80</t>
  </si>
  <si>
    <t>MP-TAC80-60</t>
  </si>
  <si>
    <t>M-FD80</t>
  </si>
  <si>
    <t>MP-FD80</t>
  </si>
  <si>
    <t>MC-FD80</t>
  </si>
  <si>
    <t>M-FDS2</t>
  </si>
  <si>
    <t>MP-FDS2</t>
  </si>
  <si>
    <t>MC-FDS2</t>
  </si>
  <si>
    <t>M-FDS910</t>
  </si>
  <si>
    <t>MP-FDS910-50</t>
  </si>
  <si>
    <t>MC-FDS910-50</t>
  </si>
  <si>
    <t>M-NBFD10</t>
  </si>
  <si>
    <t>MP-NBFD10-20</t>
  </si>
  <si>
    <t>M-NBFD130</t>
  </si>
  <si>
    <t>MP-NBFD130</t>
  </si>
  <si>
    <t>MC-NBFD130</t>
  </si>
  <si>
    <t>MC-NBFD135</t>
  </si>
  <si>
    <t>M-TAF31</t>
  </si>
  <si>
    <t>MP-TAF31-15</t>
  </si>
  <si>
    <t>MC-TAF31-15</t>
  </si>
  <si>
    <t>M-TAF101</t>
  </si>
  <si>
    <t>MP-TAF101-100</t>
  </si>
  <si>
    <t>MC-TAF101-100</t>
  </si>
  <si>
    <t>M-TAF105</t>
  </si>
  <si>
    <t>MP-TAF105</t>
  </si>
  <si>
    <t>MC-TAF105</t>
  </si>
  <si>
    <t>M-TAF401</t>
  </si>
  <si>
    <t>MP-TAF401</t>
  </si>
  <si>
    <t>MC-TAF401</t>
  </si>
  <si>
    <t>M-TAFD51</t>
  </si>
  <si>
    <t>MP-TAFD51-50</t>
  </si>
  <si>
    <t>MC-TAFD51-50</t>
  </si>
  <si>
    <t>M-TAFD305</t>
  </si>
  <si>
    <t>MP-TAFD305</t>
  </si>
  <si>
    <t>MC-TAFD305</t>
  </si>
  <si>
    <t>M-TAFD307</t>
  </si>
  <si>
    <t>MP-TAFD307</t>
  </si>
  <si>
    <t>MC-TAFD307</t>
  </si>
  <si>
    <t>M-TAFD405</t>
  </si>
  <si>
    <t>MP-TAFD405</t>
  </si>
  <si>
    <t>M-LAC8</t>
  </si>
  <si>
    <t>MP-LAC8-30</t>
  </si>
  <si>
    <t>M-FDS1</t>
  </si>
  <si>
    <t>MP-FDS1</t>
  </si>
  <si>
    <t>M-LAF81</t>
  </si>
  <si>
    <t>MP-LAF81</t>
  </si>
  <si>
    <t>M-NBF1</t>
  </si>
  <si>
    <t>MP-NBF1</t>
  </si>
  <si>
    <t>MC-NBF1</t>
  </si>
  <si>
    <t>M-TAF1</t>
  </si>
  <si>
    <t>MC-TAF1</t>
  </si>
  <si>
    <t>FDS24-W</t>
  </si>
  <si>
    <t>FCD500</t>
  </si>
  <si>
    <r>
      <t>O</t>
    </r>
    <r>
      <rPr>
        <sz val="8"/>
        <color theme="0" tint="-0.499984740745262"/>
        <rFont val="Calibri"/>
        <family val="2"/>
        <scheme val="minor"/>
      </rPr>
      <t>2</t>
    </r>
  </si>
  <si>
    <r>
      <t>D</t>
    </r>
    <r>
      <rPr>
        <sz val="8"/>
        <color theme="0" tint="-0.499984740745262"/>
        <rFont val="Calibri"/>
        <family val="2"/>
        <scheme val="minor"/>
      </rPr>
      <t>1</t>
    </r>
  </si>
  <si>
    <r>
      <t>E</t>
    </r>
    <r>
      <rPr>
        <sz val="8"/>
        <color theme="0" tint="-0.499984740745262"/>
        <rFont val="Calibri"/>
        <family val="2"/>
        <scheme val="minor"/>
      </rPr>
      <t>2</t>
    </r>
  </si>
  <si>
    <r>
      <t>b</t>
    </r>
    <r>
      <rPr>
        <sz val="8"/>
        <color theme="0" tint="-0.499984740745262"/>
        <rFont val="Calibri"/>
        <family val="2"/>
        <scheme val="minor"/>
      </rPr>
      <t>1</t>
    </r>
  </si>
  <si>
    <r>
      <t>b</t>
    </r>
    <r>
      <rPr>
        <sz val="8"/>
        <color theme="0" tint="-0.499984740745262"/>
        <rFont val="Calibri"/>
        <family val="2"/>
        <scheme val="minor"/>
      </rPr>
      <t>2</t>
    </r>
  </si>
  <si>
    <r>
      <t>b</t>
    </r>
    <r>
      <rPr>
        <sz val="8"/>
        <color theme="0" tint="-0.499984740745262"/>
        <rFont val="Calibri"/>
        <family val="2"/>
        <scheme val="minor"/>
      </rPr>
      <t>3</t>
    </r>
  </si>
  <si>
    <r>
      <t>b</t>
    </r>
    <r>
      <rPr>
        <sz val="8"/>
        <color theme="0" tint="-0.499984740745262"/>
        <rFont val="Calibri"/>
        <family val="2"/>
        <scheme val="minor"/>
      </rPr>
      <t>4</t>
    </r>
  </si>
  <si>
    <r>
      <t>D</t>
    </r>
    <r>
      <rPr>
        <b/>
        <sz val="8"/>
        <color theme="0" tint="-4.9989318521683403E-2"/>
        <rFont val="Calibri"/>
        <family val="2"/>
        <scheme val="minor"/>
      </rPr>
      <t>3</t>
    </r>
    <r>
      <rPr>
        <b/>
        <sz val="11"/>
        <color theme="0" tint="-4.9989318521683403E-2"/>
        <rFont val="Calibri"/>
        <family val="2"/>
        <scheme val="minor"/>
      </rPr>
      <t xml:space="preserve"> (d)</t>
    </r>
  </si>
  <si>
    <r>
      <t>D</t>
    </r>
    <r>
      <rPr>
        <b/>
        <sz val="8"/>
        <color theme="0" tint="-4.9989318521683403E-2"/>
        <rFont val="Calibri"/>
        <family val="2"/>
        <scheme val="minor"/>
      </rPr>
      <t>2</t>
    </r>
  </si>
  <si>
    <t>Primary Data</t>
  </si>
  <si>
    <t>Refractive Indices</t>
  </si>
  <si>
    <t>Other Comments</t>
  </si>
  <si>
    <t>Not Specified</t>
  </si>
  <si>
    <t>Precision Molding</t>
  </si>
  <si>
    <t>Suitable</t>
  </si>
  <si>
    <t>Dispersions</t>
  </si>
  <si>
    <t>Referenced Hellma Lithotec Calcium Fluoride.</t>
  </si>
  <si>
    <t>Referenced Nikon NICF-S.</t>
  </si>
  <si>
    <t>H-FK61</t>
  </si>
  <si>
    <t>H-FK71</t>
  </si>
  <si>
    <t>H-QK1</t>
  </si>
  <si>
    <t>H-QK3L</t>
  </si>
  <si>
    <t>H-K2</t>
  </si>
  <si>
    <t>H-K3</t>
  </si>
  <si>
    <t>H-K5</t>
  </si>
  <si>
    <t>H-K6</t>
  </si>
  <si>
    <t>H-K7</t>
  </si>
  <si>
    <t>H-K9L</t>
  </si>
  <si>
    <t>H-K10</t>
  </si>
  <si>
    <t>H-K11</t>
  </si>
  <si>
    <t>H-K50</t>
  </si>
  <si>
    <t>H-K51</t>
  </si>
  <si>
    <t>H-BaK1</t>
  </si>
  <si>
    <t>H-BaK2</t>
  </si>
  <si>
    <t>H-BaK3</t>
  </si>
  <si>
    <t>H-BaK4</t>
  </si>
  <si>
    <t>H-BaK5</t>
  </si>
  <si>
    <t>H-BaK6</t>
  </si>
  <si>
    <t>H-BaK7</t>
  </si>
  <si>
    <t>H-BaK8</t>
  </si>
  <si>
    <t>H-ZK1</t>
  </si>
  <si>
    <t>H-ZK2</t>
  </si>
  <si>
    <t>H-ZK3</t>
  </si>
  <si>
    <t>H-ZK4</t>
  </si>
  <si>
    <t>H-ZK5</t>
  </si>
  <si>
    <t>H-ZK6</t>
  </si>
  <si>
    <t>H-ZK7</t>
  </si>
  <si>
    <t>H-ZK8</t>
  </si>
  <si>
    <t>H-ZK9B</t>
  </si>
  <si>
    <t>H-ZK10</t>
  </si>
  <si>
    <t>H-ZK10L</t>
  </si>
  <si>
    <t>H-ZK14</t>
  </si>
  <si>
    <t>H-ZK20</t>
  </si>
  <si>
    <t>H-ZK21</t>
  </si>
  <si>
    <t>H-ZK50</t>
  </si>
  <si>
    <t>H-LaK1</t>
  </si>
  <si>
    <t>H-LaK2A</t>
  </si>
  <si>
    <t>H-LaK3</t>
  </si>
  <si>
    <t>H-LaK4L</t>
  </si>
  <si>
    <t>H-LaK5A</t>
  </si>
  <si>
    <t>H-LaK6A</t>
  </si>
  <si>
    <t>H-LaK7A</t>
  </si>
  <si>
    <t>H-LaK8A</t>
  </si>
  <si>
    <t>H-LaK10</t>
  </si>
  <si>
    <t>H-LaK11</t>
  </si>
  <si>
    <t>H-LaK12</t>
  </si>
  <si>
    <t>H-LaK50A</t>
  </si>
  <si>
    <t>H-LaK51A</t>
  </si>
  <si>
    <t>H-LaK52</t>
  </si>
  <si>
    <t>H-LaK53A</t>
  </si>
  <si>
    <t>H-LaK54</t>
  </si>
  <si>
    <t>H-LaK59A</t>
  </si>
  <si>
    <t>H-LaK61</t>
  </si>
  <si>
    <t>H-LaK67</t>
  </si>
  <si>
    <t>H-KF6</t>
  </si>
  <si>
    <t>H-QF1</t>
  </si>
  <si>
    <t>QF1</t>
  </si>
  <si>
    <t>H-QF3</t>
  </si>
  <si>
    <t>QF3</t>
  </si>
  <si>
    <t>QF5</t>
  </si>
  <si>
    <t>H-QF6A</t>
  </si>
  <si>
    <t>QF6</t>
  </si>
  <si>
    <t>H-QF8</t>
  </si>
  <si>
    <t>QF8</t>
  </si>
  <si>
    <t>H-QF14</t>
  </si>
  <si>
    <t>QF50</t>
  </si>
  <si>
    <t>H-QF56</t>
  </si>
  <si>
    <t>H-F1</t>
  </si>
  <si>
    <t>F1</t>
  </si>
  <si>
    <t>H-F2</t>
  </si>
  <si>
    <t>F3</t>
  </si>
  <si>
    <t>H-F4</t>
  </si>
  <si>
    <t>F4</t>
  </si>
  <si>
    <t>F6</t>
  </si>
  <si>
    <t>F7</t>
  </si>
  <si>
    <t>H-F13</t>
  </si>
  <si>
    <t>F13</t>
  </si>
  <si>
    <t>H-F51</t>
  </si>
  <si>
    <t>H-BaF3</t>
  </si>
  <si>
    <t>BaF4</t>
  </si>
  <si>
    <t>H-BaF5</t>
  </si>
  <si>
    <t>H-BaF6</t>
  </si>
  <si>
    <t>BaF7</t>
  </si>
  <si>
    <t>H-BaF8</t>
  </si>
  <si>
    <t>H-ZBaF1</t>
  </si>
  <si>
    <t>ZBaF2</t>
  </si>
  <si>
    <t>H-ZBaF3</t>
  </si>
  <si>
    <t>H-ZBaF4</t>
  </si>
  <si>
    <t>H-ZBaF5</t>
  </si>
  <si>
    <t>H-ZBaF16</t>
  </si>
  <si>
    <t>ZBaF17</t>
  </si>
  <si>
    <t>H-ZBaF20</t>
  </si>
  <si>
    <t>H-ZBaF21</t>
  </si>
  <si>
    <t>H-ZBaF50</t>
  </si>
  <si>
    <t>ZBaF51</t>
  </si>
  <si>
    <t>H-ZBaF52</t>
  </si>
  <si>
    <t>H-ZF1</t>
  </si>
  <si>
    <t>ZF1</t>
  </si>
  <si>
    <t>H-ZF2</t>
  </si>
  <si>
    <t>ZF2</t>
  </si>
  <si>
    <t>H-ZF3</t>
  </si>
  <si>
    <t>ZF3</t>
  </si>
  <si>
    <t>ZF4</t>
  </si>
  <si>
    <t>H-ZF5</t>
  </si>
  <si>
    <t>ZF5</t>
  </si>
  <si>
    <t>H-ZF6</t>
  </si>
  <si>
    <t>ZF6</t>
  </si>
  <si>
    <t>H-ZF7LA</t>
  </si>
  <si>
    <t>ZF7</t>
  </si>
  <si>
    <t>ZF7L</t>
  </si>
  <si>
    <t>ZF8</t>
  </si>
  <si>
    <t>H-ZF10</t>
  </si>
  <si>
    <t>ZF10</t>
  </si>
  <si>
    <t>H-ZF11</t>
  </si>
  <si>
    <t>ZF11</t>
  </si>
  <si>
    <t>H-ZF12</t>
  </si>
  <si>
    <t>ZF12</t>
  </si>
  <si>
    <t>H-ZF13</t>
  </si>
  <si>
    <t>ZF13</t>
  </si>
  <si>
    <t>H-ZF39</t>
  </si>
  <si>
    <t>H-ZF50</t>
  </si>
  <si>
    <t>ZF50</t>
  </si>
  <si>
    <t>ZF51</t>
  </si>
  <si>
    <t>H-ZF52A</t>
  </si>
  <si>
    <t>ZF52</t>
  </si>
  <si>
    <t>H-ZF62</t>
  </si>
  <si>
    <t>H-LaF1</t>
  </si>
  <si>
    <t>H-LaF2</t>
  </si>
  <si>
    <t>H-LaF3B</t>
  </si>
  <si>
    <t>H-LaF4</t>
  </si>
  <si>
    <t>H-LaFL5</t>
  </si>
  <si>
    <t>H-LaF6LA</t>
  </si>
  <si>
    <t>H-LaF7</t>
  </si>
  <si>
    <t>H-LaF10LA</t>
  </si>
  <si>
    <t>H-LaF50B</t>
  </si>
  <si>
    <t>H-LaF51</t>
  </si>
  <si>
    <t>H-LaF52</t>
  </si>
  <si>
    <t>H-LaF53</t>
  </si>
  <si>
    <t>H-LaF54</t>
  </si>
  <si>
    <t>H-LaF55</t>
  </si>
  <si>
    <t>H-LaF62</t>
  </si>
  <si>
    <t>H-ZLaF1</t>
  </si>
  <si>
    <t>H-ZLaF2A</t>
  </si>
  <si>
    <t>H-ZLaF3</t>
  </si>
  <si>
    <t>H-ZLaF4LA</t>
  </si>
  <si>
    <t>H-ZLaF50D</t>
  </si>
  <si>
    <t>H-ZLaF51</t>
  </si>
  <si>
    <t>H-ZLaF52</t>
  </si>
  <si>
    <t>H-ZLaF55C</t>
  </si>
  <si>
    <t>H-ZLaF56B</t>
  </si>
  <si>
    <t>H-ZLaF66</t>
  </si>
  <si>
    <t>H-ZLaF68B</t>
  </si>
  <si>
    <t>H-ZLaF69</t>
  </si>
  <si>
    <t>H-ZLaF71</t>
  </si>
  <si>
    <t>H-ZLaF75A</t>
  </si>
  <si>
    <t>H-ZLaF76</t>
  </si>
  <si>
    <t>H-TF3L</t>
  </si>
  <si>
    <t>TF3</t>
  </si>
  <si>
    <t>D-K59</t>
  </si>
  <si>
    <t>D-PK3</t>
  </si>
  <si>
    <t>D-ZK2</t>
  </si>
  <si>
    <t>D-ZK3</t>
  </si>
  <si>
    <t>D-ZK79</t>
  </si>
  <si>
    <t>D-LaK6</t>
  </si>
  <si>
    <t>D-LaK70</t>
  </si>
  <si>
    <t>D-ZF10</t>
  </si>
  <si>
    <t>D-ZF93</t>
  </si>
  <si>
    <t>D-LaF050</t>
  </si>
  <si>
    <t>D-LaF53</t>
  </si>
  <si>
    <t>D-LaF79</t>
  </si>
  <si>
    <t>D-ZLaF52LA</t>
  </si>
  <si>
    <t>D-ZLaF67</t>
  </si>
  <si>
    <t>D-ZLaF81</t>
  </si>
  <si>
    <t>D-ZLaF85L</t>
  </si>
  <si>
    <t>H-FK61B</t>
  </si>
  <si>
    <t>H-FK95N</t>
  </si>
  <si>
    <t>H-K1</t>
  </si>
  <si>
    <t>K4A</t>
  </si>
  <si>
    <t>H-K8</t>
  </si>
  <si>
    <t>H-K9LGT</t>
  </si>
  <si>
    <t>H-K12</t>
  </si>
  <si>
    <t>H-ZPK1A</t>
  </si>
  <si>
    <t>H-ZPK2A</t>
  </si>
  <si>
    <t>H-ZPK3</t>
  </si>
  <si>
    <t>H-ZPK5</t>
  </si>
  <si>
    <t>H-ZPK7</t>
  </si>
  <si>
    <t>H-BaK7GT</t>
  </si>
  <si>
    <t>H-BaK7A</t>
  </si>
  <si>
    <t>H-ZK3A</t>
  </si>
  <si>
    <t>H-ZK7A</t>
  </si>
  <si>
    <t>H-ZK9A</t>
  </si>
  <si>
    <t>H-ZK11</t>
  </si>
  <si>
    <t>H-ZK50GT</t>
  </si>
  <si>
    <t>H-LaK8B</t>
  </si>
  <si>
    <t>H-LaK53B</t>
  </si>
  <si>
    <t>H-QF50</t>
  </si>
  <si>
    <t>H-QF50A</t>
  </si>
  <si>
    <t>H-BaF2</t>
  </si>
  <si>
    <t>H-BaF4</t>
  </si>
  <si>
    <t>H-BaF7</t>
  </si>
  <si>
    <t>H-ZF1A</t>
  </si>
  <si>
    <t>H-ZF4A</t>
  </si>
  <si>
    <t>H-ZF4AGT</t>
  </si>
  <si>
    <t>H-ZF7LAGT</t>
  </si>
  <si>
    <t>ZF7LGT</t>
  </si>
  <si>
    <t>H-ZF13GT</t>
  </si>
  <si>
    <t>H-ZF52</t>
  </si>
  <si>
    <t>H-ZF52GT</t>
  </si>
  <si>
    <t>H-ZF52TT</t>
  </si>
  <si>
    <t>H-ZF71</t>
  </si>
  <si>
    <t>H-ZF72A</t>
  </si>
  <si>
    <t>H-ZF88</t>
  </si>
  <si>
    <t>H-LaF4GT</t>
  </si>
  <si>
    <t>H-ZLaF50E</t>
  </si>
  <si>
    <t>H-ZLaF52A</t>
  </si>
  <si>
    <t>H-ZLaF53B</t>
  </si>
  <si>
    <t>H-ZLaF53BGT</t>
  </si>
  <si>
    <t>H-ZLaF55D</t>
  </si>
  <si>
    <t>H-ZLaF66GT</t>
  </si>
  <si>
    <t>H-ZLaF68C</t>
  </si>
  <si>
    <t>H-ZLaF68N</t>
  </si>
  <si>
    <t>H-ZLaF69A</t>
  </si>
  <si>
    <t>H-ZLaF71AGT</t>
  </si>
  <si>
    <t>H-ZLaF75B</t>
  </si>
  <si>
    <t>H-ZLaF76A</t>
  </si>
  <si>
    <t>H-ZLaF78B</t>
  </si>
  <si>
    <t>H-ZLaF89L</t>
  </si>
  <si>
    <t>H-ZLaF90</t>
  </si>
  <si>
    <t>H-ZLaF92</t>
  </si>
  <si>
    <t>H-TF5</t>
  </si>
  <si>
    <t>D-FK61</t>
  </si>
  <si>
    <t>D-K9</t>
  </si>
  <si>
    <t>D-ZPK1A</t>
  </si>
  <si>
    <t>D-ZK3L</t>
  </si>
  <si>
    <t>D-LaK5</t>
  </si>
  <si>
    <t>D-LaF50</t>
  </si>
  <si>
    <t>D-ZLaF50</t>
  </si>
  <si>
    <t>D-ZLaF61</t>
  </si>
  <si>
    <t>D-ZLaF85A</t>
  </si>
  <si>
    <t>CDGM</t>
  </si>
  <si>
    <t>H-ZF62GT</t>
  </si>
  <si>
    <t>H-ZF71GT</t>
  </si>
  <si>
    <t>H-ZF88GT</t>
  </si>
  <si>
    <t>D-K9GT</t>
  </si>
  <si>
    <t>H-K9L*</t>
  </si>
  <si>
    <t>H-ZF72AGT</t>
  </si>
  <si>
    <t>H-ZF73</t>
  </si>
  <si>
    <t>H-ZF73GT</t>
  </si>
  <si>
    <t>H-ZLaF4LB</t>
  </si>
  <si>
    <t>D-FK61A</t>
  </si>
  <si>
    <t>D-FK95</t>
  </si>
  <si>
    <t>D-QK3L</t>
  </si>
  <si>
    <t>D-ZPK3</t>
  </si>
  <si>
    <t>Manufactured in CDGM Production Facility #2</t>
  </si>
  <si>
    <t>Cost-effectiveness improved type.</t>
  </si>
  <si>
    <t>Environmental resistance improved type.</t>
  </si>
  <si>
    <t>Transmission improved type.</t>
  </si>
  <si>
    <t>L-BSL 7</t>
  </si>
  <si>
    <t>L-BAL35</t>
  </si>
  <si>
    <t>L-BAL35P</t>
  </si>
  <si>
    <t>L-BAL42</t>
  </si>
  <si>
    <t>L-BAL42P</t>
  </si>
  <si>
    <t>L-BAL43</t>
  </si>
  <si>
    <t>L-TIM28</t>
  </si>
  <si>
    <t>L-TIM28P</t>
  </si>
  <si>
    <t>L-LAL13</t>
  </si>
  <si>
    <t>L-LAL15</t>
  </si>
  <si>
    <t>L-LAM60</t>
  </si>
  <si>
    <t>L-LAM69</t>
  </si>
  <si>
    <t>L-LAH53</t>
  </si>
  <si>
    <t>L-LAH84</t>
  </si>
  <si>
    <t>L-LAH85V</t>
  </si>
  <si>
    <t>L-LAH90</t>
  </si>
  <si>
    <t>L-LAH91</t>
  </si>
  <si>
    <t>L-LAH94</t>
  </si>
  <si>
    <t>E-FD15L</t>
  </si>
  <si>
    <t>E-FD10L</t>
  </si>
  <si>
    <t>E-FD4L</t>
  </si>
  <si>
    <t>E-FD1L</t>
  </si>
  <si>
    <t>FD270</t>
  </si>
  <si>
    <t>Coefficients of Dispersion Formulae</t>
  </si>
  <si>
    <t>Spectral Region</t>
  </si>
  <si>
    <t>SWIR</t>
  </si>
  <si>
    <t>He-Ne Laser</t>
  </si>
  <si>
    <t>ArF Laser</t>
  </si>
  <si>
    <t>KrF Laser</t>
  </si>
  <si>
    <t>XeF Laser</t>
  </si>
  <si>
    <t>XeCl Laser</t>
  </si>
  <si>
    <r>
      <t>Ar</t>
    </r>
    <r>
      <rPr>
        <sz val="8"/>
        <color theme="0" tint="-0.499984740745262"/>
        <rFont val="Calibri"/>
        <family val="2"/>
        <scheme val="minor"/>
      </rPr>
      <t>2</t>
    </r>
    <r>
      <rPr>
        <sz val="11"/>
        <color theme="0" tint="-0.499984740745262"/>
        <rFont val="Calibri"/>
        <family val="2"/>
        <scheme val="minor"/>
      </rPr>
      <t xml:space="preserve"> Laser</t>
    </r>
  </si>
  <si>
    <t>Visible</t>
  </si>
  <si>
    <t>Near IR</t>
  </si>
  <si>
    <t>Near UV</t>
  </si>
  <si>
    <t>Deep UV</t>
  </si>
  <si>
    <t>Mid UV</t>
  </si>
  <si>
    <r>
      <t>Kr</t>
    </r>
    <r>
      <rPr>
        <sz val="8"/>
        <color theme="0" tint="-0.499984740745262"/>
        <rFont val="Calibri"/>
        <family val="2"/>
        <scheme val="minor"/>
      </rPr>
      <t>2</t>
    </r>
    <r>
      <rPr>
        <sz val="11"/>
        <color theme="0" tint="-0.499984740745262"/>
        <rFont val="Calibri"/>
        <family val="2"/>
        <scheme val="minor"/>
      </rPr>
      <t xml:space="preserve"> Laser</t>
    </r>
  </si>
  <si>
    <t>KrCl Laser</t>
  </si>
  <si>
    <t>Ti</t>
  </si>
  <si>
    <t>C'</t>
  </si>
  <si>
    <t>Cd</t>
  </si>
  <si>
    <t>D</t>
  </si>
  <si>
    <t>Wavelength (nm)</t>
  </si>
  <si>
    <t>F'</t>
  </si>
  <si>
    <t>Balmer-α Line</t>
  </si>
  <si>
    <t>Balmer-β Line</t>
  </si>
  <si>
    <t>Balmer-γ Line</t>
  </si>
  <si>
    <t>Balmer-δ Line</t>
  </si>
  <si>
    <t>Paschen-α Line</t>
  </si>
  <si>
    <t>Paschen-β Line</t>
  </si>
  <si>
    <t>Paschen-γ Line</t>
  </si>
  <si>
    <t>Paschen-δ Line</t>
  </si>
  <si>
    <t>Balmer-ε Line</t>
  </si>
  <si>
    <t>Balmer-ζ Line</t>
  </si>
  <si>
    <t>Balmer-η Line</t>
  </si>
  <si>
    <t>Balmer Break</t>
  </si>
  <si>
    <t>Paschen-ε Line</t>
  </si>
  <si>
    <t>Paschen Break</t>
  </si>
  <si>
    <t>Extreme UV</t>
  </si>
  <si>
    <t>Lyman-β Line</t>
  </si>
  <si>
    <t>Lyman-α Line</t>
  </si>
  <si>
    <t>Lyman-γ Line</t>
  </si>
  <si>
    <t>Lyman-δ Line</t>
  </si>
  <si>
    <t>Lyman-ε Line</t>
  </si>
  <si>
    <t>Lyman Break</t>
  </si>
  <si>
    <t>Humphreys-α Line</t>
  </si>
  <si>
    <t>MWIR</t>
  </si>
  <si>
    <t>InGaAs Laser</t>
  </si>
  <si>
    <r>
      <t>N</t>
    </r>
    <r>
      <rPr>
        <sz val="8"/>
        <color theme="0" tint="-0.499984740745262"/>
        <rFont val="Calibri"/>
        <family val="2"/>
        <scheme val="minor"/>
      </rPr>
      <t>2</t>
    </r>
    <r>
      <rPr>
        <sz val="11"/>
        <color theme="0" tint="-0.499984740745262"/>
        <rFont val="Calibri"/>
        <family val="2"/>
        <scheme val="minor"/>
      </rPr>
      <t xml:space="preserve"> Laser</t>
    </r>
  </si>
  <si>
    <r>
      <t>CO</t>
    </r>
    <r>
      <rPr>
        <sz val="8"/>
        <color theme="0" tint="-0.499984740745262"/>
        <rFont val="Calibri"/>
        <family val="2"/>
        <scheme val="minor"/>
      </rPr>
      <t>2</t>
    </r>
    <r>
      <rPr>
        <sz val="11"/>
        <color theme="0" tint="-0.499984740745262"/>
        <rFont val="Calibri"/>
        <family val="2"/>
        <scheme val="minor"/>
      </rPr>
      <t xml:space="preserve"> Laser</t>
    </r>
  </si>
  <si>
    <t>LWIR</t>
  </si>
  <si>
    <t>CO Laser</t>
  </si>
  <si>
    <t>Reference of Select Spectral Lines</t>
  </si>
  <si>
    <t>Nd-Silicate Laser</t>
  </si>
  <si>
    <t>Nd-Phosphate Laser</t>
  </si>
  <si>
    <t>Reference of Select Formulae</t>
  </si>
  <si>
    <t>Generalized Form</t>
  </si>
  <si>
    <t>Schott Polynomial</t>
  </si>
  <si>
    <t>Relative Partial Dispersion</t>
  </si>
  <si>
    <t>Ratio of Partial Dispersion</t>
  </si>
  <si>
    <t>Commonly Used Specific Form</t>
  </si>
  <si>
    <t>Sellmeier Formula</t>
  </si>
  <si>
    <t>Emission Source</t>
  </si>
  <si>
    <r>
      <t>The coefficients in the previous spreadsheet follow a b</t>
    </r>
    <r>
      <rPr>
        <sz val="8"/>
        <color theme="0" tint="-0.249977111117893"/>
        <rFont val="Calibri"/>
        <family val="2"/>
        <scheme val="minor"/>
      </rPr>
      <t>1</t>
    </r>
    <r>
      <rPr>
        <sz val="11"/>
        <color theme="0" tint="-0.249977111117893"/>
        <rFont val="Calibri"/>
        <family val="2"/>
        <scheme val="minor"/>
      </rPr>
      <t>, b</t>
    </r>
    <r>
      <rPr>
        <sz val="8"/>
        <color theme="0" tint="-0.249977111117893"/>
        <rFont val="Calibri"/>
        <family val="2"/>
        <scheme val="minor"/>
      </rPr>
      <t>2</t>
    </r>
    <r>
      <rPr>
        <sz val="11"/>
        <color theme="0" tint="-0.249977111117893"/>
        <rFont val="Calibri"/>
        <family val="2"/>
        <scheme val="minor"/>
      </rPr>
      <t>, b</t>
    </r>
    <r>
      <rPr>
        <sz val="8"/>
        <color theme="0" tint="-0.249977111117893"/>
        <rFont val="Calibri"/>
        <family val="2"/>
        <scheme val="minor"/>
      </rPr>
      <t xml:space="preserve">3 … </t>
    </r>
    <r>
      <rPr>
        <sz val="11"/>
        <color theme="0" tint="-0.249977111117893"/>
        <rFont val="Calibri"/>
        <family val="2"/>
        <scheme val="minor"/>
      </rPr>
      <t>b</t>
    </r>
    <r>
      <rPr>
        <sz val="8"/>
        <color theme="0" tint="-0.249977111117893"/>
        <rFont val="Calibri"/>
        <family val="2"/>
        <scheme val="minor"/>
      </rPr>
      <t>n</t>
    </r>
    <r>
      <rPr>
        <sz val="11"/>
        <color theme="0" tint="-0.249977111117893"/>
        <rFont val="Calibri"/>
        <family val="2"/>
        <scheme val="minor"/>
      </rPr>
      <t>, then c</t>
    </r>
    <r>
      <rPr>
        <sz val="8"/>
        <color theme="0" tint="-0.249977111117893"/>
        <rFont val="Calibri"/>
        <family val="2"/>
        <scheme val="minor"/>
      </rPr>
      <t>1</t>
    </r>
    <r>
      <rPr>
        <sz val="11"/>
        <color theme="0" tint="-0.249977111117893"/>
        <rFont val="Calibri"/>
        <family val="2"/>
        <scheme val="minor"/>
      </rPr>
      <t>, c</t>
    </r>
    <r>
      <rPr>
        <sz val="8"/>
        <color theme="0" tint="-0.249977111117893"/>
        <rFont val="Calibri"/>
        <family val="2"/>
        <scheme val="minor"/>
      </rPr>
      <t>2</t>
    </r>
    <r>
      <rPr>
        <sz val="11"/>
        <color theme="0" tint="-0.249977111117893"/>
        <rFont val="Calibri"/>
        <family val="2"/>
        <scheme val="minor"/>
      </rPr>
      <t>, c</t>
    </r>
    <r>
      <rPr>
        <sz val="8"/>
        <color theme="0" tint="-0.249977111117893"/>
        <rFont val="Calibri"/>
        <family val="2"/>
        <scheme val="minor"/>
      </rPr>
      <t>3</t>
    </r>
    <r>
      <rPr>
        <sz val="11"/>
        <color theme="0" tint="-0.249977111117893"/>
        <rFont val="Calibri"/>
        <family val="2"/>
        <scheme val="minor"/>
      </rPr>
      <t xml:space="preserve"> … c</t>
    </r>
    <r>
      <rPr>
        <sz val="8"/>
        <color theme="0" tint="-0.249977111117893"/>
        <rFont val="Calibri"/>
        <family val="2"/>
        <scheme val="minor"/>
      </rPr>
      <t>n</t>
    </r>
    <r>
      <rPr>
        <sz val="11"/>
        <color theme="0" tint="-0.249977111117893"/>
        <rFont val="Calibri"/>
        <family val="2"/>
        <scheme val="minor"/>
      </rPr>
      <t xml:space="preserve"> order.</t>
    </r>
  </si>
  <si>
    <t>193.1 THz Fiber IR</t>
  </si>
  <si>
    <t>Center of Na Doublet</t>
  </si>
  <si>
    <t>A'</t>
  </si>
  <si>
    <t>r</t>
  </si>
  <si>
    <t>Sag of Conic Asphere</t>
  </si>
  <si>
    <t>Refractive Power of Lens</t>
  </si>
  <si>
    <t>Signal to Noise Ratio</t>
  </si>
  <si>
    <t>Combined Power of Dialyte Thinlenses</t>
  </si>
  <si>
    <t xml:space="preserve">  Diameter of Circle of   Confusion</t>
  </si>
  <si>
    <t>f/f# is otherwise interchangeable with entrance pupil diameter.</t>
  </si>
  <si>
    <r>
      <t>F</t>
    </r>
    <r>
      <rPr>
        <sz val="8"/>
        <color theme="0" tint="-0.499984740745262"/>
        <rFont val="Calibri"/>
        <family val="2"/>
        <scheme val="minor"/>
      </rPr>
      <t>2</t>
    </r>
    <r>
      <rPr>
        <sz val="11"/>
        <color theme="0" tint="-0.499984740745262"/>
        <rFont val="Calibri"/>
        <family val="2"/>
        <scheme val="minor"/>
      </rPr>
      <t xml:space="preserve"> Laser</t>
    </r>
  </si>
  <si>
    <t>O</t>
  </si>
  <si>
    <t>Formula</t>
  </si>
  <si>
    <t>Glass for pressed preforms.</t>
  </si>
  <si>
    <t>Primary Dispersion</t>
  </si>
  <si>
    <t>J-PSKH8</t>
  </si>
  <si>
    <t>J-KZFH9</t>
  </si>
  <si>
    <t>J-SFH1HS</t>
  </si>
  <si>
    <t>J-SFH5</t>
  </si>
  <si>
    <t>J-SFH4</t>
  </si>
  <si>
    <t>J-SFH6</t>
  </si>
  <si>
    <t>J-LASFH15HS</t>
  </si>
  <si>
    <t>J-LASF015HS</t>
  </si>
  <si>
    <t>Q-FKH1S</t>
  </si>
  <si>
    <t>Q-FKH2S</t>
  </si>
  <si>
    <t>Q-PSKH1S</t>
  </si>
  <si>
    <t>Q-PSKH4S</t>
  </si>
  <si>
    <t>Q-SK15S</t>
  </si>
  <si>
    <t>Q-SK52S</t>
  </si>
  <si>
    <t>Q-SK55S</t>
  </si>
  <si>
    <t>Q-SF6S</t>
  </si>
  <si>
    <t>Q-LAK52S</t>
  </si>
  <si>
    <t>Q-LAK53S</t>
  </si>
  <si>
    <t>Q-LAF010S</t>
  </si>
  <si>
    <t>Q-LAFPH1S</t>
  </si>
  <si>
    <t>Q-LASF03S</t>
  </si>
  <si>
    <t>Q-LASFH11S</t>
  </si>
  <si>
    <t>Q-LASFH12S</t>
  </si>
  <si>
    <t>Q-LASFH58S</t>
  </si>
  <si>
    <t>Q-LASFH59S</t>
  </si>
  <si>
    <t>Q-LASFPH2S</t>
  </si>
  <si>
    <t>Q-LASFPH3S</t>
  </si>
  <si>
    <t>S-FPM 5</t>
  </si>
  <si>
    <t>S-NPH 7</t>
  </si>
  <si>
    <t>ArKr Laser</t>
  </si>
  <si>
    <t>NeF Laser</t>
  </si>
  <si>
    <t>K-CaFK95</t>
  </si>
  <si>
    <t>K-PFK80</t>
  </si>
  <si>
    <t>K-PFK85</t>
  </si>
  <si>
    <t>K-GFK68</t>
  </si>
  <si>
    <t>K-GFK70</t>
  </si>
  <si>
    <t>K-PBK40</t>
  </si>
  <si>
    <t>K-PBK50</t>
  </si>
  <si>
    <t>K-PMK30</t>
  </si>
  <si>
    <t>K-PMK155</t>
  </si>
  <si>
    <t>K-PSK100</t>
  </si>
  <si>
    <t>K-PSK200</t>
  </si>
  <si>
    <t>K-PSK300</t>
  </si>
  <si>
    <t>K-PSK400</t>
  </si>
  <si>
    <t>K-PSK500</t>
  </si>
  <si>
    <t>K-CSK120</t>
  </si>
  <si>
    <t>K-CSK158</t>
  </si>
  <si>
    <t>K-SKLD100</t>
  </si>
  <si>
    <t>K-SKLD120</t>
  </si>
  <si>
    <t>K-SKLD200</t>
  </si>
  <si>
    <t>K-SKLD300</t>
  </si>
  <si>
    <t>K-LaFK50</t>
  </si>
  <si>
    <t>K-LaFK50T</t>
  </si>
  <si>
    <t>K-LaFK55</t>
  </si>
  <si>
    <t>K-LaFK58</t>
  </si>
  <si>
    <t>K-LaFK60</t>
  </si>
  <si>
    <t>K-LaFK63</t>
  </si>
  <si>
    <t>K-LaFK65</t>
  </si>
  <si>
    <t>K-VC78</t>
  </si>
  <si>
    <t>K-VC79</t>
  </si>
  <si>
    <t>K-VC80</t>
  </si>
  <si>
    <t>K-VC82</t>
  </si>
  <si>
    <t>K-VC89</t>
  </si>
  <si>
    <t>K-VC90</t>
  </si>
  <si>
    <t>K-VC91</t>
  </si>
  <si>
    <t>K-VC99</t>
  </si>
  <si>
    <t>K-VC100</t>
  </si>
  <si>
    <t>K-VC179</t>
  </si>
  <si>
    <t>K-VC181</t>
  </si>
  <si>
    <t>K-VC185</t>
  </si>
  <si>
    <t>K-CD45</t>
  </si>
  <si>
    <t>K-CD120</t>
  </si>
  <si>
    <t>K-CD300</t>
  </si>
  <si>
    <t>K-LCV93</t>
  </si>
  <si>
    <t>K-ZnSF8</t>
  </si>
  <si>
    <t>K-PSFn1</t>
  </si>
  <si>
    <t>K-PSFn2</t>
  </si>
  <si>
    <t>K-PSFn3</t>
  </si>
  <si>
    <t>K-PSFn190</t>
  </si>
  <si>
    <t>K-PG325</t>
  </si>
  <si>
    <t>K-PG375</t>
  </si>
  <si>
    <t>K-FK5</t>
  </si>
  <si>
    <t>K-BK7</t>
  </si>
  <si>
    <t>K-BPG2</t>
  </si>
  <si>
    <t>K-PSKn2</t>
  </si>
  <si>
    <t>K-SK4</t>
  </si>
  <si>
    <t>K-SK5</t>
  </si>
  <si>
    <t>K-SK7</t>
  </si>
  <si>
    <t>K-SK14</t>
  </si>
  <si>
    <t>K-SK15</t>
  </si>
  <si>
    <t>K-SK16RH</t>
  </si>
  <si>
    <t>K-SK18</t>
  </si>
  <si>
    <t>K-SK18RH</t>
  </si>
  <si>
    <t>K-SSK1</t>
  </si>
  <si>
    <t>K-SSK3</t>
  </si>
  <si>
    <t>K-SSK4</t>
  </si>
  <si>
    <t>K-SSK9</t>
  </si>
  <si>
    <t>K-BaF8</t>
  </si>
  <si>
    <t>K-BaF9</t>
  </si>
  <si>
    <t>K-BaFn1</t>
  </si>
  <si>
    <t>K-BaFn3</t>
  </si>
  <si>
    <t>K-BaSF4</t>
  </si>
  <si>
    <t>K-BaSF5</t>
  </si>
  <si>
    <t>K-LaK6</t>
  </si>
  <si>
    <t>K-LaK7</t>
  </si>
  <si>
    <t>K-LaK8</t>
  </si>
  <si>
    <t>K-LaK9</t>
  </si>
  <si>
    <t>K-LaK10</t>
  </si>
  <si>
    <t>K-LaK11</t>
  </si>
  <si>
    <t>K-LaK12</t>
  </si>
  <si>
    <t>K-LaK14</t>
  </si>
  <si>
    <t>K-LaK18</t>
  </si>
  <si>
    <t>K-LaKn2</t>
  </si>
  <si>
    <t>K-LaKn7</t>
  </si>
  <si>
    <t>K-LaKn14</t>
  </si>
  <si>
    <t>K-LaF2</t>
  </si>
  <si>
    <t>K-LaFn3</t>
  </si>
  <si>
    <t>K-LaFn5</t>
  </si>
  <si>
    <t>K-LaFn11</t>
  </si>
  <si>
    <t>K-LaSKn1</t>
  </si>
  <si>
    <t>K-LaSFn1</t>
  </si>
  <si>
    <t>K-LaSFn2</t>
  </si>
  <si>
    <t>K-LaSFn3</t>
  </si>
  <si>
    <t>K-LaSFn4</t>
  </si>
  <si>
    <t>K-LaSFn6</t>
  </si>
  <si>
    <t>K-LaSFn7</t>
  </si>
  <si>
    <t>K-LaSFn8</t>
  </si>
  <si>
    <t>K-LaSFn9</t>
  </si>
  <si>
    <t>K-LaSFn10</t>
  </si>
  <si>
    <t>K-LaSFn14</t>
  </si>
  <si>
    <t>K-LaSFn16</t>
  </si>
  <si>
    <t>K-LaSFn17</t>
  </si>
  <si>
    <t>K-LaSFn21</t>
  </si>
  <si>
    <t>K-LaSFn22</t>
  </si>
  <si>
    <t>K-LaSFn23</t>
  </si>
  <si>
    <t>K-SFLD1</t>
  </si>
  <si>
    <t>K-SFLD4</t>
  </si>
  <si>
    <t>K-SFLD6</t>
  </si>
  <si>
    <t>K-SFLD8</t>
  </si>
  <si>
    <t>K-SFLD11</t>
  </si>
  <si>
    <t>K-SFLD14</t>
  </si>
  <si>
    <t>K-SFLDn3</t>
  </si>
  <si>
    <t>K-BOC30</t>
  </si>
  <si>
    <t>K-GIR140</t>
  </si>
  <si>
    <t>K-FIR98UV</t>
  </si>
  <si>
    <t>K-FIR100UV</t>
  </si>
  <si>
    <t>K-PBK60</t>
  </si>
  <si>
    <t>K-LCV161</t>
  </si>
  <si>
    <t>K-PSFn166</t>
  </si>
  <si>
    <t>K-PSFn185</t>
  </si>
  <si>
    <t>K-PSFn214P</t>
  </si>
  <si>
    <t>K-LaSFn8W</t>
  </si>
  <si>
    <t>K-SFLD8W</t>
  </si>
  <si>
    <t>K-SFLDn3W</t>
  </si>
  <si>
    <t>K-GIR79</t>
  </si>
  <si>
    <t>Sumita</t>
  </si>
  <si>
    <t>Solarization improves internal transmittance.</t>
  </si>
  <si>
    <t>He-Cd Laser</t>
  </si>
  <si>
    <t>Zeon</t>
  </si>
  <si>
    <t>Zeonex 330R</t>
  </si>
  <si>
    <t>Zeonex 350R</t>
  </si>
  <si>
    <t>Zeonex 480R</t>
  </si>
  <si>
    <t>Zeonex E48R</t>
  </si>
  <si>
    <t>Zeonex F52R</t>
  </si>
  <si>
    <t>Zeonex K22R</t>
  </si>
  <si>
    <t>Zeonex K26R</t>
  </si>
  <si>
    <t>Zeonex T26R</t>
  </si>
  <si>
    <t>Referenced 2017 data. dPg,F calculated using Ohara standard.</t>
  </si>
  <si>
    <t>FCD615</t>
  </si>
  <si>
    <t>FCD915</t>
  </si>
  <si>
    <t>BAC4</t>
  </si>
  <si>
    <t>BACD5</t>
  </si>
  <si>
    <t>BACD16</t>
  </si>
  <si>
    <t>BACED5</t>
  </si>
  <si>
    <t>LAC8</t>
  </si>
  <si>
    <t>LAC14</t>
  </si>
  <si>
    <t>TAC6L</t>
  </si>
  <si>
    <t>TAC6</t>
  </si>
  <si>
    <t>TAC8P</t>
  </si>
  <si>
    <t>TAC8</t>
  </si>
  <si>
    <t>FD300</t>
  </si>
  <si>
    <t>E-FDS3-W</t>
  </si>
  <si>
    <t>FDS165-W</t>
  </si>
  <si>
    <t>FDS20-W</t>
  </si>
  <si>
    <t>FDS24-SW</t>
  </si>
  <si>
    <t>FDS90-SGP</t>
  </si>
  <si>
    <t>BAFD7</t>
  </si>
  <si>
    <t>BAFD8</t>
  </si>
  <si>
    <t>LAF2</t>
  </si>
  <si>
    <t>LAF3</t>
  </si>
  <si>
    <t>LAF45</t>
  </si>
  <si>
    <t>NBF1</t>
  </si>
  <si>
    <t>NBFD10</t>
  </si>
  <si>
    <t>NBFD11</t>
  </si>
  <si>
    <t>NBFD13</t>
  </si>
  <si>
    <t>NBFD15-W</t>
  </si>
  <si>
    <t>NBFD15</t>
  </si>
  <si>
    <t>NBFD25</t>
  </si>
  <si>
    <t>NBFD26</t>
  </si>
  <si>
    <t>NBFD265</t>
  </si>
  <si>
    <t>NBFD27</t>
  </si>
  <si>
    <t>NBFD29</t>
  </si>
  <si>
    <t>NBFD30</t>
  </si>
  <si>
    <t>NBFD32</t>
  </si>
  <si>
    <t>NBFD38</t>
  </si>
  <si>
    <t>TAF1</t>
  </si>
  <si>
    <t>TAF3D</t>
  </si>
  <si>
    <t>TAF48</t>
  </si>
  <si>
    <t>TAFD5G</t>
  </si>
  <si>
    <t>TAFD25L</t>
  </si>
  <si>
    <t>TAFD25</t>
  </si>
  <si>
    <t>TAFD30</t>
  </si>
  <si>
    <t>TAFD32</t>
  </si>
  <si>
    <t>TAFD33</t>
  </si>
  <si>
    <t>TAFD34</t>
  </si>
  <si>
    <t>TAFD35L</t>
  </si>
  <si>
    <t>TAFD37A</t>
  </si>
  <si>
    <t>TAFD40-W</t>
  </si>
  <si>
    <t>TAFD40</t>
  </si>
  <si>
    <t>TAFD45L</t>
  </si>
  <si>
    <t>TAFD45</t>
  </si>
  <si>
    <t>TAFD55-W</t>
  </si>
  <si>
    <t>TAFD55</t>
  </si>
  <si>
    <t>TAFD65</t>
  </si>
  <si>
    <t>TAFD75-W</t>
  </si>
  <si>
    <t>BACD2</t>
  </si>
  <si>
    <t>BACD4</t>
  </si>
  <si>
    <t>BACD11</t>
  </si>
  <si>
    <t>BACD14</t>
  </si>
  <si>
    <t>BACD15</t>
  </si>
  <si>
    <t>BACD18</t>
  </si>
  <si>
    <t>LAC7</t>
  </si>
  <si>
    <t>LAC9</t>
  </si>
  <si>
    <t>LAC10</t>
  </si>
  <si>
    <t>LAC12</t>
  </si>
  <si>
    <t>LAC13</t>
  </si>
  <si>
    <t>LACL60</t>
  </si>
  <si>
    <t>TAC2</t>
  </si>
  <si>
    <t>TAC4</t>
  </si>
  <si>
    <t>BAF10</t>
  </si>
  <si>
    <t>BAF11</t>
  </si>
  <si>
    <t>E-BACD10</t>
  </si>
  <si>
    <t>E-BACED20</t>
  </si>
  <si>
    <t>E-BAF8</t>
  </si>
  <si>
    <t>E-LAF7</t>
  </si>
  <si>
    <t>NBFD3</t>
  </si>
  <si>
    <t>NBFD12</t>
  </si>
  <si>
    <t>TAF2</t>
  </si>
  <si>
    <t>TAF3</t>
  </si>
  <si>
    <t>TAF4</t>
  </si>
  <si>
    <t>TAF5</t>
  </si>
  <si>
    <t>TAFD5F</t>
  </si>
  <si>
    <t>TAFD35</t>
  </si>
  <si>
    <t>TAFD37</t>
  </si>
  <si>
    <t>MC-NBFD130L</t>
  </si>
  <si>
    <t>MC-TAF115</t>
  </si>
  <si>
    <t>M-TAFD315</t>
  </si>
  <si>
    <t>MC-TAFD315</t>
  </si>
  <si>
    <t>MC-TAFD317</t>
  </si>
  <si>
    <r>
      <t>T</t>
    </r>
    <r>
      <rPr>
        <b/>
        <sz val="8"/>
        <color theme="0" tint="-0.249977111117893"/>
        <rFont val="Calibri"/>
        <family val="2"/>
        <scheme val="minor"/>
      </rPr>
      <t>g</t>
    </r>
    <r>
      <rPr>
        <b/>
        <sz val="11"/>
        <color theme="0" tint="-0.249977111117893"/>
        <rFont val="Calibri"/>
        <family val="2"/>
        <scheme val="minor"/>
      </rPr>
      <t xml:space="preserve"> (°C)</t>
    </r>
  </si>
  <si>
    <r>
      <t>T</t>
    </r>
    <r>
      <rPr>
        <b/>
        <sz val="8"/>
        <color theme="0" tint="-0.249977111117893"/>
        <rFont val="Calibri"/>
        <family val="2"/>
        <scheme val="minor"/>
      </rPr>
      <t>soft</t>
    </r>
    <r>
      <rPr>
        <b/>
        <sz val="11"/>
        <color theme="0" tint="-0.249977111117893"/>
        <rFont val="Calibri"/>
        <family val="2"/>
        <scheme val="minor"/>
      </rPr>
      <t xml:space="preserve"> (°C)</t>
    </r>
  </si>
  <si>
    <t>Physical Properties</t>
  </si>
  <si>
    <r>
      <t>ρ (g/cm</t>
    </r>
    <r>
      <rPr>
        <b/>
        <vertAlign val="superscript"/>
        <sz val="11"/>
        <color theme="0" tint="-0.249977111117893"/>
        <rFont val="Calibri"/>
        <family val="2"/>
        <scheme val="minor"/>
      </rPr>
      <t>3</t>
    </r>
    <r>
      <rPr>
        <b/>
        <sz val="11"/>
        <color theme="0" tint="-0.249977111117893"/>
        <rFont val="Calibri"/>
        <family val="2"/>
        <scheme val="minor"/>
      </rPr>
      <t>)</t>
    </r>
  </si>
  <si>
    <t>S-PHM52Q</t>
  </si>
  <si>
    <t>S-TIH53WN</t>
  </si>
  <si>
    <t>S-LAL12Q</t>
  </si>
  <si>
    <t>S-LAL18N</t>
  </si>
  <si>
    <t>S-LAL61Q</t>
  </si>
  <si>
    <t>S-LAH66N</t>
  </si>
  <si>
    <t>S-LAH99W</t>
  </si>
  <si>
    <t>S-NBM52</t>
  </si>
  <si>
    <t>S-NBH59</t>
  </si>
  <si>
    <t>Optimized for high precision lenses.</t>
  </si>
  <si>
    <t>J-KZFH10</t>
  </si>
  <si>
    <t>J-KZFH11</t>
  </si>
  <si>
    <t>J-SFH8</t>
  </si>
  <si>
    <t>J-SFH9</t>
  </si>
  <si>
    <t>J-LASFH15SS</t>
  </si>
  <si>
    <t>J-LASFH16HS</t>
  </si>
  <si>
    <t>Q-PSKH2S</t>
  </si>
  <si>
    <t>Crown 7</t>
  </si>
  <si>
    <t>Flint 2</t>
  </si>
  <si>
    <t>Referenced Schott K7</t>
  </si>
  <si>
    <t>Referenced Schott F2</t>
  </si>
  <si>
    <t>Referenced Ohara NSL7</t>
  </si>
  <si>
    <t>Referenced Ohara PBM2</t>
  </si>
  <si>
    <t>BK7G18</t>
  </si>
  <si>
    <t>F2G12</t>
  </si>
  <si>
    <t>F2HTi</t>
  </si>
  <si>
    <t>K5G20</t>
  </si>
  <si>
    <t>LAK9G15</t>
  </si>
  <si>
    <t>LASF35</t>
  </si>
  <si>
    <t>LF5G19</t>
  </si>
  <si>
    <t>N-BAF10</t>
  </si>
  <si>
    <t>N-BAF4</t>
  </si>
  <si>
    <t>N-BAF51</t>
  </si>
  <si>
    <t>N-BAF52</t>
  </si>
  <si>
    <t>N-BAK1</t>
  </si>
  <si>
    <t>N-BAK2</t>
  </si>
  <si>
    <t>N-BAK4</t>
  </si>
  <si>
    <t>N-BAK4HT</t>
  </si>
  <si>
    <t>N-BALF4</t>
  </si>
  <si>
    <t>N-BALF5</t>
  </si>
  <si>
    <t>N-BASF2</t>
  </si>
  <si>
    <t>N-BASF64</t>
  </si>
  <si>
    <t>N-KZFS11</t>
  </si>
  <si>
    <t>N-KZFS2</t>
  </si>
  <si>
    <t>N-KZFS4</t>
  </si>
  <si>
    <t>N-KZFS5</t>
  </si>
  <si>
    <t>N-KZFS8</t>
  </si>
  <si>
    <t>N-LAF2</t>
  </si>
  <si>
    <t>N-LAF21</t>
  </si>
  <si>
    <t>N-LAF33</t>
  </si>
  <si>
    <t>N-LAF34</t>
  </si>
  <si>
    <t>N-LAF7</t>
  </si>
  <si>
    <t>N-LAK10</t>
  </si>
  <si>
    <t>N-LAK12</t>
  </si>
  <si>
    <t>N-LAK14</t>
  </si>
  <si>
    <t>N-LAK21</t>
  </si>
  <si>
    <t>N-LAK22</t>
  </si>
  <si>
    <t>N-LAK28</t>
  </si>
  <si>
    <t>N-LAK33B</t>
  </si>
  <si>
    <t>N-LAK34</t>
  </si>
  <si>
    <t>N-LAK7</t>
  </si>
  <si>
    <t>N-LAK8</t>
  </si>
  <si>
    <t>N-LAK9</t>
  </si>
  <si>
    <t>N-LASF31A</t>
  </si>
  <si>
    <t>N-LASF40</t>
  </si>
  <si>
    <t>N-LASF41</t>
  </si>
  <si>
    <t>N-LASF43</t>
  </si>
  <si>
    <t>N-LASF44</t>
  </si>
  <si>
    <t>N-LASF45</t>
  </si>
  <si>
    <t>N-LASF46B</t>
  </si>
  <si>
    <t>N-LASF55</t>
  </si>
  <si>
    <t>N-LASF9</t>
  </si>
  <si>
    <t>N-SF57HTultra</t>
  </si>
  <si>
    <t>N-SF6HTultra</t>
  </si>
  <si>
    <t>N-SK5HTi</t>
  </si>
  <si>
    <t>P-LAF37</t>
  </si>
  <si>
    <t>P-LAK35</t>
  </si>
  <si>
    <t>P-LASF47</t>
  </si>
  <si>
    <t>SF3</t>
  </si>
  <si>
    <t>SF57HTultra</t>
  </si>
  <si>
    <t>SF6G05</t>
  </si>
  <si>
    <t>N-SSK20</t>
  </si>
  <si>
    <t>N-BK7HTSultra</t>
  </si>
  <si>
    <t>Contains Lead, radiation resistant</t>
  </si>
  <si>
    <t>Radiation resistant</t>
  </si>
  <si>
    <t>FK3</t>
  </si>
  <si>
    <t>N-BAF3</t>
  </si>
  <si>
    <t>BAFN6</t>
  </si>
  <si>
    <t>N-KZFS4HT</t>
  </si>
  <si>
    <t>N-PSK53</t>
  </si>
  <si>
    <t>N-SK10</t>
  </si>
  <si>
    <t>N-SK15</t>
  </si>
  <si>
    <t>KZFSN5</t>
  </si>
  <si>
    <t>N-SF19</t>
  </si>
  <si>
    <t>KZFS12</t>
  </si>
  <si>
    <t>N-SF64</t>
  </si>
  <si>
    <t>N-LAF3</t>
  </si>
  <si>
    <t>N-LAK33A</t>
  </si>
  <si>
    <t>N-SF56</t>
  </si>
  <si>
    <t>N-LAF36</t>
  </si>
  <si>
    <t>N-LASF45HT</t>
  </si>
  <si>
    <t>SFL6</t>
  </si>
  <si>
    <t>SFL57</t>
  </si>
  <si>
    <t>SF57HT</t>
  </si>
  <si>
    <t>N-LASF9HT</t>
  </si>
  <si>
    <t>N-LASF46A</t>
  </si>
  <si>
    <t>P-LASF50</t>
  </si>
  <si>
    <t>P-LASF51</t>
  </si>
  <si>
    <t>P-PK53</t>
  </si>
  <si>
    <t>P-SF67</t>
  </si>
  <si>
    <t>LAFN7</t>
  </si>
  <si>
    <t>LF5G15</t>
  </si>
  <si>
    <t>N-LAF35</t>
  </si>
  <si>
    <t>Inquire manufacturer for available forms of supply</t>
  </si>
  <si>
    <t>RealView 1.9 LW</t>
  </si>
  <si>
    <t xml:space="preserve">RealView 2.0 </t>
  </si>
  <si>
    <r>
      <t>n</t>
    </r>
    <r>
      <rPr>
        <b/>
        <vertAlign val="subscript"/>
        <sz val="11"/>
        <color theme="0" tint="-0.249977111117893"/>
        <rFont val="Calibri"/>
        <family val="2"/>
        <scheme val="minor"/>
      </rPr>
      <t>d</t>
    </r>
  </si>
  <si>
    <r>
      <t>v</t>
    </r>
    <r>
      <rPr>
        <b/>
        <vertAlign val="subscript"/>
        <sz val="11"/>
        <color theme="0" tint="-0.249977111117893"/>
        <rFont val="Calibri"/>
        <family val="2"/>
        <scheme val="minor"/>
      </rPr>
      <t>d</t>
    </r>
  </si>
  <si>
    <r>
      <t>v</t>
    </r>
    <r>
      <rPr>
        <b/>
        <vertAlign val="subscript"/>
        <sz val="11"/>
        <color theme="0" tint="-0.249977111117893"/>
        <rFont val="Calibri"/>
        <family val="2"/>
        <scheme val="minor"/>
      </rPr>
      <t>e</t>
    </r>
  </si>
  <si>
    <r>
      <t>n</t>
    </r>
    <r>
      <rPr>
        <b/>
        <vertAlign val="subscript"/>
        <sz val="11"/>
        <color theme="0" tint="-0.249977111117893"/>
        <rFont val="Calibri"/>
        <family val="2"/>
        <scheme val="minor"/>
      </rPr>
      <t>C</t>
    </r>
  </si>
  <si>
    <r>
      <t>n</t>
    </r>
    <r>
      <rPr>
        <b/>
        <vertAlign val="subscript"/>
        <sz val="11"/>
        <color theme="0" tint="-0.249977111117893"/>
        <rFont val="Calibri"/>
        <family val="2"/>
        <scheme val="minor"/>
      </rPr>
      <t>e</t>
    </r>
  </si>
  <si>
    <r>
      <t>n</t>
    </r>
    <r>
      <rPr>
        <b/>
        <vertAlign val="subscript"/>
        <sz val="11"/>
        <color theme="0" tint="-0.249977111117893"/>
        <rFont val="Calibri"/>
        <family val="2"/>
        <scheme val="minor"/>
      </rPr>
      <t>F</t>
    </r>
  </si>
  <si>
    <r>
      <t>n</t>
    </r>
    <r>
      <rPr>
        <b/>
        <vertAlign val="subscript"/>
        <sz val="11"/>
        <color theme="0" tint="-0.249977111117893"/>
        <rFont val="Calibri"/>
        <family val="2"/>
        <scheme val="minor"/>
      </rPr>
      <t>g</t>
    </r>
  </si>
  <si>
    <r>
      <t>Δθ</t>
    </r>
    <r>
      <rPr>
        <b/>
        <vertAlign val="subscript"/>
        <sz val="11"/>
        <color theme="0" tint="-0.249977111117893"/>
        <rFont val="Calibri"/>
        <family val="2"/>
        <scheme val="minor"/>
      </rPr>
      <t>g,F</t>
    </r>
  </si>
  <si>
    <r>
      <t>θ</t>
    </r>
    <r>
      <rPr>
        <b/>
        <vertAlign val="subscript"/>
        <sz val="11"/>
        <color theme="0" tint="-0.249977111117893"/>
        <rFont val="Calibri"/>
        <family val="2"/>
        <scheme val="minor"/>
      </rPr>
      <t>g,F</t>
    </r>
  </si>
  <si>
    <r>
      <t>n</t>
    </r>
    <r>
      <rPr>
        <b/>
        <vertAlign val="subscript"/>
        <sz val="11"/>
        <color theme="0" tint="-0.249977111117893"/>
        <rFont val="Calibri"/>
        <family val="2"/>
        <scheme val="minor"/>
      </rPr>
      <t>g</t>
    </r>
    <r>
      <rPr>
        <b/>
        <sz val="11"/>
        <color theme="0" tint="-0.249977111117893"/>
        <rFont val="Calibri"/>
        <family val="2"/>
        <scheme val="minor"/>
      </rPr>
      <t>-n</t>
    </r>
    <r>
      <rPr>
        <b/>
        <vertAlign val="subscript"/>
        <sz val="11"/>
        <color theme="0" tint="-0.249977111117893"/>
        <rFont val="Calibri"/>
        <family val="2"/>
        <scheme val="minor"/>
      </rPr>
      <t>F</t>
    </r>
  </si>
  <si>
    <r>
      <t>θ</t>
    </r>
    <r>
      <rPr>
        <b/>
        <vertAlign val="subscript"/>
        <sz val="11"/>
        <color theme="0" tint="-0.249977111117893"/>
        <rFont val="Calibri"/>
        <family val="2"/>
        <scheme val="minor"/>
      </rPr>
      <t>d,C</t>
    </r>
  </si>
  <si>
    <r>
      <t>n</t>
    </r>
    <r>
      <rPr>
        <b/>
        <vertAlign val="subscript"/>
        <sz val="11"/>
        <color theme="0" tint="-0.249977111117893"/>
        <rFont val="Calibri"/>
        <family val="2"/>
        <scheme val="minor"/>
      </rPr>
      <t>F</t>
    </r>
    <r>
      <rPr>
        <b/>
        <sz val="11"/>
        <color theme="0" tint="-0.249977111117893"/>
        <rFont val="Calibri"/>
        <family val="2"/>
        <scheme val="minor"/>
      </rPr>
      <t>-n</t>
    </r>
    <r>
      <rPr>
        <b/>
        <vertAlign val="subscript"/>
        <sz val="11"/>
        <color theme="0" tint="-0.249977111117893"/>
        <rFont val="Calibri"/>
        <family val="2"/>
        <scheme val="minor"/>
      </rPr>
      <t>C</t>
    </r>
  </si>
  <si>
    <r>
      <t>n</t>
    </r>
    <r>
      <rPr>
        <b/>
        <vertAlign val="subscript"/>
        <sz val="11"/>
        <color theme="0" tint="-0.249977111117893"/>
        <rFont val="Calibri"/>
        <family val="2"/>
        <scheme val="minor"/>
      </rPr>
      <t>d</t>
    </r>
    <r>
      <rPr>
        <b/>
        <sz val="11"/>
        <color theme="0" tint="-0.249977111117893"/>
        <rFont val="Calibri"/>
        <family val="2"/>
        <scheme val="minor"/>
      </rPr>
      <t>-n</t>
    </r>
    <r>
      <rPr>
        <b/>
        <vertAlign val="subscript"/>
        <sz val="11"/>
        <color theme="0" tint="-0.249977111117893"/>
        <rFont val="Calibri"/>
        <family val="2"/>
        <scheme val="minor"/>
      </rPr>
      <t>C</t>
    </r>
  </si>
  <si>
    <r>
      <t>a</t>
    </r>
    <r>
      <rPr>
        <b/>
        <vertAlign val="subscript"/>
        <sz val="11"/>
        <color theme="0" tint="-0.249977111117893"/>
        <rFont val="Calibri"/>
        <family val="2"/>
        <scheme val="minor"/>
      </rPr>
      <t>1</t>
    </r>
  </si>
  <si>
    <r>
      <t>a</t>
    </r>
    <r>
      <rPr>
        <b/>
        <vertAlign val="subscript"/>
        <sz val="11"/>
        <color theme="0" tint="-0.249977111117893"/>
        <rFont val="Calibri"/>
        <family val="2"/>
        <scheme val="minor"/>
      </rPr>
      <t>2</t>
    </r>
  </si>
  <si>
    <r>
      <t>a</t>
    </r>
    <r>
      <rPr>
        <b/>
        <vertAlign val="subscript"/>
        <sz val="11"/>
        <color theme="0" tint="-0.249977111117893"/>
        <rFont val="Calibri"/>
        <family val="2"/>
        <scheme val="minor"/>
      </rPr>
      <t>3</t>
    </r>
  </si>
  <si>
    <r>
      <t>a</t>
    </r>
    <r>
      <rPr>
        <b/>
        <vertAlign val="subscript"/>
        <sz val="11"/>
        <color theme="0" tint="-0.249977111117893"/>
        <rFont val="Calibri"/>
        <family val="2"/>
        <scheme val="minor"/>
      </rPr>
      <t>4</t>
    </r>
  </si>
  <si>
    <r>
      <t>a</t>
    </r>
    <r>
      <rPr>
        <b/>
        <vertAlign val="subscript"/>
        <sz val="11"/>
        <color theme="0" tint="-0.249977111117893"/>
        <rFont val="Calibri"/>
        <family val="2"/>
        <scheme val="minor"/>
      </rPr>
      <t>5</t>
    </r>
  </si>
  <si>
    <r>
      <t>a</t>
    </r>
    <r>
      <rPr>
        <b/>
        <vertAlign val="subscript"/>
        <sz val="11"/>
        <color theme="0" tint="-0.249977111117893"/>
        <rFont val="Calibri"/>
        <family val="2"/>
        <scheme val="minor"/>
      </rPr>
      <t>6</t>
    </r>
  </si>
  <si>
    <t>H-FK55</t>
  </si>
  <si>
    <t>H-K9LA</t>
  </si>
  <si>
    <t>H-LaK71</t>
  </si>
  <si>
    <t>H-LaK72</t>
  </si>
  <si>
    <t>H-TK9</t>
  </si>
  <si>
    <t>H-F3</t>
  </si>
  <si>
    <t>H-F5</t>
  </si>
  <si>
    <t>H-F6</t>
  </si>
  <si>
    <t>H-F52</t>
  </si>
  <si>
    <t>ZF7LTT</t>
  </si>
  <si>
    <t>H-ZLaF68NB</t>
  </si>
  <si>
    <t>H-ZLaF73</t>
  </si>
  <si>
    <t>H-ZLaF75C</t>
  </si>
  <si>
    <t>H-ZLaF89LA</t>
  </si>
  <si>
    <t>H-ZLaF90A</t>
  </si>
  <si>
    <t>H-ZLaF91</t>
  </si>
  <si>
    <t>H-ZLaF92A</t>
  </si>
  <si>
    <t>H-ZLaF96</t>
  </si>
  <si>
    <t>H-TF29</t>
  </si>
  <si>
    <t>D-FK61-25</t>
  </si>
  <si>
    <t>D-FK61A-25</t>
  </si>
  <si>
    <t>D-FK95-25</t>
  </si>
  <si>
    <t>D-QK3L-25</t>
  </si>
  <si>
    <t>D-K9-25</t>
  </si>
  <si>
    <t>D-K9GT-25</t>
  </si>
  <si>
    <t>D-K59-25</t>
  </si>
  <si>
    <t>D-PK3-25</t>
  </si>
  <si>
    <t>D-ZPK1A-25</t>
  </si>
  <si>
    <t>D-ZPK3-25</t>
  </si>
  <si>
    <t>D-ZPK5</t>
  </si>
  <si>
    <t>D-ZPK5-25</t>
  </si>
  <si>
    <t>D-ZPK7</t>
  </si>
  <si>
    <t>D-ZPK7-25</t>
  </si>
  <si>
    <t>D-ZK2-25</t>
  </si>
  <si>
    <t>D-ZK2A</t>
  </si>
  <si>
    <t>D-ZK2A-25</t>
  </si>
  <si>
    <t>D-ZK2L</t>
  </si>
  <si>
    <t>D-ZK2L-25</t>
  </si>
  <si>
    <t>D-ZK3-25</t>
  </si>
  <si>
    <t>D-ZK3A</t>
  </si>
  <si>
    <t>D-ZK3A-25</t>
  </si>
  <si>
    <t>D-ZK3L-25</t>
  </si>
  <si>
    <t>D-ZK21</t>
  </si>
  <si>
    <t>D-ZK21-25</t>
  </si>
  <si>
    <t>D-ZK79-25</t>
  </si>
  <si>
    <t>D-LaK5-25</t>
  </si>
  <si>
    <t>D-LaK6-25</t>
  </si>
  <si>
    <t>D-LaK52</t>
  </si>
  <si>
    <t>D-LaK52-25</t>
  </si>
  <si>
    <t>D-LaK70-25</t>
  </si>
  <si>
    <t>D-ZF10-25</t>
  </si>
  <si>
    <t>D-ZF93-25</t>
  </si>
  <si>
    <t>D-LaF50-25</t>
  </si>
  <si>
    <t>D-LaF050-25</t>
  </si>
  <si>
    <t>D-LaF53-25</t>
  </si>
  <si>
    <t>D-LaF79-25</t>
  </si>
  <si>
    <t>D-ZLaF50-25</t>
  </si>
  <si>
    <t>D-ZLaF52LA-25</t>
  </si>
  <si>
    <t>D-ZLaF61-25</t>
  </si>
  <si>
    <t>D-ZLaF67-25</t>
  </si>
  <si>
    <t>D-ZLaF81-25</t>
  </si>
  <si>
    <t>D-ZLaF85A-25</t>
  </si>
  <si>
    <t>D-ZLaF85LN</t>
  </si>
  <si>
    <t>D-ZLaF85LN-25</t>
  </si>
  <si>
    <t>D-ZLaF85L-25</t>
  </si>
  <si>
    <t>D-ZLaF85LS</t>
  </si>
  <si>
    <t>D-ZLaF85LS-25</t>
  </si>
  <si>
    <t xml:space="preserve">OKP4HT              </t>
  </si>
  <si>
    <t xml:space="preserve">OKP-A2              </t>
  </si>
  <si>
    <t xml:space="preserve">OKP4HT-L            </t>
  </si>
  <si>
    <t xml:space="preserve">OKP-A1              </t>
  </si>
  <si>
    <t xml:space="preserve">OKP4                </t>
  </si>
  <si>
    <t xml:space="preserve">OKP-1               </t>
  </si>
  <si>
    <t>Osaka GC</t>
  </si>
  <si>
    <t>dPg,F calculated using Ohara standard.</t>
  </si>
  <si>
    <t>Topas</t>
  </si>
  <si>
    <t>Apel</t>
  </si>
  <si>
    <t>APL5014CL</t>
  </si>
  <si>
    <t>APL5015AL</t>
  </si>
  <si>
    <t>APL5514ML</t>
  </si>
  <si>
    <t>APL5014GH</t>
  </si>
  <si>
    <t>5013LS-01</t>
  </si>
  <si>
    <t>5013X16</t>
  </si>
  <si>
    <t>6015S-04</t>
  </si>
  <si>
    <t>Crystal</t>
  </si>
  <si>
    <t>Polymer</t>
  </si>
  <si>
    <t>SiO</t>
  </si>
  <si>
    <t>TiO</t>
  </si>
  <si>
    <t>NbPO</t>
  </si>
  <si>
    <t>LaO</t>
  </si>
  <si>
    <t>NbO</t>
  </si>
  <si>
    <r>
      <rPr>
        <sz val="11"/>
        <color theme="0" tint="-0.249977111117893"/>
        <rFont val="Calibri"/>
        <family val="2"/>
        <scheme val="minor"/>
      </rPr>
      <t>Additional m</t>
    </r>
    <r>
      <rPr>
        <sz val="9"/>
        <color theme="0" tint="-0.249977111117893"/>
        <rFont val="Calibri"/>
        <family val="2"/>
        <scheme val="minor"/>
      </rPr>
      <t>x,y</t>
    </r>
    <r>
      <rPr>
        <sz val="11"/>
        <color theme="0" tint="-0.249977111117893"/>
        <rFont val="Calibri"/>
        <family val="2"/>
        <scheme val="minor"/>
      </rPr>
      <t xml:space="preserve"> and b</t>
    </r>
    <r>
      <rPr>
        <sz val="9"/>
        <color theme="0" tint="-0.249977111117893"/>
        <rFont val="Calibri"/>
        <family val="2"/>
        <scheme val="minor"/>
      </rPr>
      <t>x,y</t>
    </r>
    <r>
      <rPr>
        <sz val="12"/>
        <color theme="0" tint="-0.249977111117893"/>
        <rFont val="Calibri"/>
        <family val="2"/>
        <scheme val="minor"/>
      </rPr>
      <t xml:space="preserve"> </t>
    </r>
    <r>
      <rPr>
        <sz val="11"/>
        <color theme="0" tint="-0.249977111117893"/>
        <rFont val="Calibri"/>
        <family val="2"/>
        <scheme val="minor"/>
      </rPr>
      <t>constants may be derived from interpreting the "normal line" between Crown 7 &amp; Flint 2 reference glasses</t>
    </r>
  </si>
  <si>
    <t>K-SKLD5</t>
  </si>
  <si>
    <t>K-SKLD310</t>
  </si>
  <si>
    <t>K-VC174</t>
  </si>
  <si>
    <t>K-CD180</t>
  </si>
  <si>
    <t>CaF</t>
  </si>
  <si>
    <t>NaPO</t>
  </si>
  <si>
    <t>Homogeneity improved type.</t>
  </si>
  <si>
    <t>Class</t>
  </si>
  <si>
    <t>Solarized, inquire manufacturer for available forms of supply</t>
  </si>
  <si>
    <t>Transmission improved type, for cold processing.</t>
  </si>
  <si>
    <t>Recommended</t>
  </si>
  <si>
    <t>LAH80</t>
  </si>
  <si>
    <t>PBH56</t>
  </si>
  <si>
    <t>S-BAL41</t>
  </si>
  <si>
    <t>S-LAL 7</t>
  </si>
  <si>
    <t>S-LAL54</t>
  </si>
  <si>
    <t>S-LAM61</t>
  </si>
  <si>
    <t>S-BAL 2</t>
  </si>
  <si>
    <t>S-BAH10</t>
  </si>
  <si>
    <t>S-TIM22</t>
  </si>
  <si>
    <t>S-TIH23</t>
  </si>
  <si>
    <t>S-LAL13</t>
  </si>
  <si>
    <t>S-LAM54</t>
  </si>
  <si>
    <t>S-LAH63</t>
  </si>
  <si>
    <t>Obsolete</t>
  </si>
  <si>
    <t>Status</t>
  </si>
  <si>
    <r>
      <t>Referenced Schott Lithotec CaF</t>
    </r>
    <r>
      <rPr>
        <sz val="8"/>
        <color theme="1" tint="0.249977111117893"/>
        <rFont val="Calibri"/>
        <family val="2"/>
        <scheme val="minor"/>
      </rPr>
      <t>2</t>
    </r>
    <r>
      <rPr>
        <sz val="11"/>
        <color theme="1" tint="0.249977111117893"/>
        <rFont val="Calibri"/>
        <family val="2"/>
        <scheme val="minor"/>
      </rPr>
      <t>.</t>
    </r>
  </si>
  <si>
    <t>A2 = -1.10027728E-04</t>
  </si>
  <si>
    <t>A2 = -1.34642385E-05</t>
  </si>
  <si>
    <t>A2 = -2.09903123E-05</t>
  </si>
  <si>
    <t>Mod Sellmeier 3</t>
  </si>
  <si>
    <t>Schott 3/4</t>
  </si>
  <si>
    <t>Sellmeier 3</t>
  </si>
  <si>
    <t>Schott 2/4</t>
  </si>
  <si>
    <t>Referenced Ohara SK-1300.</t>
  </si>
  <si>
    <t>Referenced Schott ML Q1.</t>
  </si>
  <si>
    <t xml:space="preserve">Referenced Nikon NIFS-S.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</si>
</sst>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164" formatCode="0.0000"/>
    <numFmt numFmtId="165" formatCode="0.000000"/>
    <numFmt numFmtId="166" formatCode="0.000000000E+00"/>
    <numFmt numFmtId="167" formatCode="0.000"/>
    <numFmt numFmtId="168" formatCode="0.0000%"/>
    <numFmt numFmtId="169" formatCode="0.0"/>
    <numFmt numFmtId="170" formatCode="_-* #,##0.00\ _€_-;\-* #,##0.00\ _€_-;_-* &quot;-&quot;??\ _€_-;_-@_-"/>
    <numFmt numFmtId="171" formatCode="0.00000"/>
  </numFmts>
  <fonts count="2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0" tint="-0.1499984740745262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1"/>
      <name val="ＭＳ Ｐゴシック"/>
      <family val="3"/>
      <charset val="128"/>
    </font>
    <font>
      <b/>
      <sz val="11"/>
      <color theme="0" tint="-4.9989318521683403E-2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8"/>
      <color theme="0" tint="-0.249977111117893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name val="宋体"/>
      <family val="3"/>
      <charset val="134"/>
    </font>
    <font>
      <b/>
      <sz val="11"/>
      <color theme="0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vertAlign val="superscript"/>
      <sz val="11"/>
      <color theme="0" tint="-0.249977111117893"/>
      <name val="Calibri"/>
      <family val="2"/>
      <scheme val="minor"/>
    </font>
    <font>
      <b/>
      <vertAlign val="subscript"/>
      <sz val="11"/>
      <color theme="0" tint="-0.249977111117893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 tint="0.249977111117893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sz val="8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0606"/>
        <bgColor indexed="64"/>
      </patternFill>
    </fill>
  </fills>
  <borders count="12">
    <border>
      <left/>
      <right/>
      <top/>
      <bottom/>
      <diagonal/>
    </border>
    <border>
      <left style="medium">
        <color rgb="FF303030"/>
      </left>
      <right style="medium">
        <color rgb="FF303030"/>
      </right>
      <top style="medium">
        <color rgb="FF303030"/>
      </top>
      <bottom style="medium">
        <color rgb="FF303030"/>
      </bottom>
      <diagonal/>
    </border>
    <border>
      <left style="medium">
        <color rgb="FF303030"/>
      </left>
      <right/>
      <top style="medium">
        <color rgb="FF303030"/>
      </top>
      <bottom style="medium">
        <color rgb="FF303030"/>
      </bottom>
      <diagonal/>
    </border>
    <border>
      <left/>
      <right/>
      <top style="medium">
        <color rgb="FF303030"/>
      </top>
      <bottom style="medium">
        <color rgb="FF303030"/>
      </bottom>
      <diagonal/>
    </border>
    <border>
      <left/>
      <right style="medium">
        <color rgb="FF303030"/>
      </right>
      <top style="medium">
        <color rgb="FF303030"/>
      </top>
      <bottom style="medium">
        <color rgb="FF303030"/>
      </bottom>
      <diagonal/>
    </border>
    <border>
      <left style="medium">
        <color rgb="FF303030"/>
      </left>
      <right style="medium">
        <color rgb="FF303030"/>
      </right>
      <top style="medium">
        <color rgb="FF303030"/>
      </top>
      <bottom/>
      <diagonal/>
    </border>
    <border>
      <left style="medium">
        <color rgb="FF303030"/>
      </left>
      <right style="medium">
        <color rgb="FF303030"/>
      </right>
      <top/>
      <bottom style="medium">
        <color rgb="FF303030"/>
      </bottom>
      <diagonal/>
    </border>
    <border>
      <left style="medium">
        <color rgb="FF303030"/>
      </left>
      <right style="medium">
        <color rgb="FF303030"/>
      </right>
      <top/>
      <bottom/>
      <diagonal/>
    </border>
    <border>
      <left style="medium">
        <color theme="1" tint="0.14999847407452621"/>
      </left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</borders>
  <cellStyleXfs count="11">
    <xf numFmtId="0" fontId="0" fillId="0" borderId="0"/>
    <xf numFmtId="0" fontId="2" fillId="0" borderId="0"/>
    <xf numFmtId="0" fontId="9" fillId="0" borderId="0"/>
    <xf numFmtId="0" fontId="9" fillId="0" borderId="0">
      <alignment vertical="center"/>
    </xf>
    <xf numFmtId="0" fontId="15" fillId="0" borderId="0">
      <alignment vertical="center"/>
    </xf>
    <xf numFmtId="170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2" fillId="0" borderId="0">
      <alignment vertical="center"/>
    </xf>
    <xf numFmtId="0" fontId="22" fillId="0" borderId="0">
      <alignment vertical="center"/>
    </xf>
  </cellStyleXfs>
  <cellXfs count="83">
    <xf numFmtId="0" fontId="0" fillId="0" borderId="0" xfId="0"/>
    <xf numFmtId="0" fontId="3" fillId="2" borderId="0" xfId="0" applyFont="1" applyFill="1"/>
    <xf numFmtId="164" fontId="3" fillId="2" borderId="0" xfId="0" applyNumberFormat="1" applyFont="1" applyFill="1"/>
    <xf numFmtId="2" fontId="3" fillId="2" borderId="0" xfId="0" applyNumberFormat="1" applyFont="1" applyFill="1"/>
    <xf numFmtId="165" fontId="3" fillId="2" borderId="0" xfId="0" applyNumberFormat="1" applyFont="1" applyFill="1"/>
    <xf numFmtId="165" fontId="3" fillId="2" borderId="0" xfId="0" applyNumberFormat="1" applyFont="1" applyFill="1" applyAlignment="1">
      <alignment horizontal="center" vertical="center"/>
    </xf>
    <xf numFmtId="166" fontId="3" fillId="2" borderId="0" xfId="0" applyNumberFormat="1" applyFont="1" applyFill="1"/>
    <xf numFmtId="169" fontId="3" fillId="2" borderId="0" xfId="0" applyNumberFormat="1" applyFont="1" applyFill="1"/>
    <xf numFmtId="168" fontId="3" fillId="2" borderId="0" xfId="0" applyNumberFormat="1" applyFont="1" applyFill="1" applyAlignment="1">
      <alignment horizontal="center"/>
    </xf>
    <xf numFmtId="167" fontId="3" fillId="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0" fillId="2" borderId="0" xfId="0" applyFill="1"/>
    <xf numFmtId="167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7" fontId="7" fillId="2" borderId="1" xfId="0" applyNumberFormat="1" applyFont="1" applyFill="1" applyBorder="1"/>
    <xf numFmtId="0" fontId="7" fillId="2" borderId="1" xfId="0" applyFont="1" applyFill="1" applyBorder="1"/>
    <xf numFmtId="0" fontId="7" fillId="2" borderId="0" xfId="0" applyFont="1" applyFill="1"/>
    <xf numFmtId="167" fontId="16" fillId="2" borderId="1" xfId="0" applyNumberFormat="1" applyFont="1" applyFill="1" applyBorder="1"/>
    <xf numFmtId="0" fontId="16" fillId="2" borderId="1" xfId="0" applyFont="1" applyFill="1" applyBorder="1"/>
    <xf numFmtId="0" fontId="10" fillId="2" borderId="0" xfId="0" applyFont="1" applyFill="1"/>
    <xf numFmtId="167" fontId="10" fillId="2" borderId="1" xfId="0" applyNumberFormat="1" applyFont="1" applyFill="1" applyBorder="1"/>
    <xf numFmtId="0" fontId="10" fillId="2" borderId="1" xfId="0" applyFont="1" applyFill="1" applyBorder="1"/>
    <xf numFmtId="0" fontId="4" fillId="2" borderId="0" xfId="0" applyFont="1" applyFill="1"/>
    <xf numFmtId="167" fontId="7" fillId="2" borderId="0" xfId="0" applyNumberFormat="1" applyFont="1" applyFill="1"/>
    <xf numFmtId="0" fontId="12" fillId="2" borderId="8" xfId="0" applyFont="1" applyFill="1" applyBorder="1" applyAlignment="1">
      <alignment horizontal="center" vertical="center"/>
    </xf>
    <xf numFmtId="164" fontId="12" fillId="2" borderId="8" xfId="0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165" fontId="12" fillId="2" borderId="8" xfId="0" applyNumberFormat="1" applyFont="1" applyFill="1" applyBorder="1" applyAlignment="1">
      <alignment horizontal="center" vertical="center"/>
    </xf>
    <xf numFmtId="165" fontId="12" fillId="2" borderId="8" xfId="0" applyNumberFormat="1" applyFont="1" applyFill="1" applyBorder="1" applyAlignment="1">
      <alignment horizontal="center" vertical="center" wrapText="1"/>
    </xf>
    <xf numFmtId="166" fontId="12" fillId="2" borderId="8" xfId="0" applyNumberFormat="1" applyFont="1" applyFill="1" applyBorder="1" applyAlignment="1">
      <alignment horizontal="center" vertical="center"/>
    </xf>
    <xf numFmtId="169" fontId="12" fillId="2" borderId="8" xfId="0" applyNumberFormat="1" applyFont="1" applyFill="1" applyBorder="1" applyAlignment="1">
      <alignment horizontal="center" vertical="center"/>
    </xf>
    <xf numFmtId="168" fontId="12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/>
    <xf numFmtId="164" fontId="4" fillId="2" borderId="8" xfId="0" applyNumberFormat="1" applyFont="1" applyFill="1" applyBorder="1"/>
    <xf numFmtId="2" fontId="4" fillId="2" borderId="8" xfId="0" applyNumberFormat="1" applyFont="1" applyFill="1" applyBorder="1"/>
    <xf numFmtId="165" fontId="4" fillId="2" borderId="8" xfId="0" applyNumberFormat="1" applyFont="1" applyFill="1" applyBorder="1"/>
    <xf numFmtId="169" fontId="4" fillId="2" borderId="8" xfId="0" applyNumberFormat="1" applyFont="1" applyFill="1" applyBorder="1"/>
    <xf numFmtId="168" fontId="4" fillId="2" borderId="8" xfId="0" applyNumberFormat="1" applyFont="1" applyFill="1" applyBorder="1" applyAlignment="1">
      <alignment horizontal="center"/>
    </xf>
    <xf numFmtId="0" fontId="6" fillId="2" borderId="8" xfId="0" applyFont="1" applyFill="1" applyBorder="1"/>
    <xf numFmtId="2" fontId="23" fillId="2" borderId="8" xfId="0" applyNumberFormat="1" applyFont="1" applyFill="1" applyBorder="1"/>
    <xf numFmtId="164" fontId="23" fillId="2" borderId="8" xfId="0" applyNumberFormat="1" applyFont="1" applyFill="1" applyBorder="1"/>
    <xf numFmtId="165" fontId="23" fillId="2" borderId="8" xfId="0" applyNumberFormat="1" applyFont="1" applyFill="1" applyBorder="1"/>
    <xf numFmtId="165" fontId="23" fillId="2" borderId="8" xfId="0" applyNumberFormat="1" applyFont="1" applyFill="1" applyBorder="1" applyAlignment="1">
      <alignment horizontal="center" vertical="center"/>
    </xf>
    <xf numFmtId="166" fontId="23" fillId="2" borderId="8" xfId="0" applyNumberFormat="1" applyFont="1" applyFill="1" applyBorder="1"/>
    <xf numFmtId="0" fontId="23" fillId="2" borderId="8" xfId="0" applyFont="1" applyFill="1" applyBorder="1"/>
    <xf numFmtId="0" fontId="24" fillId="2" borderId="8" xfId="0" applyFont="1" applyFill="1" applyBorder="1"/>
    <xf numFmtId="167" fontId="23" fillId="2" borderId="8" xfId="0" applyNumberFormat="1" applyFont="1" applyFill="1" applyBorder="1"/>
    <xf numFmtId="168" fontId="23" fillId="2" borderId="8" xfId="0" applyNumberFormat="1" applyFont="1" applyFill="1" applyBorder="1" applyAlignment="1">
      <alignment horizontal="center"/>
    </xf>
    <xf numFmtId="167" fontId="14" fillId="2" borderId="9" xfId="0" applyNumberFormat="1" applyFont="1" applyFill="1" applyBorder="1" applyAlignment="1">
      <alignment horizontal="center" vertical="center"/>
    </xf>
    <xf numFmtId="167" fontId="14" fillId="2" borderId="10" xfId="0" applyNumberFormat="1" applyFont="1" applyFill="1" applyBorder="1" applyAlignment="1">
      <alignment horizontal="center" vertical="center"/>
    </xf>
    <xf numFmtId="167" fontId="14" fillId="2" borderId="11" xfId="0" applyNumberFormat="1" applyFont="1" applyFill="1" applyBorder="1" applyAlignment="1">
      <alignment horizontal="center" vertical="center"/>
    </xf>
    <xf numFmtId="167" fontId="14" fillId="2" borderId="8" xfId="0" applyNumberFormat="1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165" fontId="14" fillId="2" borderId="8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166" fontId="14" fillId="2" borderId="9" xfId="0" applyNumberFormat="1" applyFont="1" applyFill="1" applyBorder="1" applyAlignment="1">
      <alignment horizontal="center" vertical="center"/>
    </xf>
    <xf numFmtId="166" fontId="14" fillId="2" borderId="10" xfId="0" applyNumberFormat="1" applyFont="1" applyFill="1" applyBorder="1" applyAlignment="1">
      <alignment horizontal="center" vertical="center"/>
    </xf>
    <xf numFmtId="166" fontId="14" fillId="2" borderId="11" xfId="0" applyNumberFormat="1" applyFont="1" applyFill="1" applyBorder="1" applyAlignment="1">
      <alignment horizontal="center" vertical="center"/>
    </xf>
    <xf numFmtId="167" fontId="4" fillId="2" borderId="5" xfId="0" applyNumberFormat="1" applyFont="1" applyFill="1" applyBorder="1" applyAlignment="1">
      <alignment horizontal="center" vertical="center"/>
    </xf>
    <xf numFmtId="167" fontId="4" fillId="2" borderId="7" xfId="0" applyNumberFormat="1" applyFont="1" applyFill="1" applyBorder="1" applyAlignment="1">
      <alignment horizontal="center" vertical="center"/>
    </xf>
    <xf numFmtId="167" fontId="4" fillId="2" borderId="6" xfId="0" applyNumberFormat="1" applyFont="1" applyFill="1" applyBorder="1" applyAlignment="1">
      <alignment horizontal="center" vertical="center"/>
    </xf>
    <xf numFmtId="167" fontId="17" fillId="2" borderId="5" xfId="0" applyNumberFormat="1" applyFont="1" applyFill="1" applyBorder="1" applyAlignment="1">
      <alignment horizontal="center" vertical="center" wrapText="1"/>
    </xf>
    <xf numFmtId="167" fontId="17" fillId="2" borderId="7" xfId="0" applyNumberFormat="1" applyFont="1" applyFill="1" applyBorder="1" applyAlignment="1">
      <alignment horizontal="center" vertical="center" wrapText="1"/>
    </xf>
    <xf numFmtId="167" fontId="17" fillId="2" borderId="6" xfId="0" applyNumberFormat="1" applyFont="1" applyFill="1" applyBorder="1" applyAlignment="1">
      <alignment horizontal="center" vertical="center" wrapText="1"/>
    </xf>
    <xf numFmtId="167" fontId="4" fillId="2" borderId="5" xfId="0" applyNumberFormat="1" applyFont="1" applyFill="1" applyBorder="1" applyAlignment="1">
      <alignment horizontal="center" vertical="center" wrapText="1"/>
    </xf>
    <xf numFmtId="167" fontId="4" fillId="2" borderId="7" xfId="0" applyNumberFormat="1" applyFont="1" applyFill="1" applyBorder="1" applyAlignment="1">
      <alignment horizontal="center" vertical="center" wrapText="1"/>
    </xf>
    <xf numFmtId="167" fontId="4" fillId="2" borderId="6" xfId="0" applyNumberFormat="1" applyFont="1" applyFill="1" applyBorder="1" applyAlignment="1">
      <alignment horizontal="center" vertical="center" wrapText="1"/>
    </xf>
    <xf numFmtId="167" fontId="4" fillId="2" borderId="5" xfId="0" applyNumberFormat="1" applyFont="1" applyFill="1" applyBorder="1" applyAlignment="1">
      <alignment horizontal="center"/>
    </xf>
    <xf numFmtId="167" fontId="4" fillId="2" borderId="7" xfId="0" applyNumberFormat="1" applyFont="1" applyFill="1" applyBorder="1" applyAlignment="1">
      <alignment horizontal="center"/>
    </xf>
    <xf numFmtId="167" fontId="4" fillId="2" borderId="6" xfId="0" applyNumberFormat="1" applyFont="1" applyFill="1" applyBorder="1" applyAlignment="1">
      <alignment horizontal="center"/>
    </xf>
    <xf numFmtId="167" fontId="17" fillId="2" borderId="5" xfId="0" applyNumberFormat="1" applyFont="1" applyFill="1" applyBorder="1" applyAlignment="1">
      <alignment horizontal="center" vertical="center"/>
    </xf>
    <xf numFmtId="167" fontId="17" fillId="2" borderId="7" xfId="0" applyNumberFormat="1" applyFont="1" applyFill="1" applyBorder="1" applyAlignment="1">
      <alignment horizontal="center" vertical="center"/>
    </xf>
    <xf numFmtId="167" fontId="17" fillId="2" borderId="6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71" fontId="14" fillId="2" borderId="8" xfId="0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171" fontId="4" fillId="2" borderId="8" xfId="0" applyNumberFormat="1" applyFont="1" applyFill="1" applyBorder="1"/>
    <xf numFmtId="171" fontId="23" fillId="2" borderId="8" xfId="0" applyNumberFormat="1" applyFont="1" applyFill="1" applyBorder="1"/>
    <xf numFmtId="171" fontId="3" fillId="2" borderId="0" xfId="0" applyNumberFormat="1" applyFont="1" applyFill="1"/>
  </cellXfs>
  <cellStyles count="11">
    <cellStyle name="Comma [0] 2" xfId="7" xr:uid="{657984B2-A393-4109-8EBE-764748DB0B40}"/>
    <cellStyle name="Komma 2" xfId="5" xr:uid="{62F03292-D401-47FE-BA1A-2B1BD7B6C1A5}"/>
    <cellStyle name="Normal" xfId="0" builtinId="0"/>
    <cellStyle name="Normal 2" xfId="2" xr:uid="{783228B4-943F-48DE-9451-50E45C900D77}"/>
    <cellStyle name="Normal 3" xfId="6" xr:uid="{8EB30716-8D9F-4879-902C-667EC223126C}"/>
    <cellStyle name="常规 2" xfId="4" xr:uid="{CDB61E60-1635-4DC3-9A09-58049C3C2A6D}"/>
    <cellStyle name="標準 2" xfId="8" xr:uid="{F04D5B61-E488-49C9-8154-97F13F8CA545}"/>
    <cellStyle name="標準 3" xfId="1" xr:uid="{E66FD64E-D0CF-4FF3-A28E-36D657EB5EBF}"/>
    <cellStyle name="標準 4" xfId="9" xr:uid="{0274ED19-0150-4E74-9A50-8637FD994075}"/>
    <cellStyle name="標準 4 2" xfId="10" xr:uid="{E5C3DB1C-8859-444A-B330-DDB77F380500}"/>
    <cellStyle name="標準_DATA" xfId="3" xr:uid="{3475EDDD-777D-4FD4-AB39-7330BCC795C5}"/>
  </cellStyles>
  <dxfs count="0"/>
  <tableStyles count="0" defaultTableStyle="TableStyleMedium2" defaultPivotStyle="PivotStyleLight16"/>
  <colors>
    <mruColors>
      <color rgb="FF060606"/>
      <color rgb="FF0D0D0D"/>
      <color rgb="FF99CCFF"/>
      <color rgb="FFBBDD22"/>
      <color rgb="FFFFAACC"/>
      <color rgb="FF99EEDD"/>
      <color rgb="FFFFCCAA"/>
      <color rgb="FF33AAEE"/>
      <color rgb="FFEE6666"/>
      <color rgb="FFFFDD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'Typecode Reference'!$E$1190:$E$1196</c:f>
              <c:numCache>
                <c:formatCode>0.00000</c:formatCode>
                <c:ptCount val="7"/>
                <c:pt idx="0">
                  <c:v>1.6200401372462678</c:v>
                </c:pt>
                <c:pt idx="1">
                  <c:v>1.4585665330566437</c:v>
                </c:pt>
                <c:pt idx="2">
                  <c:v>1.4584999999999999</c:v>
                </c:pt>
                <c:pt idx="3">
                  <c:v>1.45844</c:v>
                </c:pt>
                <c:pt idx="4">
                  <c:v>1.43384</c:v>
                </c:pt>
                <c:pt idx="5">
                  <c:v>1.43384</c:v>
                </c:pt>
                <c:pt idx="6">
                  <c:v>1.4338489999999999</c:v>
                </c:pt>
              </c:numCache>
            </c:numRef>
          </c:xVal>
          <c:yVal>
            <c:numRef>
              <c:f>'Typecode Reference'!$F$1190:$F$1196</c:f>
              <c:numCache>
                <c:formatCode>0.0000</c:formatCode>
                <c:ptCount val="7"/>
                <c:pt idx="0">
                  <c:v>36.366941342628344</c:v>
                </c:pt>
                <c:pt idx="1">
                  <c:v>67.838028290999688</c:v>
                </c:pt>
                <c:pt idx="2">
                  <c:v>67.83</c:v>
                </c:pt>
                <c:pt idx="3">
                  <c:v>67.87</c:v>
                </c:pt>
                <c:pt idx="4">
                  <c:v>95.23</c:v>
                </c:pt>
                <c:pt idx="5">
                  <c:v>95.26</c:v>
                </c:pt>
                <c:pt idx="6">
                  <c:v>95.17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8-4C2A-A08F-2437C347D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369376"/>
        <c:axId val="1507373952"/>
      </c:scatterChart>
      <c:valAx>
        <c:axId val="1507369376"/>
        <c:scaling>
          <c:orientation val="minMax"/>
          <c:max val="2.1"/>
          <c:min val="1.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373952"/>
        <c:crosses val="autoZero"/>
        <c:crossBetween val="midCat"/>
      </c:valAx>
      <c:valAx>
        <c:axId val="1507373952"/>
        <c:scaling>
          <c:orientation val="minMax"/>
          <c:max val="100"/>
          <c:min val="1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36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'Typecode Reference'!$E$3:$E$207</c:f>
              <c:numCache>
                <c:formatCode>0.00000</c:formatCode>
                <c:ptCount val="205"/>
                <c:pt idx="0">
                  <c:v>1.4969992887025918</c:v>
                </c:pt>
                <c:pt idx="1">
                  <c:v>1.4387504366578638</c:v>
                </c:pt>
                <c:pt idx="2">
                  <c:v>1.4387495559841681</c:v>
                </c:pt>
                <c:pt idx="3">
                  <c:v>1.5952195886349441</c:v>
                </c:pt>
                <c:pt idx="4">
                  <c:v>1.5377503559610455</c:v>
                </c:pt>
                <c:pt idx="5">
                  <c:v>1.5284102380134093</c:v>
                </c:pt>
                <c:pt idx="6">
                  <c:v>1.552000221071218</c:v>
                </c:pt>
                <c:pt idx="7">
                  <c:v>1.4874899347705814</c:v>
                </c:pt>
                <c:pt idx="8">
                  <c:v>1.5163299247610003</c:v>
                </c:pt>
                <c:pt idx="9">
                  <c:v>1.607378900759777</c:v>
                </c:pt>
                <c:pt idx="10">
                  <c:v>1.6227988987053308</c:v>
                </c:pt>
                <c:pt idx="11">
                  <c:v>1.603111906702082</c:v>
                </c:pt>
                <c:pt idx="12">
                  <c:v>1.6229919004965481</c:v>
                </c:pt>
                <c:pt idx="13">
                  <c:v>1.6204109055273606</c:v>
                </c:pt>
                <c:pt idx="14">
                  <c:v>1.6385392134302019</c:v>
                </c:pt>
                <c:pt idx="15">
                  <c:v>1.6584408791284042</c:v>
                </c:pt>
                <c:pt idx="16">
                  <c:v>1.6177218860921623</c:v>
                </c:pt>
                <c:pt idx="17">
                  <c:v>1.648497887597439</c:v>
                </c:pt>
                <c:pt idx="18">
                  <c:v>1.6399986288331736</c:v>
                </c:pt>
                <c:pt idx="19">
                  <c:v>1.5182289181628896</c:v>
                </c:pt>
                <c:pt idx="20">
                  <c:v>1.5174169103124557</c:v>
                </c:pt>
                <c:pt idx="21">
                  <c:v>1.5713509003250168</c:v>
                </c:pt>
                <c:pt idx="22">
                  <c:v>1.5399559155673501</c:v>
                </c:pt>
                <c:pt idx="23">
                  <c:v>1.568831907243287</c:v>
                </c:pt>
                <c:pt idx="24">
                  <c:v>1.5891299100852163</c:v>
                </c:pt>
                <c:pt idx="25">
                  <c:v>1.5831259077614146</c:v>
                </c:pt>
                <c:pt idx="26">
                  <c:v>1.6056198730760591</c:v>
                </c:pt>
                <c:pt idx="27">
                  <c:v>1.6392998679096547</c:v>
                </c:pt>
                <c:pt idx="28">
                  <c:v>1.6667178714877489</c:v>
                </c:pt>
                <c:pt idx="29">
                  <c:v>1.7015358430257039</c:v>
                </c:pt>
                <c:pt idx="30">
                  <c:v>1.7234198245400043</c:v>
                </c:pt>
                <c:pt idx="31">
                  <c:v>1.617999910005915</c:v>
                </c:pt>
                <c:pt idx="32">
                  <c:v>1.6179994410602725</c:v>
                </c:pt>
                <c:pt idx="33">
                  <c:v>1.6030009141265951</c:v>
                </c:pt>
                <c:pt idx="34">
                  <c:v>1.5481408908508596</c:v>
                </c:pt>
                <c:pt idx="35">
                  <c:v>1.5407198951272876</c:v>
                </c:pt>
                <c:pt idx="36">
                  <c:v>1.5317168997278929</c:v>
                </c:pt>
                <c:pt idx="37">
                  <c:v>1.5814388695121209</c:v>
                </c:pt>
                <c:pt idx="38">
                  <c:v>1.5673218769429433</c:v>
                </c:pt>
                <c:pt idx="39">
                  <c:v>1.5750058719309001</c:v>
                </c:pt>
                <c:pt idx="40">
                  <c:v>1.6200408445102541</c:v>
                </c:pt>
                <c:pt idx="41">
                  <c:v>1.6034198547986358</c:v>
                </c:pt>
                <c:pt idx="42">
                  <c:v>1.5955088621273674</c:v>
                </c:pt>
                <c:pt idx="43">
                  <c:v>1.6726998104731583</c:v>
                </c:pt>
                <c:pt idx="44">
                  <c:v>1.639798832218039</c:v>
                </c:pt>
                <c:pt idx="45">
                  <c:v>1.6889307984075972</c:v>
                </c:pt>
                <c:pt idx="46">
                  <c:v>1.6989467910127098</c:v>
                </c:pt>
                <c:pt idx="47">
                  <c:v>1.71736180990342</c:v>
                </c:pt>
                <c:pt idx="48">
                  <c:v>1.7399981284127659</c:v>
                </c:pt>
                <c:pt idx="49">
                  <c:v>1.7551987536141336</c:v>
                </c:pt>
                <c:pt idx="50">
                  <c:v>1.8051807136112414</c:v>
                </c:pt>
                <c:pt idx="51">
                  <c:v>1.728249770106842</c:v>
                </c:pt>
                <c:pt idx="52">
                  <c:v>1.7847227253040887</c:v>
                </c:pt>
                <c:pt idx="53">
                  <c:v>1.740768758444307</c:v>
                </c:pt>
                <c:pt idx="54">
                  <c:v>1.7618207428267976</c:v>
                </c:pt>
                <c:pt idx="55">
                  <c:v>1.7215067758948663</c:v>
                </c:pt>
                <c:pt idx="56">
                  <c:v>1.846659679775239</c:v>
                </c:pt>
                <c:pt idx="57">
                  <c:v>1.846659679775239</c:v>
                </c:pt>
                <c:pt idx="58">
                  <c:v>1.8466592293329231</c:v>
                </c:pt>
                <c:pt idx="59">
                  <c:v>1.9629999430055658</c:v>
                </c:pt>
                <c:pt idx="60">
                  <c:v>1.6516001859771898</c:v>
                </c:pt>
                <c:pt idx="61">
                  <c:v>1.7129948783370617</c:v>
                </c:pt>
                <c:pt idx="62">
                  <c:v>1.6910018821647599</c:v>
                </c:pt>
                <c:pt idx="63">
                  <c:v>1.7199953010019078</c:v>
                </c:pt>
                <c:pt idx="64">
                  <c:v>1.6778998865801633</c:v>
                </c:pt>
                <c:pt idx="65">
                  <c:v>1.6779002521496926</c:v>
                </c:pt>
                <c:pt idx="66">
                  <c:v>1.6967968826138047</c:v>
                </c:pt>
                <c:pt idx="67">
                  <c:v>1.7291568774075483</c:v>
                </c:pt>
                <c:pt idx="68">
                  <c:v>1.7291564088335576</c:v>
                </c:pt>
                <c:pt idx="69">
                  <c:v>1.7291595240841462</c:v>
                </c:pt>
                <c:pt idx="70">
                  <c:v>1.6993002704427389</c:v>
                </c:pt>
                <c:pt idx="71">
                  <c:v>1.7029995174107686</c:v>
                </c:pt>
                <c:pt idx="72">
                  <c:v>1.6510001794516234</c:v>
                </c:pt>
                <c:pt idx="73">
                  <c:v>1.6934950481562243</c:v>
                </c:pt>
                <c:pt idx="74">
                  <c:v>1.7339968686234626</c:v>
                </c:pt>
                <c:pt idx="75">
                  <c:v>1.7409988698129859</c:v>
                </c:pt>
                <c:pt idx="76">
                  <c:v>1.740999440750816</c:v>
                </c:pt>
                <c:pt idx="77">
                  <c:v>1.7439968484379726</c:v>
                </c:pt>
                <c:pt idx="78">
                  <c:v>1.7170038607260651</c:v>
                </c:pt>
                <c:pt idx="79">
                  <c:v>1.7494972282288861</c:v>
                </c:pt>
                <c:pt idx="80">
                  <c:v>1.7620008273157655</c:v>
                </c:pt>
                <c:pt idx="81">
                  <c:v>1.7431978603002578</c:v>
                </c:pt>
                <c:pt idx="82">
                  <c:v>1.800998789291492</c:v>
                </c:pt>
                <c:pt idx="83">
                  <c:v>1.7936000734429982</c:v>
                </c:pt>
                <c:pt idx="84">
                  <c:v>1.7858958357466979</c:v>
                </c:pt>
                <c:pt idx="85">
                  <c:v>1.7995158252980348</c:v>
                </c:pt>
                <c:pt idx="86">
                  <c:v>1.7995201381977319</c:v>
                </c:pt>
                <c:pt idx="87">
                  <c:v>1.8060978185383842</c:v>
                </c:pt>
                <c:pt idx="88">
                  <c:v>1.8060993439372577</c:v>
                </c:pt>
                <c:pt idx="89">
                  <c:v>1.8348072123448418</c:v>
                </c:pt>
                <c:pt idx="90">
                  <c:v>1.8348093668196082</c:v>
                </c:pt>
                <c:pt idx="91">
                  <c:v>1.8829969765088193</c:v>
                </c:pt>
                <c:pt idx="92">
                  <c:v>1.8159998391054322</c:v>
                </c:pt>
                <c:pt idx="93">
                  <c:v>1.8339997933652235</c:v>
                </c:pt>
                <c:pt idx="94">
                  <c:v>1.8339993700648298</c:v>
                </c:pt>
                <c:pt idx="95">
                  <c:v>1.8339994841509621</c:v>
                </c:pt>
                <c:pt idx="96">
                  <c:v>1.8044002490164621</c:v>
                </c:pt>
                <c:pt idx="97">
                  <c:v>1.7880008463609149</c:v>
                </c:pt>
                <c:pt idx="98">
                  <c:v>1.8039994992065882</c:v>
                </c:pt>
                <c:pt idx="99">
                  <c:v>1.8039995602556678</c:v>
                </c:pt>
                <c:pt idx="100">
                  <c:v>1.7724988556521304</c:v>
                </c:pt>
                <c:pt idx="101">
                  <c:v>1.772498392759422</c:v>
                </c:pt>
                <c:pt idx="102">
                  <c:v>1.8502589580604893</c:v>
                </c:pt>
                <c:pt idx="103">
                  <c:v>2.0033000682967304</c:v>
                </c:pt>
                <c:pt idx="104">
                  <c:v>1.9164994002814211</c:v>
                </c:pt>
                <c:pt idx="105">
                  <c:v>1.8514995568099992</c:v>
                </c:pt>
                <c:pt idx="106">
                  <c:v>1.891899355726341</c:v>
                </c:pt>
                <c:pt idx="107">
                  <c:v>1.9052499197613004</c:v>
                </c:pt>
                <c:pt idx="108">
                  <c:v>1.9036594110544613</c:v>
                </c:pt>
                <c:pt idx="109">
                  <c:v>1.7638501098155421</c:v>
                </c:pt>
                <c:pt idx="110">
                  <c:v>1.7550003389582629</c:v>
                </c:pt>
                <c:pt idx="111">
                  <c:v>1.9537494080508573</c:v>
                </c:pt>
                <c:pt idx="112">
                  <c:v>2.0010000003642765</c:v>
                </c:pt>
                <c:pt idx="113">
                  <c:v>2.0010000003642765</c:v>
                </c:pt>
                <c:pt idx="114">
                  <c:v>1.5927008464459691</c:v>
                </c:pt>
                <c:pt idx="115">
                  <c:v>1.6133972289173037</c:v>
                </c:pt>
                <c:pt idx="116">
                  <c:v>1.6220494145183697</c:v>
                </c:pt>
                <c:pt idx="117">
                  <c:v>1.6541152008080666</c:v>
                </c:pt>
                <c:pt idx="118">
                  <c:v>1.7204671414255646</c:v>
                </c:pt>
                <c:pt idx="119">
                  <c:v>1.7495043865944548</c:v>
                </c:pt>
                <c:pt idx="120">
                  <c:v>1.6729995543478593</c:v>
                </c:pt>
                <c:pt idx="121">
                  <c:v>1.7379993006787695</c:v>
                </c:pt>
                <c:pt idx="122">
                  <c:v>1.799999463470491</c:v>
                </c:pt>
                <c:pt idx="123">
                  <c:v>1.8547792210840524</c:v>
                </c:pt>
                <c:pt idx="124">
                  <c:v>1.8502492954251675</c:v>
                </c:pt>
                <c:pt idx="125">
                  <c:v>1.7888000758644671</c:v>
                </c:pt>
                <c:pt idx="126">
                  <c:v>1.7663419542183736</c:v>
                </c:pt>
                <c:pt idx="127">
                  <c:v>1.8080946694804287</c:v>
                </c:pt>
                <c:pt idx="128">
                  <c:v>1.8080946694804287</c:v>
                </c:pt>
                <c:pt idx="129">
                  <c:v>1.9228595719570185</c:v>
                </c:pt>
                <c:pt idx="130">
                  <c:v>1.9590599627773286</c:v>
                </c:pt>
                <c:pt idx="131">
                  <c:v>1.8928599977940437</c:v>
                </c:pt>
                <c:pt idx="132">
                  <c:v>1.8589553200084914</c:v>
                </c:pt>
                <c:pt idx="133">
                  <c:v>1.7783001131208938</c:v>
                </c:pt>
                <c:pt idx="134">
                  <c:v>1.5163296185630466</c:v>
                </c:pt>
                <c:pt idx="135">
                  <c:v>1.589129560072235</c:v>
                </c:pt>
                <c:pt idx="136">
                  <c:v>1.5920803299737665</c:v>
                </c:pt>
                <c:pt idx="137">
                  <c:v>1.5831255849147541</c:v>
                </c:pt>
                <c:pt idx="138">
                  <c:v>1.5859295657791037</c:v>
                </c:pt>
                <c:pt idx="139">
                  <c:v>1.5857294104483168</c:v>
                </c:pt>
                <c:pt idx="140">
                  <c:v>1.6894794923778631</c:v>
                </c:pt>
                <c:pt idx="141">
                  <c:v>1.6934996202256347</c:v>
                </c:pt>
                <c:pt idx="142">
                  <c:v>1.6930395780335787</c:v>
                </c:pt>
                <c:pt idx="143">
                  <c:v>1.7431975532039952</c:v>
                </c:pt>
                <c:pt idx="144">
                  <c:v>1.7307695064108601</c:v>
                </c:pt>
                <c:pt idx="145">
                  <c:v>1.8062494671729978</c:v>
                </c:pt>
                <c:pt idx="146">
                  <c:v>1.8083501003858191</c:v>
                </c:pt>
                <c:pt idx="147">
                  <c:v>1.8540001574325635</c:v>
                </c:pt>
                <c:pt idx="148">
                  <c:v>1.8321995222325425</c:v>
                </c:pt>
                <c:pt idx="149">
                  <c:v>1.7644995304173847</c:v>
                </c:pt>
                <c:pt idx="150">
                  <c:v>1.8609993080970877</c:v>
                </c:pt>
                <c:pt idx="151">
                  <c:v>1.8849998558845866</c:v>
                </c:pt>
                <c:pt idx="152">
                  <c:v>1.8413900784185617</c:v>
                </c:pt>
                <c:pt idx="153">
                  <c:v>1.5638389144445466</c:v>
                </c:pt>
                <c:pt idx="154">
                  <c:v>1.6515968963607683</c:v>
                </c:pt>
                <c:pt idx="155">
                  <c:v>1.6509958931283946</c:v>
                </c:pt>
                <c:pt idx="156">
                  <c:v>1.7200015076685546</c:v>
                </c:pt>
                <c:pt idx="157">
                  <c:v>1.5709888973442334</c:v>
                </c:pt>
                <c:pt idx="158">
                  <c:v>1.6700288682364963</c:v>
                </c:pt>
                <c:pt idx="159">
                  <c:v>1.6476888244961745</c:v>
                </c:pt>
                <c:pt idx="160">
                  <c:v>1.7846957315764465</c:v>
                </c:pt>
                <c:pt idx="161">
                  <c:v>1.6935008788493224</c:v>
                </c:pt>
                <c:pt idx="162">
                  <c:v>1.7569978539405489</c:v>
                </c:pt>
                <c:pt idx="163">
                  <c:v>1.8043978128212881</c:v>
                </c:pt>
                <c:pt idx="164">
                  <c:v>1.6945294924279195</c:v>
                </c:pt>
                <c:pt idx="165">
                  <c:v>1.4874894868342756</c:v>
                </c:pt>
                <c:pt idx="166">
                  <c:v>1.4969972274005203</c:v>
                </c:pt>
                <c:pt idx="167">
                  <c:v>1.4971026214040963</c:v>
                </c:pt>
                <c:pt idx="168">
                  <c:v>1.458597231695097</c:v>
                </c:pt>
                <c:pt idx="169">
                  <c:v>1.4370005605782559</c:v>
                </c:pt>
                <c:pt idx="170">
                  <c:v>1.5539673481543672</c:v>
                </c:pt>
                <c:pt idx="171">
                  <c:v>1.5928242844404696</c:v>
                </c:pt>
                <c:pt idx="172">
                  <c:v>1.5941013903364352</c:v>
                </c:pt>
                <c:pt idx="173">
                  <c:v>1.5714396305991443</c:v>
                </c:pt>
                <c:pt idx="174">
                  <c:v>1.5503230748471186</c:v>
                </c:pt>
                <c:pt idx="175">
                  <c:v>1.4807085526700769</c:v>
                </c:pt>
                <c:pt idx="176">
                  <c:v>1.6179979152019208</c:v>
                </c:pt>
                <c:pt idx="177">
                  <c:v>1.6199663490014107</c:v>
                </c:pt>
                <c:pt idx="178">
                  <c:v>1.5934930923134489</c:v>
                </c:pt>
                <c:pt idx="179">
                  <c:v>1.5167982160259881</c:v>
                </c:pt>
                <c:pt idx="180">
                  <c:v>1.5182299256827272</c:v>
                </c:pt>
                <c:pt idx="181">
                  <c:v>1.5688291018777281</c:v>
                </c:pt>
                <c:pt idx="182">
                  <c:v>1.5891287376786898</c:v>
                </c:pt>
                <c:pt idx="183">
                  <c:v>1.6204088924572073</c:v>
                </c:pt>
                <c:pt idx="184">
                  <c:v>1.6584356352853769</c:v>
                </c:pt>
                <c:pt idx="185">
                  <c:v>1.7129998248904119</c:v>
                </c:pt>
                <c:pt idx="186">
                  <c:v>1.6968023412354998</c:v>
                </c:pt>
                <c:pt idx="187">
                  <c:v>1.7550008618125197</c:v>
                </c:pt>
                <c:pt idx="188">
                  <c:v>1.7550000007981292</c:v>
                </c:pt>
                <c:pt idx="189">
                  <c:v>1.7291590962031991</c:v>
                </c:pt>
                <c:pt idx="190">
                  <c:v>1.7291600604177819</c:v>
                </c:pt>
                <c:pt idx="191">
                  <c:v>1.5174199008856428</c:v>
                </c:pt>
                <c:pt idx="192">
                  <c:v>1.5481398782610183</c:v>
                </c:pt>
                <c:pt idx="193">
                  <c:v>1.5407199107549094</c:v>
                </c:pt>
                <c:pt idx="194">
                  <c:v>1.5814398822964624</c:v>
                </c:pt>
                <c:pt idx="195">
                  <c:v>1.5673196535502854</c:v>
                </c:pt>
                <c:pt idx="196">
                  <c:v>1.6200398535395895</c:v>
                </c:pt>
                <c:pt idx="197">
                  <c:v>1.6034198664599437</c:v>
                </c:pt>
                <c:pt idx="198">
                  <c:v>1.7173610988318846</c:v>
                </c:pt>
                <c:pt idx="199">
                  <c:v>1.6476898240085489</c:v>
                </c:pt>
                <c:pt idx="200">
                  <c:v>1.7552010193983711</c:v>
                </c:pt>
                <c:pt idx="201">
                  <c:v>1.6726997974252771</c:v>
                </c:pt>
                <c:pt idx="202">
                  <c:v>1.6889297872092175</c:v>
                </c:pt>
                <c:pt idx="203">
                  <c:v>1.6895985801859992</c:v>
                </c:pt>
                <c:pt idx="204">
                  <c:v>1.7282497741311666</c:v>
                </c:pt>
              </c:numCache>
            </c:numRef>
          </c:xVal>
          <c:yVal>
            <c:numRef>
              <c:f>'Typecode Reference'!$F$3:$F$207</c:f>
              <c:numCache>
                <c:formatCode>0.0000</c:formatCode>
                <c:ptCount val="205"/>
                <c:pt idx="0">
                  <c:v>81.546844660932479</c:v>
                </c:pt>
                <c:pt idx="1">
                  <c:v>94.947134342214298</c:v>
                </c:pt>
                <c:pt idx="2">
                  <c:v>94.662164567568809</c:v>
                </c:pt>
                <c:pt idx="3">
                  <c:v>67.736525519310234</c:v>
                </c:pt>
                <c:pt idx="4">
                  <c:v>74.703997751608128</c:v>
                </c:pt>
                <c:pt idx="5">
                  <c:v>76.453723890856693</c:v>
                </c:pt>
                <c:pt idx="6">
                  <c:v>70.697902437794809</c:v>
                </c:pt>
                <c:pt idx="7">
                  <c:v>70.237067175287734</c:v>
                </c:pt>
                <c:pt idx="8">
                  <c:v>64.142771520600476</c:v>
                </c:pt>
                <c:pt idx="9">
                  <c:v>56.816751921453715</c:v>
                </c:pt>
                <c:pt idx="10">
                  <c:v>57.053399932658891</c:v>
                </c:pt>
                <c:pt idx="11">
                  <c:v>60.641794367739081</c:v>
                </c:pt>
                <c:pt idx="12">
                  <c:v>58.166452186292382</c:v>
                </c:pt>
                <c:pt idx="13">
                  <c:v>60.290293994699766</c:v>
                </c:pt>
                <c:pt idx="14">
                  <c:v>55.380686650034711</c:v>
                </c:pt>
                <c:pt idx="15">
                  <c:v>50.878164612511981</c:v>
                </c:pt>
                <c:pt idx="16">
                  <c:v>49.815652226825435</c:v>
                </c:pt>
                <c:pt idx="17">
                  <c:v>53.024516192229044</c:v>
                </c:pt>
                <c:pt idx="18">
                  <c:v>60.078830031608142</c:v>
                </c:pt>
                <c:pt idx="19">
                  <c:v>58.9027550845639</c:v>
                </c:pt>
                <c:pt idx="20">
                  <c:v>52.431531630348822</c:v>
                </c:pt>
                <c:pt idx="21">
                  <c:v>52.952740625255991</c:v>
                </c:pt>
                <c:pt idx="22">
                  <c:v>59.463181775308371</c:v>
                </c:pt>
                <c:pt idx="23">
                  <c:v>56.364567627656328</c:v>
                </c:pt>
                <c:pt idx="24">
                  <c:v>61.135743477136124</c:v>
                </c:pt>
                <c:pt idx="25">
                  <c:v>59.375374859649561</c:v>
                </c:pt>
                <c:pt idx="26">
                  <c:v>43.707512537941668</c:v>
                </c:pt>
                <c:pt idx="27">
                  <c:v>44.873350019963461</c:v>
                </c:pt>
                <c:pt idx="28">
                  <c:v>48.325830933046404</c:v>
                </c:pt>
                <c:pt idx="29">
                  <c:v>41.239946183895277</c:v>
                </c:pt>
                <c:pt idx="30">
                  <c:v>37.956071469707304</c:v>
                </c:pt>
                <c:pt idx="31">
                  <c:v>63.334253349101168</c:v>
                </c:pt>
                <c:pt idx="32">
                  <c:v>63.322196710854378</c:v>
                </c:pt>
                <c:pt idx="33">
                  <c:v>65.444418060462013</c:v>
                </c:pt>
                <c:pt idx="34">
                  <c:v>45.784833890743862</c:v>
                </c:pt>
                <c:pt idx="35">
                  <c:v>47.227698976429018</c:v>
                </c:pt>
                <c:pt idx="36">
                  <c:v>48.841308037633901</c:v>
                </c:pt>
                <c:pt idx="37">
                  <c:v>40.748066581060101</c:v>
                </c:pt>
                <c:pt idx="38">
                  <c:v>42.817599183731161</c:v>
                </c:pt>
                <c:pt idx="39">
                  <c:v>41.505715996842042</c:v>
                </c:pt>
                <c:pt idx="40">
                  <c:v>36.263828198584825</c:v>
                </c:pt>
                <c:pt idx="41">
                  <c:v>38.027816861425308</c:v>
                </c:pt>
                <c:pt idx="42">
                  <c:v>39.242756627498437</c:v>
                </c:pt>
                <c:pt idx="43">
                  <c:v>32.099609467818134</c:v>
                </c:pt>
                <c:pt idx="44">
                  <c:v>34.466852229510494</c:v>
                </c:pt>
                <c:pt idx="45">
                  <c:v>31.07584163844616</c:v>
                </c:pt>
                <c:pt idx="46">
                  <c:v>30.128245944111814</c:v>
                </c:pt>
                <c:pt idx="47">
                  <c:v>29.518464410723244</c:v>
                </c:pt>
                <c:pt idx="48">
                  <c:v>28.296364085731941</c:v>
                </c:pt>
                <c:pt idx="49">
                  <c:v>27.512438964645373</c:v>
                </c:pt>
                <c:pt idx="50">
                  <c:v>25.425688543988588</c:v>
                </c:pt>
                <c:pt idx="51">
                  <c:v>28.460960305019999</c:v>
                </c:pt>
                <c:pt idx="52">
                  <c:v>25.683774838457573</c:v>
                </c:pt>
                <c:pt idx="53">
                  <c:v>27.789712706147007</c:v>
                </c:pt>
                <c:pt idx="54">
                  <c:v>26.518223653500911</c:v>
                </c:pt>
                <c:pt idx="55">
                  <c:v>29.232700573233874</c:v>
                </c:pt>
                <c:pt idx="56">
                  <c:v>23.778245460006783</c:v>
                </c:pt>
                <c:pt idx="57">
                  <c:v>23.778245460006783</c:v>
                </c:pt>
                <c:pt idx="58">
                  <c:v>23.86414366347055</c:v>
                </c:pt>
                <c:pt idx="59">
                  <c:v>24.114710753865129</c:v>
                </c:pt>
                <c:pt idx="60">
                  <c:v>58.5451462052606</c:v>
                </c:pt>
                <c:pt idx="61">
                  <c:v>53.867696805828494</c:v>
                </c:pt>
                <c:pt idx="62">
                  <c:v>54.823226492555712</c:v>
                </c:pt>
                <c:pt idx="63">
                  <c:v>50.231163622147136</c:v>
                </c:pt>
                <c:pt idx="64">
                  <c:v>55.341852314249884</c:v>
                </c:pt>
                <c:pt idx="65">
                  <c:v>55.347541833773562</c:v>
                </c:pt>
                <c:pt idx="66">
                  <c:v>55.532897002712772</c:v>
                </c:pt>
                <c:pt idx="67">
                  <c:v>54.680659658866752</c:v>
                </c:pt>
                <c:pt idx="68">
                  <c:v>54.593414719264238</c:v>
                </c:pt>
                <c:pt idx="69">
                  <c:v>54.095863374697636</c:v>
                </c:pt>
                <c:pt idx="70">
                  <c:v>51.11279807985747</c:v>
                </c:pt>
                <c:pt idx="71">
                  <c:v>52.380028097955758</c:v>
                </c:pt>
                <c:pt idx="72">
                  <c:v>56.239042527320947</c:v>
                </c:pt>
                <c:pt idx="73">
                  <c:v>50.811260945358818</c:v>
                </c:pt>
                <c:pt idx="74">
                  <c:v>51.471182164227976</c:v>
                </c:pt>
                <c:pt idx="75">
                  <c:v>52.637126471728891</c:v>
                </c:pt>
                <c:pt idx="76">
                  <c:v>52.602574978217277</c:v>
                </c:pt>
                <c:pt idx="77">
                  <c:v>44.786974351776742</c:v>
                </c:pt>
                <c:pt idx="78">
                  <c:v>47.928547466743851</c:v>
                </c:pt>
                <c:pt idx="79">
                  <c:v>35.283835230128716</c:v>
                </c:pt>
                <c:pt idx="80">
                  <c:v>40.100668871073019</c:v>
                </c:pt>
                <c:pt idx="81">
                  <c:v>49.340034170526877</c:v>
                </c:pt>
                <c:pt idx="82">
                  <c:v>34.967837161904718</c:v>
                </c:pt>
                <c:pt idx="83">
                  <c:v>37.089908662322408</c:v>
                </c:pt>
                <c:pt idx="84">
                  <c:v>44.20317204436774</c:v>
                </c:pt>
                <c:pt idx="85">
                  <c:v>42.225520097363649</c:v>
                </c:pt>
                <c:pt idx="86">
                  <c:v>42.240019907190167</c:v>
                </c:pt>
                <c:pt idx="87">
                  <c:v>40.926495645030677</c:v>
                </c:pt>
                <c:pt idx="88">
                  <c:v>40.930290677904935</c:v>
                </c:pt>
                <c:pt idx="89">
                  <c:v>42.725842011049998</c:v>
                </c:pt>
                <c:pt idx="90">
                  <c:v>42.744198644227495</c:v>
                </c:pt>
                <c:pt idx="91">
                  <c:v>40.765603028370677</c:v>
                </c:pt>
                <c:pt idx="92">
                  <c:v>46.621121266208654</c:v>
                </c:pt>
                <c:pt idx="93">
                  <c:v>37.160944664381319</c:v>
                </c:pt>
                <c:pt idx="94">
                  <c:v>37.172557039240338</c:v>
                </c:pt>
                <c:pt idx="95">
                  <c:v>37.207314672122195</c:v>
                </c:pt>
                <c:pt idx="96">
                  <c:v>39.580975287905481</c:v>
                </c:pt>
                <c:pt idx="97">
                  <c:v>47.369090177762786</c:v>
                </c:pt>
                <c:pt idx="98">
                  <c:v>46.583991735193997</c:v>
                </c:pt>
                <c:pt idx="99">
                  <c:v>46.528091976878208</c:v>
                </c:pt>
                <c:pt idx="100">
                  <c:v>49.598963505509388</c:v>
                </c:pt>
                <c:pt idx="101">
                  <c:v>49.548505418982884</c:v>
                </c:pt>
                <c:pt idx="102">
                  <c:v>32.270523393501108</c:v>
                </c:pt>
                <c:pt idx="103">
                  <c:v>28.273636001302581</c:v>
                </c:pt>
                <c:pt idx="104">
                  <c:v>31.604543032570483</c:v>
                </c:pt>
                <c:pt idx="105">
                  <c:v>40.782766316094651</c:v>
                </c:pt>
                <c:pt idx="106">
                  <c:v>37.134481055739833</c:v>
                </c:pt>
                <c:pt idx="107">
                  <c:v>35.037260217666699</c:v>
                </c:pt>
                <c:pt idx="108">
                  <c:v>31.343458393234734</c:v>
                </c:pt>
                <c:pt idx="109">
                  <c:v>48.489276235073305</c:v>
                </c:pt>
                <c:pt idx="110">
                  <c:v>52.319439110964339</c:v>
                </c:pt>
                <c:pt idx="111">
                  <c:v>32.325130043940511</c:v>
                </c:pt>
                <c:pt idx="112">
                  <c:v>29.139840134036849</c:v>
                </c:pt>
                <c:pt idx="113">
                  <c:v>29.139840134036849</c:v>
                </c:pt>
                <c:pt idx="114">
                  <c:v>35.310516152525217</c:v>
                </c:pt>
                <c:pt idx="115">
                  <c:v>44.268241579702654</c:v>
                </c:pt>
                <c:pt idx="116">
                  <c:v>41.079824446041634</c:v>
                </c:pt>
                <c:pt idx="117">
                  <c:v>39.683279924419061</c:v>
                </c:pt>
                <c:pt idx="118">
                  <c:v>34.70841337379705</c:v>
                </c:pt>
                <c:pt idx="119">
                  <c:v>35.332916257604339</c:v>
                </c:pt>
                <c:pt idx="120">
                  <c:v>38.25654612761879</c:v>
                </c:pt>
                <c:pt idx="121">
                  <c:v>32.326992567714512</c:v>
                </c:pt>
                <c:pt idx="122">
                  <c:v>29.845064835575876</c:v>
                </c:pt>
                <c:pt idx="123">
                  <c:v>24.799296052244362</c:v>
                </c:pt>
                <c:pt idx="124">
                  <c:v>30.046807103392066</c:v>
                </c:pt>
                <c:pt idx="125">
                  <c:v>28.429008278803753</c:v>
                </c:pt>
                <c:pt idx="126">
                  <c:v>35.823871730249635</c:v>
                </c:pt>
                <c:pt idx="127">
                  <c:v>22.761112101380657</c:v>
                </c:pt>
                <c:pt idx="128">
                  <c:v>22.761112101380657</c:v>
                </c:pt>
                <c:pt idx="129">
                  <c:v>18.897162025186191</c:v>
                </c:pt>
                <c:pt idx="130">
                  <c:v>17.471485305976429</c:v>
                </c:pt>
                <c:pt idx="131">
                  <c:v>20.362076310461269</c:v>
                </c:pt>
                <c:pt idx="132">
                  <c:v>22.729031031505563</c:v>
                </c:pt>
                <c:pt idx="133">
                  <c:v>23.91190651375025</c:v>
                </c:pt>
                <c:pt idx="134">
                  <c:v>64.065875674363241</c:v>
                </c:pt>
                <c:pt idx="135">
                  <c:v>61.153318143224965</c:v>
                </c:pt>
                <c:pt idx="136">
                  <c:v>60.994712931308534</c:v>
                </c:pt>
                <c:pt idx="137">
                  <c:v>59.386395180254262</c:v>
                </c:pt>
                <c:pt idx="138">
                  <c:v>59.248993881528996</c:v>
                </c:pt>
                <c:pt idx="139">
                  <c:v>59.69768343166065</c:v>
                </c:pt>
                <c:pt idx="140">
                  <c:v>31.023789345369526</c:v>
                </c:pt>
                <c:pt idx="141">
                  <c:v>53.186431760657797</c:v>
                </c:pt>
                <c:pt idx="142">
                  <c:v>52.93122839740392</c:v>
                </c:pt>
                <c:pt idx="143">
                  <c:v>49.296167974930512</c:v>
                </c:pt>
                <c:pt idx="144">
                  <c:v>40.508651616900728</c:v>
                </c:pt>
                <c:pt idx="145">
                  <c:v>40.907800266945117</c:v>
                </c:pt>
                <c:pt idx="146">
                  <c:v>40.548997076013265</c:v>
                </c:pt>
                <c:pt idx="147">
                  <c:v>40.37886014759026</c:v>
                </c:pt>
                <c:pt idx="148">
                  <c:v>40.098085025296207</c:v>
                </c:pt>
                <c:pt idx="149">
                  <c:v>49.097500525966964</c:v>
                </c:pt>
                <c:pt idx="150">
                  <c:v>37.09822415667287</c:v>
                </c:pt>
                <c:pt idx="151">
                  <c:v>30.164174612227082</c:v>
                </c:pt>
                <c:pt idx="152">
                  <c:v>24.559372959381275</c:v>
                </c:pt>
                <c:pt idx="153">
                  <c:v>60.667288675467688</c:v>
                </c:pt>
                <c:pt idx="154">
                  <c:v>58.551346032757174</c:v>
                </c:pt>
                <c:pt idx="155">
                  <c:v>56.164384909067905</c:v>
                </c:pt>
                <c:pt idx="156">
                  <c:v>46.025128769348207</c:v>
                </c:pt>
                <c:pt idx="157">
                  <c:v>50.800469201328035</c:v>
                </c:pt>
                <c:pt idx="158">
                  <c:v>47.231487440617222</c:v>
                </c:pt>
                <c:pt idx="159">
                  <c:v>33.793225463075558</c:v>
                </c:pt>
                <c:pt idx="160">
                  <c:v>26.291557253491586</c:v>
                </c:pt>
                <c:pt idx="161">
                  <c:v>53.205958630977314</c:v>
                </c:pt>
                <c:pt idx="162">
                  <c:v>47.823744441559022</c:v>
                </c:pt>
                <c:pt idx="163">
                  <c:v>39.586634162225408</c:v>
                </c:pt>
                <c:pt idx="164">
                  <c:v>30.656378065823571</c:v>
                </c:pt>
                <c:pt idx="165">
                  <c:v>70.441981615346577</c:v>
                </c:pt>
                <c:pt idx="166">
                  <c:v>81.609338867295563</c:v>
                </c:pt>
                <c:pt idx="167">
                  <c:v>81.560538997994428</c:v>
                </c:pt>
                <c:pt idx="168">
                  <c:v>90.195979557961806</c:v>
                </c:pt>
                <c:pt idx="169">
                  <c:v>95.101497339120698</c:v>
                </c:pt>
                <c:pt idx="170">
                  <c:v>71.762352755064896</c:v>
                </c:pt>
                <c:pt idx="171">
                  <c:v>68.625190919574877</c:v>
                </c:pt>
                <c:pt idx="172">
                  <c:v>60.475408544928001</c:v>
                </c:pt>
                <c:pt idx="173">
                  <c:v>71.616620856964005</c:v>
                </c:pt>
                <c:pt idx="174">
                  <c:v>75.497227339899098</c:v>
                </c:pt>
                <c:pt idx="175">
                  <c:v>85.297025940146852</c:v>
                </c:pt>
                <c:pt idx="176">
                  <c:v>63.396604110053339</c:v>
                </c:pt>
                <c:pt idx="177">
                  <c:v>63.880720723193605</c:v>
                </c:pt>
                <c:pt idx="178">
                  <c:v>67.002631026534914</c:v>
                </c:pt>
                <c:pt idx="179">
                  <c:v>64.199006677264492</c:v>
                </c:pt>
                <c:pt idx="180">
                  <c:v>58.961579914903972</c:v>
                </c:pt>
                <c:pt idx="181">
                  <c:v>56.044789264357206</c:v>
                </c:pt>
                <c:pt idx="182">
                  <c:v>61.253339064275551</c:v>
                </c:pt>
                <c:pt idx="183">
                  <c:v>60.344559093863069</c:v>
                </c:pt>
                <c:pt idx="184">
                  <c:v>50.855201418297376</c:v>
                </c:pt>
                <c:pt idx="185">
                  <c:v>53.93949056535773</c:v>
                </c:pt>
                <c:pt idx="186">
                  <c:v>55.46034796386013</c:v>
                </c:pt>
                <c:pt idx="187">
                  <c:v>52.318448485475685</c:v>
                </c:pt>
                <c:pt idx="188">
                  <c:v>52.323469565240309</c:v>
                </c:pt>
                <c:pt idx="189">
                  <c:v>54.538176708208205</c:v>
                </c:pt>
                <c:pt idx="190">
                  <c:v>54.674159882718605</c:v>
                </c:pt>
                <c:pt idx="191">
                  <c:v>52.151432255089226</c:v>
                </c:pt>
                <c:pt idx="192">
                  <c:v>45.821286012394708</c:v>
                </c:pt>
                <c:pt idx="193">
                  <c:v>47.20132044930147</c:v>
                </c:pt>
                <c:pt idx="194">
                  <c:v>40.891164705064483</c:v>
                </c:pt>
                <c:pt idx="195">
                  <c:v>42.842308114992854</c:v>
                </c:pt>
                <c:pt idx="196">
                  <c:v>36.301050123506045</c:v>
                </c:pt>
                <c:pt idx="197">
                  <c:v>38.011091292179586</c:v>
                </c:pt>
                <c:pt idx="198">
                  <c:v>29.501185363434487</c:v>
                </c:pt>
                <c:pt idx="199">
                  <c:v>33.840988096025463</c:v>
                </c:pt>
                <c:pt idx="200">
                  <c:v>27.530614208633949</c:v>
                </c:pt>
                <c:pt idx="201">
                  <c:v>32.170945082921094</c:v>
                </c:pt>
                <c:pt idx="202">
                  <c:v>31.16091888981515</c:v>
                </c:pt>
                <c:pt idx="203">
                  <c:v>31.138854178557565</c:v>
                </c:pt>
                <c:pt idx="204">
                  <c:v>28.321174728682873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D3-432C-9FAE-B711195B1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536096"/>
        <c:axId val="1132542336"/>
      </c:scatterChart>
      <c:valAx>
        <c:axId val="1132536096"/>
        <c:scaling>
          <c:orientation val="minMax"/>
          <c:min val="1.4"/>
        </c:scaling>
        <c:delete val="0"/>
        <c:axPos val="b"/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42336"/>
        <c:crosses val="autoZero"/>
        <c:crossBetween val="midCat"/>
      </c:valAx>
      <c:valAx>
        <c:axId val="1132542336"/>
        <c:scaling>
          <c:orientation val="minMax"/>
          <c:max val="100"/>
          <c:min val="10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3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9CCFF"/>
              </a:solidFill>
              <a:ln w="12700">
                <a:noFill/>
              </a:ln>
              <a:effectLst/>
            </c:spPr>
          </c:marker>
          <c:xVal>
            <c:numRef>
              <c:f>'Typecode Reference'!$E$3:$E$1196</c:f>
              <c:numCache>
                <c:formatCode>0.00000</c:formatCode>
                <c:ptCount val="1194"/>
                <c:pt idx="0">
                  <c:v>1.4969992887025918</c:v>
                </c:pt>
                <c:pt idx="1">
                  <c:v>1.4387504366578638</c:v>
                </c:pt>
                <c:pt idx="2">
                  <c:v>1.4387495559841681</c:v>
                </c:pt>
                <c:pt idx="3">
                  <c:v>1.5952195886349441</c:v>
                </c:pt>
                <c:pt idx="4">
                  <c:v>1.5377503559610455</c:v>
                </c:pt>
                <c:pt idx="5">
                  <c:v>1.5284102380134093</c:v>
                </c:pt>
                <c:pt idx="6">
                  <c:v>1.552000221071218</c:v>
                </c:pt>
                <c:pt idx="7">
                  <c:v>1.4874899347705814</c:v>
                </c:pt>
                <c:pt idx="8">
                  <c:v>1.5163299247610003</c:v>
                </c:pt>
                <c:pt idx="9">
                  <c:v>1.607378900759777</c:v>
                </c:pt>
                <c:pt idx="10">
                  <c:v>1.6227988987053308</c:v>
                </c:pt>
                <c:pt idx="11">
                  <c:v>1.603111906702082</c:v>
                </c:pt>
                <c:pt idx="12">
                  <c:v>1.6229919004965481</c:v>
                </c:pt>
                <c:pt idx="13">
                  <c:v>1.6204109055273606</c:v>
                </c:pt>
                <c:pt idx="14">
                  <c:v>1.6385392134302019</c:v>
                </c:pt>
                <c:pt idx="15">
                  <c:v>1.6584408791284042</c:v>
                </c:pt>
                <c:pt idx="16">
                  <c:v>1.6177218860921623</c:v>
                </c:pt>
                <c:pt idx="17">
                  <c:v>1.648497887597439</c:v>
                </c:pt>
                <c:pt idx="18">
                  <c:v>1.6399986288331736</c:v>
                </c:pt>
                <c:pt idx="19">
                  <c:v>1.5182289181628896</c:v>
                </c:pt>
                <c:pt idx="20">
                  <c:v>1.5174169103124557</c:v>
                </c:pt>
                <c:pt idx="21">
                  <c:v>1.5713509003250168</c:v>
                </c:pt>
                <c:pt idx="22">
                  <c:v>1.5399559155673501</c:v>
                </c:pt>
                <c:pt idx="23">
                  <c:v>1.568831907243287</c:v>
                </c:pt>
                <c:pt idx="24">
                  <c:v>1.5891299100852163</c:v>
                </c:pt>
                <c:pt idx="25">
                  <c:v>1.5831259077614146</c:v>
                </c:pt>
                <c:pt idx="26">
                  <c:v>1.6056198730760591</c:v>
                </c:pt>
                <c:pt idx="27">
                  <c:v>1.6392998679096547</c:v>
                </c:pt>
                <c:pt idx="28">
                  <c:v>1.6667178714877489</c:v>
                </c:pt>
                <c:pt idx="29">
                  <c:v>1.7015358430257039</c:v>
                </c:pt>
                <c:pt idx="30">
                  <c:v>1.7234198245400043</c:v>
                </c:pt>
                <c:pt idx="31">
                  <c:v>1.617999910005915</c:v>
                </c:pt>
                <c:pt idx="32">
                  <c:v>1.6179994410602725</c:v>
                </c:pt>
                <c:pt idx="33">
                  <c:v>1.6030009141265951</c:v>
                </c:pt>
                <c:pt idx="34">
                  <c:v>1.5481408908508596</c:v>
                </c:pt>
                <c:pt idx="35">
                  <c:v>1.5407198951272876</c:v>
                </c:pt>
                <c:pt idx="36">
                  <c:v>1.5317168997278929</c:v>
                </c:pt>
                <c:pt idx="37">
                  <c:v>1.5814388695121209</c:v>
                </c:pt>
                <c:pt idx="38">
                  <c:v>1.5673218769429433</c:v>
                </c:pt>
                <c:pt idx="39">
                  <c:v>1.5750058719309001</c:v>
                </c:pt>
                <c:pt idx="40">
                  <c:v>1.6200408445102541</c:v>
                </c:pt>
                <c:pt idx="41">
                  <c:v>1.6034198547986358</c:v>
                </c:pt>
                <c:pt idx="42">
                  <c:v>1.5955088621273674</c:v>
                </c:pt>
                <c:pt idx="43">
                  <c:v>1.6726998104731583</c:v>
                </c:pt>
                <c:pt idx="44">
                  <c:v>1.639798832218039</c:v>
                </c:pt>
                <c:pt idx="45">
                  <c:v>1.6889307984075972</c:v>
                </c:pt>
                <c:pt idx="46">
                  <c:v>1.6989467910127098</c:v>
                </c:pt>
                <c:pt idx="47">
                  <c:v>1.71736180990342</c:v>
                </c:pt>
                <c:pt idx="48">
                  <c:v>1.7399981284127659</c:v>
                </c:pt>
                <c:pt idx="49">
                  <c:v>1.7551987536141336</c:v>
                </c:pt>
                <c:pt idx="50">
                  <c:v>1.8051807136112414</c:v>
                </c:pt>
                <c:pt idx="51">
                  <c:v>1.728249770106842</c:v>
                </c:pt>
                <c:pt idx="52">
                  <c:v>1.7847227253040887</c:v>
                </c:pt>
                <c:pt idx="53">
                  <c:v>1.740768758444307</c:v>
                </c:pt>
                <c:pt idx="54">
                  <c:v>1.7618207428267976</c:v>
                </c:pt>
                <c:pt idx="55">
                  <c:v>1.7215067758948663</c:v>
                </c:pt>
                <c:pt idx="56">
                  <c:v>1.846659679775239</c:v>
                </c:pt>
                <c:pt idx="57">
                  <c:v>1.846659679775239</c:v>
                </c:pt>
                <c:pt idx="58">
                  <c:v>1.8466592293329231</c:v>
                </c:pt>
                <c:pt idx="59">
                  <c:v>1.9629999430055658</c:v>
                </c:pt>
                <c:pt idx="60">
                  <c:v>1.6516001859771898</c:v>
                </c:pt>
                <c:pt idx="61">
                  <c:v>1.7129948783370617</c:v>
                </c:pt>
                <c:pt idx="62">
                  <c:v>1.6910018821647599</c:v>
                </c:pt>
                <c:pt idx="63">
                  <c:v>1.7199953010019078</c:v>
                </c:pt>
                <c:pt idx="64">
                  <c:v>1.6778998865801633</c:v>
                </c:pt>
                <c:pt idx="65">
                  <c:v>1.6779002521496926</c:v>
                </c:pt>
                <c:pt idx="66">
                  <c:v>1.6967968826138047</c:v>
                </c:pt>
                <c:pt idx="67">
                  <c:v>1.7291568774075483</c:v>
                </c:pt>
                <c:pt idx="68">
                  <c:v>1.7291564088335576</c:v>
                </c:pt>
                <c:pt idx="69">
                  <c:v>1.7291595240841462</c:v>
                </c:pt>
                <c:pt idx="70">
                  <c:v>1.6993002704427389</c:v>
                </c:pt>
                <c:pt idx="71">
                  <c:v>1.7029995174107686</c:v>
                </c:pt>
                <c:pt idx="72">
                  <c:v>1.6510001794516234</c:v>
                </c:pt>
                <c:pt idx="73">
                  <c:v>1.6934950481562243</c:v>
                </c:pt>
                <c:pt idx="74">
                  <c:v>1.7339968686234626</c:v>
                </c:pt>
                <c:pt idx="75">
                  <c:v>1.7409988698129859</c:v>
                </c:pt>
                <c:pt idx="76">
                  <c:v>1.740999440750816</c:v>
                </c:pt>
                <c:pt idx="77">
                  <c:v>1.7439968484379726</c:v>
                </c:pt>
                <c:pt idx="78">
                  <c:v>1.7170038607260651</c:v>
                </c:pt>
                <c:pt idx="79">
                  <c:v>1.7494972282288861</c:v>
                </c:pt>
                <c:pt idx="80">
                  <c:v>1.7620008273157655</c:v>
                </c:pt>
                <c:pt idx="81">
                  <c:v>1.7431978603002578</c:v>
                </c:pt>
                <c:pt idx="82">
                  <c:v>1.800998789291492</c:v>
                </c:pt>
                <c:pt idx="83">
                  <c:v>1.7936000734429982</c:v>
                </c:pt>
                <c:pt idx="84">
                  <c:v>1.7858958357466979</c:v>
                </c:pt>
                <c:pt idx="85">
                  <c:v>1.7995158252980348</c:v>
                </c:pt>
                <c:pt idx="86">
                  <c:v>1.7995201381977319</c:v>
                </c:pt>
                <c:pt idx="87">
                  <c:v>1.8060978185383842</c:v>
                </c:pt>
                <c:pt idx="88">
                  <c:v>1.8060993439372577</c:v>
                </c:pt>
                <c:pt idx="89">
                  <c:v>1.8348072123448418</c:v>
                </c:pt>
                <c:pt idx="90">
                  <c:v>1.8348093668196082</c:v>
                </c:pt>
                <c:pt idx="91">
                  <c:v>1.8829969765088193</c:v>
                </c:pt>
                <c:pt idx="92">
                  <c:v>1.8159998391054322</c:v>
                </c:pt>
                <c:pt idx="93">
                  <c:v>1.8339997933652235</c:v>
                </c:pt>
                <c:pt idx="94">
                  <c:v>1.8339993700648298</c:v>
                </c:pt>
                <c:pt idx="95">
                  <c:v>1.8339994841509621</c:v>
                </c:pt>
                <c:pt idx="96">
                  <c:v>1.8044002490164621</c:v>
                </c:pt>
                <c:pt idx="97">
                  <c:v>1.7880008463609149</c:v>
                </c:pt>
                <c:pt idx="98">
                  <c:v>1.8039994992065882</c:v>
                </c:pt>
                <c:pt idx="99">
                  <c:v>1.8039995602556678</c:v>
                </c:pt>
                <c:pt idx="100">
                  <c:v>1.7724988556521304</c:v>
                </c:pt>
                <c:pt idx="101">
                  <c:v>1.772498392759422</c:v>
                </c:pt>
                <c:pt idx="102">
                  <c:v>1.8502589580604893</c:v>
                </c:pt>
                <c:pt idx="103">
                  <c:v>2.0033000682967304</c:v>
                </c:pt>
                <c:pt idx="104">
                  <c:v>1.9164994002814211</c:v>
                </c:pt>
                <c:pt idx="105">
                  <c:v>1.8514995568099992</c:v>
                </c:pt>
                <c:pt idx="106">
                  <c:v>1.891899355726341</c:v>
                </c:pt>
                <c:pt idx="107">
                  <c:v>1.9052499197613004</c:v>
                </c:pt>
                <c:pt idx="108">
                  <c:v>1.9036594110544613</c:v>
                </c:pt>
                <c:pt idx="109">
                  <c:v>1.7638501098155421</c:v>
                </c:pt>
                <c:pt idx="110">
                  <c:v>1.7550003389582629</c:v>
                </c:pt>
                <c:pt idx="111">
                  <c:v>1.9537494080508573</c:v>
                </c:pt>
                <c:pt idx="112">
                  <c:v>2.0010000003642765</c:v>
                </c:pt>
                <c:pt idx="113">
                  <c:v>2.0010000003642765</c:v>
                </c:pt>
                <c:pt idx="114">
                  <c:v>1.5927008464459691</c:v>
                </c:pt>
                <c:pt idx="115">
                  <c:v>1.6133972289173037</c:v>
                </c:pt>
                <c:pt idx="116">
                  <c:v>1.6220494145183697</c:v>
                </c:pt>
                <c:pt idx="117">
                  <c:v>1.6541152008080666</c:v>
                </c:pt>
                <c:pt idx="118">
                  <c:v>1.7204671414255646</c:v>
                </c:pt>
                <c:pt idx="119">
                  <c:v>1.7495043865944548</c:v>
                </c:pt>
                <c:pt idx="120">
                  <c:v>1.6729995543478593</c:v>
                </c:pt>
                <c:pt idx="121">
                  <c:v>1.7379993006787695</c:v>
                </c:pt>
                <c:pt idx="122">
                  <c:v>1.799999463470491</c:v>
                </c:pt>
                <c:pt idx="123">
                  <c:v>1.8547792210840524</c:v>
                </c:pt>
                <c:pt idx="124">
                  <c:v>1.8502492954251675</c:v>
                </c:pt>
                <c:pt idx="125">
                  <c:v>1.7888000758644671</c:v>
                </c:pt>
                <c:pt idx="126">
                  <c:v>1.7663419542183736</c:v>
                </c:pt>
                <c:pt idx="127">
                  <c:v>1.8080946694804287</c:v>
                </c:pt>
                <c:pt idx="128">
                  <c:v>1.8080946694804287</c:v>
                </c:pt>
                <c:pt idx="129">
                  <c:v>1.9228595719570185</c:v>
                </c:pt>
                <c:pt idx="130">
                  <c:v>1.9590599627773286</c:v>
                </c:pt>
                <c:pt idx="131">
                  <c:v>1.8928599977940437</c:v>
                </c:pt>
                <c:pt idx="132">
                  <c:v>1.8589553200084914</c:v>
                </c:pt>
                <c:pt idx="133">
                  <c:v>1.7783001131208938</c:v>
                </c:pt>
                <c:pt idx="134">
                  <c:v>1.5163296185630466</c:v>
                </c:pt>
                <c:pt idx="135">
                  <c:v>1.589129560072235</c:v>
                </c:pt>
                <c:pt idx="136">
                  <c:v>1.5920803299737665</c:v>
                </c:pt>
                <c:pt idx="137">
                  <c:v>1.5831255849147541</c:v>
                </c:pt>
                <c:pt idx="138">
                  <c:v>1.5859295657791037</c:v>
                </c:pt>
                <c:pt idx="139">
                  <c:v>1.5857294104483168</c:v>
                </c:pt>
                <c:pt idx="140">
                  <c:v>1.6894794923778631</c:v>
                </c:pt>
                <c:pt idx="141">
                  <c:v>1.6934996202256347</c:v>
                </c:pt>
                <c:pt idx="142">
                  <c:v>1.6930395780335787</c:v>
                </c:pt>
                <c:pt idx="143">
                  <c:v>1.7431975532039952</c:v>
                </c:pt>
                <c:pt idx="144">
                  <c:v>1.7307695064108601</c:v>
                </c:pt>
                <c:pt idx="145">
                  <c:v>1.8062494671729978</c:v>
                </c:pt>
                <c:pt idx="146">
                  <c:v>1.8083501003858191</c:v>
                </c:pt>
                <c:pt idx="147">
                  <c:v>1.8540001574325635</c:v>
                </c:pt>
                <c:pt idx="148">
                  <c:v>1.8321995222325425</c:v>
                </c:pt>
                <c:pt idx="149">
                  <c:v>1.7644995304173847</c:v>
                </c:pt>
                <c:pt idx="150">
                  <c:v>1.8609993080970877</c:v>
                </c:pt>
                <c:pt idx="151">
                  <c:v>1.8849998558845866</c:v>
                </c:pt>
                <c:pt idx="152">
                  <c:v>1.8413900784185617</c:v>
                </c:pt>
                <c:pt idx="153">
                  <c:v>1.5638389144445466</c:v>
                </c:pt>
                <c:pt idx="154">
                  <c:v>1.6515968963607683</c:v>
                </c:pt>
                <c:pt idx="155">
                  <c:v>1.6509958931283946</c:v>
                </c:pt>
                <c:pt idx="156">
                  <c:v>1.7200015076685546</c:v>
                </c:pt>
                <c:pt idx="157">
                  <c:v>1.5709888973442334</c:v>
                </c:pt>
                <c:pt idx="158">
                  <c:v>1.6700288682364963</c:v>
                </c:pt>
                <c:pt idx="159">
                  <c:v>1.6476888244961745</c:v>
                </c:pt>
                <c:pt idx="160">
                  <c:v>1.7846957315764465</c:v>
                </c:pt>
                <c:pt idx="161">
                  <c:v>1.6935008788493224</c:v>
                </c:pt>
                <c:pt idx="162">
                  <c:v>1.7569978539405489</c:v>
                </c:pt>
                <c:pt idx="163">
                  <c:v>1.8043978128212881</c:v>
                </c:pt>
                <c:pt idx="164">
                  <c:v>1.6945294924279195</c:v>
                </c:pt>
                <c:pt idx="165">
                  <c:v>1.4874894868342756</c:v>
                </c:pt>
                <c:pt idx="166">
                  <c:v>1.4969972274005203</c:v>
                </c:pt>
                <c:pt idx="167">
                  <c:v>1.4971026214040963</c:v>
                </c:pt>
                <c:pt idx="168">
                  <c:v>1.458597231695097</c:v>
                </c:pt>
                <c:pt idx="169">
                  <c:v>1.4370005605782559</c:v>
                </c:pt>
                <c:pt idx="170">
                  <c:v>1.5539673481543672</c:v>
                </c:pt>
                <c:pt idx="171">
                  <c:v>1.5928242844404696</c:v>
                </c:pt>
                <c:pt idx="172">
                  <c:v>1.5941013903364352</c:v>
                </c:pt>
                <c:pt idx="173">
                  <c:v>1.5714396305991443</c:v>
                </c:pt>
                <c:pt idx="174">
                  <c:v>1.5503230748471186</c:v>
                </c:pt>
                <c:pt idx="175">
                  <c:v>1.4807085526700769</c:v>
                </c:pt>
                <c:pt idx="176">
                  <c:v>1.6179979152019208</c:v>
                </c:pt>
                <c:pt idx="177">
                  <c:v>1.6199663490014107</c:v>
                </c:pt>
                <c:pt idx="178">
                  <c:v>1.5934930923134489</c:v>
                </c:pt>
                <c:pt idx="179">
                  <c:v>1.5167982160259881</c:v>
                </c:pt>
                <c:pt idx="180">
                  <c:v>1.5182299256827272</c:v>
                </c:pt>
                <c:pt idx="181">
                  <c:v>1.5688291018777281</c:v>
                </c:pt>
                <c:pt idx="182">
                  <c:v>1.5891287376786898</c:v>
                </c:pt>
                <c:pt idx="183">
                  <c:v>1.6204088924572073</c:v>
                </c:pt>
                <c:pt idx="184">
                  <c:v>1.6584356352853769</c:v>
                </c:pt>
                <c:pt idx="185">
                  <c:v>1.7129998248904119</c:v>
                </c:pt>
                <c:pt idx="186">
                  <c:v>1.6968023412354998</c:v>
                </c:pt>
                <c:pt idx="187">
                  <c:v>1.7550008618125197</c:v>
                </c:pt>
                <c:pt idx="188">
                  <c:v>1.7550000007981292</c:v>
                </c:pt>
                <c:pt idx="189">
                  <c:v>1.7291590962031991</c:v>
                </c:pt>
                <c:pt idx="190">
                  <c:v>1.7291600604177819</c:v>
                </c:pt>
                <c:pt idx="191">
                  <c:v>1.5174199008856428</c:v>
                </c:pt>
                <c:pt idx="192">
                  <c:v>1.5481398782610183</c:v>
                </c:pt>
                <c:pt idx="193">
                  <c:v>1.5407199107549094</c:v>
                </c:pt>
                <c:pt idx="194">
                  <c:v>1.5814398822964624</c:v>
                </c:pt>
                <c:pt idx="195">
                  <c:v>1.5673196535502854</c:v>
                </c:pt>
                <c:pt idx="196">
                  <c:v>1.6200398535395895</c:v>
                </c:pt>
                <c:pt idx="197">
                  <c:v>1.6034198664599437</c:v>
                </c:pt>
                <c:pt idx="198">
                  <c:v>1.7173610988318846</c:v>
                </c:pt>
                <c:pt idx="199">
                  <c:v>1.6476898240085489</c:v>
                </c:pt>
                <c:pt idx="200">
                  <c:v>1.7552010193983711</c:v>
                </c:pt>
                <c:pt idx="201">
                  <c:v>1.6726997974252771</c:v>
                </c:pt>
                <c:pt idx="202">
                  <c:v>1.6889297872092175</c:v>
                </c:pt>
                <c:pt idx="203">
                  <c:v>1.6895985801859992</c:v>
                </c:pt>
                <c:pt idx="204">
                  <c:v>1.7282497741311666</c:v>
                </c:pt>
                <c:pt idx="205">
                  <c:v>1.7407697729061842</c:v>
                </c:pt>
                <c:pt idx="206">
                  <c:v>1.6989489366759847</c:v>
                </c:pt>
                <c:pt idx="207">
                  <c:v>1.8051807907871866</c:v>
                </c:pt>
                <c:pt idx="208">
                  <c:v>1.8051807907871866</c:v>
                </c:pt>
                <c:pt idx="209">
                  <c:v>1.784719100097037</c:v>
                </c:pt>
                <c:pt idx="210">
                  <c:v>1.7618181501800554</c:v>
                </c:pt>
                <c:pt idx="211">
                  <c:v>1.808088568853792</c:v>
                </c:pt>
                <c:pt idx="212">
                  <c:v>1.6842991175895117</c:v>
                </c:pt>
                <c:pt idx="213">
                  <c:v>1.6242272451389164</c:v>
                </c:pt>
                <c:pt idx="214">
                  <c:v>1.9228596039533761</c:v>
                </c:pt>
                <c:pt idx="215">
                  <c:v>1.9228596039533761</c:v>
                </c:pt>
                <c:pt idx="216">
                  <c:v>2.0027230276638646</c:v>
                </c:pt>
                <c:pt idx="217">
                  <c:v>2.1041991124307344</c:v>
                </c:pt>
                <c:pt idx="218">
                  <c:v>1.9861249317191121</c:v>
                </c:pt>
                <c:pt idx="219">
                  <c:v>1.9861097935536285</c:v>
                </c:pt>
                <c:pt idx="220">
                  <c:v>1.9459445430677251</c:v>
                </c:pt>
                <c:pt idx="221">
                  <c:v>1.9459445430677251</c:v>
                </c:pt>
                <c:pt idx="222">
                  <c:v>1.8696627619547077</c:v>
                </c:pt>
                <c:pt idx="223">
                  <c:v>1.9211887998393677</c:v>
                </c:pt>
                <c:pt idx="224">
                  <c:v>1.9211887998393677</c:v>
                </c:pt>
                <c:pt idx="225">
                  <c:v>1.846661415279965</c:v>
                </c:pt>
                <c:pt idx="226">
                  <c:v>1.8466632447211253</c:v>
                </c:pt>
                <c:pt idx="227">
                  <c:v>1.592702942380821</c:v>
                </c:pt>
                <c:pt idx="228">
                  <c:v>1.7521096960785583</c:v>
                </c:pt>
                <c:pt idx="229">
                  <c:v>1.7015425092957066</c:v>
                </c:pt>
                <c:pt idx="230">
                  <c:v>1.7234167920590242</c:v>
                </c:pt>
                <c:pt idx="231">
                  <c:v>1.7440013511065586</c:v>
                </c:pt>
                <c:pt idx="232">
                  <c:v>1.7170000257710412</c:v>
                </c:pt>
                <c:pt idx="233">
                  <c:v>1.613956879674475</c:v>
                </c:pt>
                <c:pt idx="234">
                  <c:v>1.7432993220525919</c:v>
                </c:pt>
                <c:pt idx="235">
                  <c:v>1.8340005620980686</c:v>
                </c:pt>
                <c:pt idx="236">
                  <c:v>1.7858968721930093</c:v>
                </c:pt>
                <c:pt idx="237">
                  <c:v>1.8061046415226751</c:v>
                </c:pt>
                <c:pt idx="238">
                  <c:v>1.8060993918912092</c:v>
                </c:pt>
                <c:pt idx="239">
                  <c:v>1.8060993918912092</c:v>
                </c:pt>
                <c:pt idx="240">
                  <c:v>1.8545051076323982</c:v>
                </c:pt>
                <c:pt idx="241">
                  <c:v>1.8340126277466535</c:v>
                </c:pt>
                <c:pt idx="242">
                  <c:v>1.9520329514219403</c:v>
                </c:pt>
                <c:pt idx="243">
                  <c:v>1.9011015361626489</c:v>
                </c:pt>
                <c:pt idx="244">
                  <c:v>1.7704696152700778</c:v>
                </c:pt>
                <c:pt idx="245">
                  <c:v>1.8588333026804367</c:v>
                </c:pt>
                <c:pt idx="246">
                  <c:v>1.7303709119416839</c:v>
                </c:pt>
                <c:pt idx="247">
                  <c:v>1.652527877274788</c:v>
                </c:pt>
                <c:pt idx="248">
                  <c:v>1.7725000289724715</c:v>
                </c:pt>
                <c:pt idx="249">
                  <c:v>1.8041982819065512</c:v>
                </c:pt>
                <c:pt idx="250">
                  <c:v>1.790907279656079</c:v>
                </c:pt>
                <c:pt idx="251">
                  <c:v>1.8348069604884218</c:v>
                </c:pt>
                <c:pt idx="252">
                  <c:v>1.9036604858582749</c:v>
                </c:pt>
                <c:pt idx="253">
                  <c:v>1.9036579501459721</c:v>
                </c:pt>
                <c:pt idx="254">
                  <c:v>1.8829998199437255</c:v>
                </c:pt>
                <c:pt idx="255">
                  <c:v>1.8707046284531905</c:v>
                </c:pt>
                <c:pt idx="256">
                  <c:v>1.8810032505126333</c:v>
                </c:pt>
                <c:pt idx="257">
                  <c:v>1.850326099012167</c:v>
                </c:pt>
                <c:pt idx="258">
                  <c:v>1.910817371211933</c:v>
                </c:pt>
                <c:pt idx="259">
                  <c:v>1.9004298177460524</c:v>
                </c:pt>
                <c:pt idx="260">
                  <c:v>2.0006937813448618</c:v>
                </c:pt>
                <c:pt idx="261">
                  <c:v>2.0006937813448618</c:v>
                </c:pt>
                <c:pt idx="262">
                  <c:v>1.9537497165949793</c:v>
                </c:pt>
                <c:pt idx="263">
                  <c:v>1.9537473895039739</c:v>
                </c:pt>
                <c:pt idx="264">
                  <c:v>2.0010029891992205</c:v>
                </c:pt>
                <c:pt idx="265">
                  <c:v>2.0010029891992205</c:v>
                </c:pt>
                <c:pt idx="266">
                  <c:v>2.0508974623943113</c:v>
                </c:pt>
                <c:pt idx="267">
                  <c:v>2.1019979423396755</c:v>
                </c:pt>
                <c:pt idx="268">
                  <c:v>1.4564999692996223</c:v>
                </c:pt>
                <c:pt idx="269">
                  <c:v>1.5928242844404696</c:v>
                </c:pt>
                <c:pt idx="270">
                  <c:v>1.6062499116590967</c:v>
                </c:pt>
                <c:pt idx="271">
                  <c:v>1.6073845138166212</c:v>
                </c:pt>
                <c:pt idx="272">
                  <c:v>1.6127177261169778</c:v>
                </c:pt>
                <c:pt idx="273">
                  <c:v>1.5638398621059415</c:v>
                </c:pt>
                <c:pt idx="274">
                  <c:v>1.6031108162739012</c:v>
                </c:pt>
                <c:pt idx="275">
                  <c:v>1.6229943002598515</c:v>
                </c:pt>
                <c:pt idx="276">
                  <c:v>1.6385424653621741</c:v>
                </c:pt>
                <c:pt idx="277">
                  <c:v>1.6515987831950643</c:v>
                </c:pt>
                <c:pt idx="278">
                  <c:v>1.6909959584467666</c:v>
                </c:pt>
                <c:pt idx="279">
                  <c:v>1.7199983120607181</c:v>
                </c:pt>
                <c:pt idx="280">
                  <c:v>1.6779019407649178</c:v>
                </c:pt>
                <c:pt idx="281">
                  <c:v>1.6935040006380124</c:v>
                </c:pt>
                <c:pt idx="282">
                  <c:v>1.6399997988864639</c:v>
                </c:pt>
                <c:pt idx="283">
                  <c:v>1.5317198852994633</c:v>
                </c:pt>
                <c:pt idx="284">
                  <c:v>1.6258798375601808</c:v>
                </c:pt>
                <c:pt idx="285">
                  <c:v>1.6129298378730121</c:v>
                </c:pt>
                <c:pt idx="286">
                  <c:v>1.5955098530571712</c:v>
                </c:pt>
                <c:pt idx="287">
                  <c:v>1.7173597929387043</c:v>
                </c:pt>
                <c:pt idx="288">
                  <c:v>1.75519973879811</c:v>
                </c:pt>
                <c:pt idx="289">
                  <c:v>1.6397998446108597</c:v>
                </c:pt>
                <c:pt idx="290">
                  <c:v>1.7282497825595471</c:v>
                </c:pt>
                <c:pt idx="291">
                  <c:v>1.6989497953056483</c:v>
                </c:pt>
                <c:pt idx="292">
                  <c:v>2.1041991124307344</c:v>
                </c:pt>
                <c:pt idx="293">
                  <c:v>1.9211887998393677</c:v>
                </c:pt>
                <c:pt idx="294">
                  <c:v>1.8466632447211253</c:v>
                </c:pt>
                <c:pt idx="295">
                  <c:v>1.7409968022317037</c:v>
                </c:pt>
                <c:pt idx="296">
                  <c:v>1.7339993108546221</c:v>
                </c:pt>
                <c:pt idx="297">
                  <c:v>1.6700277100846992</c:v>
                </c:pt>
                <c:pt idx="298">
                  <c:v>1.6667198425145315</c:v>
                </c:pt>
                <c:pt idx="299">
                  <c:v>1.6130998579082425</c:v>
                </c:pt>
                <c:pt idx="300">
                  <c:v>1.6541198443307643</c:v>
                </c:pt>
                <c:pt idx="301">
                  <c:v>1.6227999031375504</c:v>
                </c:pt>
                <c:pt idx="302">
                  <c:v>1.6484998753686144</c:v>
                </c:pt>
                <c:pt idx="303">
                  <c:v>1.6237398800815011</c:v>
                </c:pt>
                <c:pt idx="304">
                  <c:v>1.7494998032802171</c:v>
                </c:pt>
                <c:pt idx="305">
                  <c:v>1.8045037433995288</c:v>
                </c:pt>
                <c:pt idx="306">
                  <c:v>1.7995025274452852</c:v>
                </c:pt>
                <c:pt idx="307">
                  <c:v>1.7944968722912953</c:v>
                </c:pt>
                <c:pt idx="308">
                  <c:v>1.804199551815554</c:v>
                </c:pt>
                <c:pt idx="309">
                  <c:v>1.7879971594618183</c:v>
                </c:pt>
                <c:pt idx="310">
                  <c:v>1.8159994654813043</c:v>
                </c:pt>
                <c:pt idx="311">
                  <c:v>1.8348054799371871</c:v>
                </c:pt>
                <c:pt idx="312">
                  <c:v>1.9108224186631706</c:v>
                </c:pt>
                <c:pt idx="313">
                  <c:v>1.9004327860015244</c:v>
                </c:pt>
                <c:pt idx="314">
                  <c:v>1.4971026214040963</c:v>
                </c:pt>
                <c:pt idx="315">
                  <c:v>1.4968992163145121</c:v>
                </c:pt>
                <c:pt idx="316">
                  <c:v>1.4968992163145121</c:v>
                </c:pt>
                <c:pt idx="317">
                  <c:v>1.5533191833721878</c:v>
                </c:pt>
                <c:pt idx="318">
                  <c:v>1.5535171834642529</c:v>
                </c:pt>
                <c:pt idx="319">
                  <c:v>1.5535171834642529</c:v>
                </c:pt>
                <c:pt idx="320">
                  <c:v>1.6188057808992715</c:v>
                </c:pt>
                <c:pt idx="321">
                  <c:v>1.6192083299609539</c:v>
                </c:pt>
                <c:pt idx="322">
                  <c:v>1.6192083299609539</c:v>
                </c:pt>
                <c:pt idx="323">
                  <c:v>1.5920137457518857</c:v>
                </c:pt>
                <c:pt idx="324">
                  <c:v>1.5927072323030205</c:v>
                </c:pt>
                <c:pt idx="325">
                  <c:v>1.5927072323030205</c:v>
                </c:pt>
                <c:pt idx="326">
                  <c:v>1.6385776621330164</c:v>
                </c:pt>
                <c:pt idx="327">
                  <c:v>1.6385776621330164</c:v>
                </c:pt>
                <c:pt idx="328">
                  <c:v>1.589129801463341</c:v>
                </c:pt>
                <c:pt idx="329">
                  <c:v>1.589129801463341</c:v>
                </c:pt>
                <c:pt idx="330">
                  <c:v>1.589129801463341</c:v>
                </c:pt>
                <c:pt idx="331">
                  <c:v>1.5831300156073027</c:v>
                </c:pt>
                <c:pt idx="332">
                  <c:v>1.5831300156073027</c:v>
                </c:pt>
                <c:pt idx="333">
                  <c:v>1.5831300156073027</c:v>
                </c:pt>
                <c:pt idx="334">
                  <c:v>1.6226250904839576</c:v>
                </c:pt>
                <c:pt idx="335">
                  <c:v>1.6226250904839576</c:v>
                </c:pt>
                <c:pt idx="336">
                  <c:v>1.6934998834771005</c:v>
                </c:pt>
                <c:pt idx="337">
                  <c:v>1.6934998834771005</c:v>
                </c:pt>
                <c:pt idx="338">
                  <c:v>1.6934998834771005</c:v>
                </c:pt>
                <c:pt idx="339">
                  <c:v>1.696799090139157</c:v>
                </c:pt>
                <c:pt idx="340">
                  <c:v>1.697599216216658</c:v>
                </c:pt>
                <c:pt idx="341">
                  <c:v>1.7290300382530184</c:v>
                </c:pt>
                <c:pt idx="342">
                  <c:v>1.7296337710523151</c:v>
                </c:pt>
                <c:pt idx="343">
                  <c:v>1.6889298828564048</c:v>
                </c:pt>
                <c:pt idx="344">
                  <c:v>1.6889298828564048</c:v>
                </c:pt>
                <c:pt idx="345">
                  <c:v>1.6889298828564048</c:v>
                </c:pt>
                <c:pt idx="346">
                  <c:v>2.0017838948747451</c:v>
                </c:pt>
                <c:pt idx="347">
                  <c:v>2.0017838948747451</c:v>
                </c:pt>
                <c:pt idx="348">
                  <c:v>2.0017838948747451</c:v>
                </c:pt>
                <c:pt idx="349">
                  <c:v>1.8211454564129403</c:v>
                </c:pt>
                <c:pt idx="350">
                  <c:v>1.8216542734363836</c:v>
                </c:pt>
                <c:pt idx="351">
                  <c:v>1.8216542734363836</c:v>
                </c:pt>
                <c:pt idx="352">
                  <c:v>1.8344102928163049</c:v>
                </c:pt>
                <c:pt idx="353">
                  <c:v>1.8346120681485101</c:v>
                </c:pt>
                <c:pt idx="354">
                  <c:v>1.8060997642277172</c:v>
                </c:pt>
                <c:pt idx="355">
                  <c:v>1.8060997642277172</c:v>
                </c:pt>
                <c:pt idx="356">
                  <c:v>1.8060997642277172</c:v>
                </c:pt>
                <c:pt idx="357">
                  <c:v>1.8060977654476285</c:v>
                </c:pt>
                <c:pt idx="358">
                  <c:v>1.8013872189379647</c:v>
                </c:pt>
                <c:pt idx="359">
                  <c:v>1.8015371848555064</c:v>
                </c:pt>
                <c:pt idx="360">
                  <c:v>1.8015371848555064</c:v>
                </c:pt>
                <c:pt idx="361">
                  <c:v>1.7680153303784691</c:v>
                </c:pt>
                <c:pt idx="362">
                  <c:v>1.7690153403023861</c:v>
                </c:pt>
                <c:pt idx="363">
                  <c:v>1.7690153403023861</c:v>
                </c:pt>
                <c:pt idx="364">
                  <c:v>1.7725016499947635</c:v>
                </c:pt>
                <c:pt idx="365">
                  <c:v>1.7725016499947635</c:v>
                </c:pt>
                <c:pt idx="366">
                  <c:v>1.7725016499947635</c:v>
                </c:pt>
                <c:pt idx="367">
                  <c:v>1.7704730847376942</c:v>
                </c:pt>
                <c:pt idx="368">
                  <c:v>1.7737663381741959</c:v>
                </c:pt>
                <c:pt idx="369">
                  <c:v>1.7737663381741959</c:v>
                </c:pt>
                <c:pt idx="370">
                  <c:v>1.7737663381741959</c:v>
                </c:pt>
                <c:pt idx="371">
                  <c:v>1.8207982366921067</c:v>
                </c:pt>
                <c:pt idx="372">
                  <c:v>1.8212994883369249</c:v>
                </c:pt>
                <c:pt idx="373">
                  <c:v>1.8212994883369249</c:v>
                </c:pt>
                <c:pt idx="374">
                  <c:v>1.8513481224651451</c:v>
                </c:pt>
                <c:pt idx="375">
                  <c:v>1.8513481224651451</c:v>
                </c:pt>
                <c:pt idx="376">
                  <c:v>1.8513481224651451</c:v>
                </c:pt>
                <c:pt idx="377">
                  <c:v>1.8513576789673354</c:v>
                </c:pt>
                <c:pt idx="378">
                  <c:v>1.8513576789673354</c:v>
                </c:pt>
                <c:pt idx="379">
                  <c:v>1.882022777740886</c:v>
                </c:pt>
                <c:pt idx="380">
                  <c:v>1.882022777740886</c:v>
                </c:pt>
                <c:pt idx="381">
                  <c:v>1.882022777740886</c:v>
                </c:pt>
                <c:pt idx="382">
                  <c:v>1.8811999126270393</c:v>
                </c:pt>
                <c:pt idx="383">
                  <c:v>1.7130012059374859</c:v>
                </c:pt>
                <c:pt idx="384">
                  <c:v>1.7133012325951356</c:v>
                </c:pt>
                <c:pt idx="385">
                  <c:v>1.7550142050733963</c:v>
                </c:pt>
                <c:pt idx="386">
                  <c:v>1.7559128510295499</c:v>
                </c:pt>
                <c:pt idx="387">
                  <c:v>1.922860047005535</c:v>
                </c:pt>
                <c:pt idx="388">
                  <c:v>1.922860047005535</c:v>
                </c:pt>
                <c:pt idx="389">
                  <c:v>1.7307657288436953</c:v>
                </c:pt>
                <c:pt idx="390">
                  <c:v>1.7307657288436953</c:v>
                </c:pt>
                <c:pt idx="391">
                  <c:v>1.7432997443249911</c:v>
                </c:pt>
                <c:pt idx="392">
                  <c:v>1.7432997443249911</c:v>
                </c:pt>
                <c:pt idx="393">
                  <c:v>1.7432997443249911</c:v>
                </c:pt>
                <c:pt idx="394">
                  <c:v>1.8083389845112907</c:v>
                </c:pt>
                <c:pt idx="395">
                  <c:v>1.7725024857442813</c:v>
                </c:pt>
                <c:pt idx="396">
                  <c:v>1.7725024857442813</c:v>
                </c:pt>
                <c:pt idx="397">
                  <c:v>1.9514983372032015</c:v>
                </c:pt>
                <c:pt idx="398">
                  <c:v>1.9514983372032015</c:v>
                </c:pt>
                <c:pt idx="399">
                  <c:v>1.4874900080030304</c:v>
                </c:pt>
                <c:pt idx="400">
                  <c:v>1.4970000055754193</c:v>
                </c:pt>
                <c:pt idx="401">
                  <c:v>1.4978200070535312</c:v>
                </c:pt>
                <c:pt idx="402">
                  <c:v>1.4560000054143845</c:v>
                </c:pt>
                <c:pt idx="403">
                  <c:v>1.5186000083293734</c:v>
                </c:pt>
                <c:pt idx="404">
                  <c:v>1.618000010438748</c:v>
                </c:pt>
                <c:pt idx="405">
                  <c:v>1.603000009667761</c:v>
                </c:pt>
                <c:pt idx="406">
                  <c:v>1.5931900085368456</c:v>
                </c:pt>
                <c:pt idx="407">
                  <c:v>1.5934900088275414</c:v>
                </c:pt>
                <c:pt idx="408">
                  <c:v>1.6284600126397983</c:v>
                </c:pt>
                <c:pt idx="409">
                  <c:v>1.5168000088295708</c:v>
                </c:pt>
                <c:pt idx="410">
                  <c:v>1.5725000109159981</c:v>
                </c:pt>
                <c:pt idx="411">
                  <c:v>1.5399600092986632</c:v>
                </c:pt>
                <c:pt idx="412">
                  <c:v>1.5688300118267713</c:v>
                </c:pt>
                <c:pt idx="413">
                  <c:v>1.5182300094275052</c:v>
                </c:pt>
                <c:pt idx="414">
                  <c:v>1.5224900104128292</c:v>
                </c:pt>
                <c:pt idx="415">
                  <c:v>1.6126600153874555</c:v>
                </c:pt>
                <c:pt idx="416">
                  <c:v>1.5529810106359021</c:v>
                </c:pt>
                <c:pt idx="417">
                  <c:v>1.6837600191683781</c:v>
                </c:pt>
                <c:pt idx="418">
                  <c:v>1.7321100171674662</c:v>
                </c:pt>
                <c:pt idx="419">
                  <c:v>1.7380000255883943</c:v>
                </c:pt>
                <c:pt idx="420">
                  <c:v>1.7888000303544662</c:v>
                </c:pt>
                <c:pt idx="421">
                  <c:v>1.8493400359352485</c:v>
                </c:pt>
                <c:pt idx="422">
                  <c:v>1.5174200100935065</c:v>
                </c:pt>
                <c:pt idx="423">
                  <c:v>1.5795700108725079</c:v>
                </c:pt>
                <c:pt idx="424">
                  <c:v>1.6700300160379395</c:v>
                </c:pt>
                <c:pt idx="425">
                  <c:v>1.6667200145251362</c:v>
                </c:pt>
                <c:pt idx="426">
                  <c:v>1.6644600201379538</c:v>
                </c:pt>
                <c:pt idx="427">
                  <c:v>1.6675500180394702</c:v>
                </c:pt>
                <c:pt idx="428">
                  <c:v>1.7015400180950038</c:v>
                </c:pt>
                <c:pt idx="429">
                  <c:v>1.7234200205030081</c:v>
                </c:pt>
                <c:pt idx="430">
                  <c:v>1.6073800112472736</c:v>
                </c:pt>
                <c:pt idx="431">
                  <c:v>1.6127200116672273</c:v>
                </c:pt>
                <c:pt idx="432">
                  <c:v>1.589130011551483</c:v>
                </c:pt>
                <c:pt idx="433">
                  <c:v>1.6228000118786632</c:v>
                </c:pt>
                <c:pt idx="434">
                  <c:v>1.5638400100887633</c:v>
                </c:pt>
                <c:pt idx="435">
                  <c:v>1.5831300105891681</c:v>
                </c:pt>
                <c:pt idx="436">
                  <c:v>1.6031100101776048</c:v>
                </c:pt>
                <c:pt idx="437">
                  <c:v>1.6229900109920037</c:v>
                </c:pt>
                <c:pt idx="438">
                  <c:v>1.6204100116051465</c:v>
                </c:pt>
                <c:pt idx="439">
                  <c:v>1.6385400132390313</c:v>
                </c:pt>
                <c:pt idx="440">
                  <c:v>1.6172000135966818</c:v>
                </c:pt>
                <c:pt idx="441">
                  <c:v>1.6584400144968909</c:v>
                </c:pt>
                <c:pt idx="442">
                  <c:v>1.6177200128999523</c:v>
                </c:pt>
                <c:pt idx="443">
                  <c:v>1.5481400126246674</c:v>
                </c:pt>
                <c:pt idx="444">
                  <c:v>1.5407200137589521</c:v>
                </c:pt>
                <c:pt idx="445">
                  <c:v>1.5317200121740833</c:v>
                </c:pt>
                <c:pt idx="446">
                  <c:v>1.5814400151353487</c:v>
                </c:pt>
                <c:pt idx="447">
                  <c:v>1.567320014125507</c:v>
                </c:pt>
                <c:pt idx="448">
                  <c:v>1.5750100142802468</c:v>
                </c:pt>
                <c:pt idx="449">
                  <c:v>1.6258800183803854</c:v>
                </c:pt>
                <c:pt idx="450">
                  <c:v>1.6200400174407283</c:v>
                </c:pt>
                <c:pt idx="451">
                  <c:v>1.6034200157152865</c:v>
                </c:pt>
                <c:pt idx="452">
                  <c:v>1.5955100157878097</c:v>
                </c:pt>
                <c:pt idx="453">
                  <c:v>1.7173600275763878</c:v>
                </c:pt>
                <c:pt idx="454">
                  <c:v>1.6476900214963004</c:v>
                </c:pt>
                <c:pt idx="455">
                  <c:v>1.7552000295350376</c:v>
                </c:pt>
                <c:pt idx="456">
                  <c:v>1.6727000222655197</c:v>
                </c:pt>
                <c:pt idx="457">
                  <c:v>1.8051800337331321</c:v>
                </c:pt>
                <c:pt idx="458">
                  <c:v>1.8051800337331321</c:v>
                </c:pt>
                <c:pt idx="459">
                  <c:v>1.6398000185949269</c:v>
                </c:pt>
                <c:pt idx="460">
                  <c:v>1.6889300238848142</c:v>
                </c:pt>
                <c:pt idx="461">
                  <c:v>1.7282500288438956</c:v>
                </c:pt>
                <c:pt idx="462">
                  <c:v>1.7847200312210445</c:v>
                </c:pt>
                <c:pt idx="463">
                  <c:v>1.7407700280884166</c:v>
                </c:pt>
                <c:pt idx="464">
                  <c:v>1.7618200318058894</c:v>
                </c:pt>
                <c:pt idx="465">
                  <c:v>1.6989500241809021</c:v>
                </c:pt>
                <c:pt idx="466">
                  <c:v>1.8466600388334604</c:v>
                </c:pt>
                <c:pt idx="467">
                  <c:v>1.8466600388334604</c:v>
                </c:pt>
                <c:pt idx="468">
                  <c:v>1.7847000327533171</c:v>
                </c:pt>
                <c:pt idx="469">
                  <c:v>1.8080900383248046</c:v>
                </c:pt>
                <c:pt idx="470">
                  <c:v>1.8080900383248046</c:v>
                </c:pt>
                <c:pt idx="471">
                  <c:v>1.860740039147009</c:v>
                </c:pt>
                <c:pt idx="472">
                  <c:v>1.6638200264118024</c:v>
                </c:pt>
                <c:pt idx="473">
                  <c:v>1.7557500328076128</c:v>
                </c:pt>
                <c:pt idx="474">
                  <c:v>1.7133800300579303</c:v>
                </c:pt>
                <c:pt idx="475">
                  <c:v>1.6220000216110888</c:v>
                </c:pt>
                <c:pt idx="476">
                  <c:v>1.7963100373360781</c:v>
                </c:pt>
                <c:pt idx="477">
                  <c:v>1.6516000112121854</c:v>
                </c:pt>
                <c:pt idx="478">
                  <c:v>1.6516000115051088</c:v>
                </c:pt>
                <c:pt idx="479">
                  <c:v>1.7130000145426949</c:v>
                </c:pt>
                <c:pt idx="480">
                  <c:v>1.7199900162076103</c:v>
                </c:pt>
                <c:pt idx="481">
                  <c:v>1.6779000130602801</c:v>
                </c:pt>
                <c:pt idx="482">
                  <c:v>1.6935000132756686</c:v>
                </c:pt>
                <c:pt idx="483">
                  <c:v>1.6968000148932223</c:v>
                </c:pt>
                <c:pt idx="484">
                  <c:v>1.7291600137114849</c:v>
                </c:pt>
                <c:pt idx="485">
                  <c:v>1.6400000127523873</c:v>
                </c:pt>
                <c:pt idx="486">
                  <c:v>1.7340000160031073</c:v>
                </c:pt>
                <c:pt idx="487">
                  <c:v>1.74100001623909</c:v>
                </c:pt>
                <c:pt idx="488">
                  <c:v>1.7550000157723751</c:v>
                </c:pt>
                <c:pt idx="489">
                  <c:v>1.7440000177624246</c:v>
                </c:pt>
                <c:pt idx="490">
                  <c:v>1.7170000177822438</c:v>
                </c:pt>
                <c:pt idx="491">
                  <c:v>1.7495000231396109</c:v>
                </c:pt>
                <c:pt idx="492">
                  <c:v>1.700000016951968</c:v>
                </c:pt>
                <c:pt idx="493">
                  <c:v>1.720000017257199</c:v>
                </c:pt>
                <c:pt idx="494">
                  <c:v>1.7570000169318873</c:v>
                </c:pt>
                <c:pt idx="495">
                  <c:v>1.7620000196606218</c:v>
                </c:pt>
                <c:pt idx="496">
                  <c:v>1.7432000169603301</c:v>
                </c:pt>
                <c:pt idx="497">
                  <c:v>1.801000025679331</c:v>
                </c:pt>
                <c:pt idx="498">
                  <c:v>1.801000025679331</c:v>
                </c:pt>
                <c:pt idx="499">
                  <c:v>1.7950400294603317</c:v>
                </c:pt>
                <c:pt idx="500">
                  <c:v>1.7950400294603317</c:v>
                </c:pt>
                <c:pt idx="501">
                  <c:v>1.7859000181640996</c:v>
                </c:pt>
                <c:pt idx="502">
                  <c:v>1.7995200220275245</c:v>
                </c:pt>
                <c:pt idx="503">
                  <c:v>1.8061000223624901</c:v>
                </c:pt>
                <c:pt idx="504">
                  <c:v>1.8348100217623806</c:v>
                </c:pt>
                <c:pt idx="505">
                  <c:v>1.8348100217623806</c:v>
                </c:pt>
                <c:pt idx="506">
                  <c:v>1.883000024296094</c:v>
                </c:pt>
                <c:pt idx="507">
                  <c:v>1.8160000172961355</c:v>
                </c:pt>
                <c:pt idx="508">
                  <c:v>1.8340000235283254</c:v>
                </c:pt>
                <c:pt idx="509">
                  <c:v>1.8044000210654907</c:v>
                </c:pt>
                <c:pt idx="510">
                  <c:v>1.7880000188182241</c:v>
                </c:pt>
                <c:pt idx="511">
                  <c:v>1.8040000168441865</c:v>
                </c:pt>
                <c:pt idx="512">
                  <c:v>1.8040000168441865</c:v>
                </c:pt>
                <c:pt idx="513">
                  <c:v>1.772500016971889</c:v>
                </c:pt>
                <c:pt idx="514">
                  <c:v>1.7950000206965053</c:v>
                </c:pt>
                <c:pt idx="515">
                  <c:v>1.8502600300552448</c:v>
                </c:pt>
                <c:pt idx="516">
                  <c:v>1.8502600300552448</c:v>
                </c:pt>
                <c:pt idx="517">
                  <c:v>1.7668400190741727</c:v>
                </c:pt>
                <c:pt idx="518">
                  <c:v>1.8061000248531185</c:v>
                </c:pt>
                <c:pt idx="519">
                  <c:v>1.9026500272601261</c:v>
                </c:pt>
                <c:pt idx="520">
                  <c:v>1.9036600322708082</c:v>
                </c:pt>
                <c:pt idx="521">
                  <c:v>1.9036600322708082</c:v>
                </c:pt>
                <c:pt idx="522">
                  <c:v>1.9500000361719798</c:v>
                </c:pt>
                <c:pt idx="523">
                  <c:v>1.9500000361719798</c:v>
                </c:pt>
                <c:pt idx="524">
                  <c:v>1.9500000361719798</c:v>
                </c:pt>
                <c:pt idx="525">
                  <c:v>2.0010000360547515</c:v>
                </c:pt>
                <c:pt idx="526">
                  <c:v>2.0010000360547515</c:v>
                </c:pt>
                <c:pt idx="527">
                  <c:v>2.0006900429681864</c:v>
                </c:pt>
                <c:pt idx="528">
                  <c:v>2.0006900429681864</c:v>
                </c:pt>
                <c:pt idx="529">
                  <c:v>1.953750030932718</c:v>
                </c:pt>
                <c:pt idx="530">
                  <c:v>1.8485000208254858</c:v>
                </c:pt>
                <c:pt idx="531">
                  <c:v>1.850000033296813</c:v>
                </c:pt>
                <c:pt idx="532">
                  <c:v>1.9020000399128985</c:v>
                </c:pt>
                <c:pt idx="533">
                  <c:v>1.9020000399128985</c:v>
                </c:pt>
                <c:pt idx="534">
                  <c:v>1.4973100069844294</c:v>
                </c:pt>
                <c:pt idx="535">
                  <c:v>1.455620006590439</c:v>
                </c:pt>
                <c:pt idx="536">
                  <c:v>1.5925500098356051</c:v>
                </c:pt>
                <c:pt idx="537">
                  <c:v>1.6187500112746962</c:v>
                </c:pt>
                <c:pt idx="538">
                  <c:v>1.5924500093405456</c:v>
                </c:pt>
                <c:pt idx="539">
                  <c:v>1.6229100124087057</c:v>
                </c:pt>
                <c:pt idx="540">
                  <c:v>1.5828600120336449</c:v>
                </c:pt>
                <c:pt idx="541">
                  <c:v>1.5888700099361859</c:v>
                </c:pt>
                <c:pt idx="542">
                  <c:v>1.8030100343633528</c:v>
                </c:pt>
                <c:pt idx="543">
                  <c:v>1.6779800126114766</c:v>
                </c:pt>
                <c:pt idx="544">
                  <c:v>1.6934300153298261</c:v>
                </c:pt>
                <c:pt idx="545">
                  <c:v>1.7430000163654347</c:v>
                </c:pt>
                <c:pt idx="546">
                  <c:v>1.7431040165465801</c:v>
                </c:pt>
                <c:pt idx="547">
                  <c:v>1.8060400211393708</c:v>
                </c:pt>
                <c:pt idx="548">
                  <c:v>1.7738700174624862</c:v>
                </c:pt>
                <c:pt idx="549">
                  <c:v>1.7906300174192182</c:v>
                </c:pt>
                <c:pt idx="550">
                  <c:v>1.8510800230276989</c:v>
                </c:pt>
                <c:pt idx="551">
                  <c:v>1.8209800226453972</c:v>
                </c:pt>
                <c:pt idx="552">
                  <c:v>1.7654370175409393</c:v>
                </c:pt>
                <c:pt idx="553">
                  <c:v>1.7952560203528229</c:v>
                </c:pt>
                <c:pt idx="554">
                  <c:v>1.5197499090869864</c:v>
                </c:pt>
                <c:pt idx="555">
                  <c:v>1.6200401372462678</c:v>
                </c:pt>
                <c:pt idx="556">
                  <c:v>1.6207214227576139</c:v>
                </c:pt>
                <c:pt idx="557">
                  <c:v>1.6200401372462678</c:v>
                </c:pt>
                <c:pt idx="558">
                  <c:v>1.6200401372462678</c:v>
                </c:pt>
                <c:pt idx="559">
                  <c:v>1.6034202574072249</c:v>
                </c:pt>
                <c:pt idx="560">
                  <c:v>1.4874799271639458</c:v>
                </c:pt>
                <c:pt idx="561">
                  <c:v>1.5013709761795844</c:v>
                </c:pt>
                <c:pt idx="562">
                  <c:v>1.5234389996961619</c:v>
                </c:pt>
                <c:pt idx="563">
                  <c:v>1.6906352521866677</c:v>
                </c:pt>
                <c:pt idx="564">
                  <c:v>2.0220402655664067</c:v>
                </c:pt>
                <c:pt idx="565">
                  <c:v>1.581440423418913</c:v>
                </c:pt>
                <c:pt idx="566">
                  <c:v>1.5965503973523931</c:v>
                </c:pt>
                <c:pt idx="567">
                  <c:v>1.5814427886522122</c:v>
                </c:pt>
                <c:pt idx="568">
                  <c:v>1.5481400960289704</c:v>
                </c:pt>
                <c:pt idx="569">
                  <c:v>1.5481499354756845</c:v>
                </c:pt>
                <c:pt idx="570">
                  <c:v>1.670029827754852</c:v>
                </c:pt>
                <c:pt idx="571">
                  <c:v>1.6056829142455458</c:v>
                </c:pt>
                <c:pt idx="572">
                  <c:v>1.6522399181121505</c:v>
                </c:pt>
                <c:pt idx="573">
                  <c:v>1.6086310122297309</c:v>
                </c:pt>
                <c:pt idx="574">
                  <c:v>1.5725001213862162</c:v>
                </c:pt>
                <c:pt idx="575">
                  <c:v>1.5399600930217325</c:v>
                </c:pt>
                <c:pt idx="576">
                  <c:v>1.5688274865292562</c:v>
                </c:pt>
                <c:pt idx="577">
                  <c:v>1.5688274865292562</c:v>
                </c:pt>
                <c:pt idx="578">
                  <c:v>1.5795593558767336</c:v>
                </c:pt>
                <c:pt idx="579">
                  <c:v>1.5473898803668389</c:v>
                </c:pt>
                <c:pt idx="580">
                  <c:v>1.6644601934840138</c:v>
                </c:pt>
                <c:pt idx="581">
                  <c:v>1.703999913016339</c:v>
                </c:pt>
                <c:pt idx="582">
                  <c:v>1.4978210089047967</c:v>
                </c:pt>
                <c:pt idx="583">
                  <c:v>1.5168000345005883</c:v>
                </c:pt>
                <c:pt idx="584">
                  <c:v>1.5168000345005883</c:v>
                </c:pt>
                <c:pt idx="585">
                  <c:v>1.5168000345005883</c:v>
                </c:pt>
                <c:pt idx="586">
                  <c:v>1.6200531373031555</c:v>
                </c:pt>
                <c:pt idx="587">
                  <c:v>1.4874900036786896</c:v>
                </c:pt>
                <c:pt idx="588">
                  <c:v>1.4865610802032982</c:v>
                </c:pt>
                <c:pt idx="589">
                  <c:v>1.4560003606596605</c:v>
                </c:pt>
                <c:pt idx="590">
                  <c:v>1.5224887602500623</c:v>
                </c:pt>
                <c:pt idx="591">
                  <c:v>1.5234591091903165</c:v>
                </c:pt>
                <c:pt idx="592">
                  <c:v>1.6377497011712219</c:v>
                </c:pt>
                <c:pt idx="593">
                  <c:v>1.558359800954962</c:v>
                </c:pt>
                <c:pt idx="594">
                  <c:v>1.6133601948394209</c:v>
                </c:pt>
                <c:pt idx="595">
                  <c:v>1.6541204415459989</c:v>
                </c:pt>
                <c:pt idx="596">
                  <c:v>1.7204696908765893</c:v>
                </c:pt>
                <c:pt idx="597">
                  <c:v>1.7439722668552078</c:v>
                </c:pt>
                <c:pt idx="598">
                  <c:v>1.7880000602455861</c:v>
                </c:pt>
                <c:pt idx="599">
                  <c:v>1.7858245578889926</c:v>
                </c:pt>
                <c:pt idx="600">
                  <c:v>1.7725000643242328</c:v>
                </c:pt>
                <c:pt idx="601">
                  <c:v>1.7494998653004885</c:v>
                </c:pt>
                <c:pt idx="602">
                  <c:v>1.7200280067420852</c:v>
                </c:pt>
                <c:pt idx="603">
                  <c:v>1.6779000506492587</c:v>
                </c:pt>
                <c:pt idx="604">
                  <c:v>1.6968000242457755</c:v>
                </c:pt>
                <c:pt idx="605">
                  <c:v>1.640494774825817</c:v>
                </c:pt>
                <c:pt idx="606">
                  <c:v>1.6511304534373294</c:v>
                </c:pt>
                <c:pt idx="607">
                  <c:v>1.744286612027413</c:v>
                </c:pt>
                <c:pt idx="608">
                  <c:v>1.7550001645219675</c:v>
                </c:pt>
                <c:pt idx="609">
                  <c:v>1.7291600601924044</c:v>
                </c:pt>
                <c:pt idx="610">
                  <c:v>1.6515996385973282</c:v>
                </c:pt>
                <c:pt idx="611">
                  <c:v>1.7130031720052463</c:v>
                </c:pt>
                <c:pt idx="612">
                  <c:v>1.6910020663241181</c:v>
                </c:pt>
                <c:pt idx="613">
                  <c:v>1.8829998095924994</c:v>
                </c:pt>
                <c:pt idx="614">
                  <c:v>1.8340436906929021</c:v>
                </c:pt>
                <c:pt idx="615">
                  <c:v>1.835010171727693</c:v>
                </c:pt>
                <c:pt idx="616">
                  <c:v>1.8060999440976919</c:v>
                </c:pt>
                <c:pt idx="617">
                  <c:v>1.8041998963955477</c:v>
                </c:pt>
                <c:pt idx="618">
                  <c:v>1.8010701963667894</c:v>
                </c:pt>
                <c:pt idx="619">
                  <c:v>1.9036601021657866</c:v>
                </c:pt>
                <c:pt idx="620">
                  <c:v>1.9537996484209124</c:v>
                </c:pt>
                <c:pt idx="621">
                  <c:v>1.8502493027312386</c:v>
                </c:pt>
                <c:pt idx="622">
                  <c:v>1.5285543452369901</c:v>
                </c:pt>
                <c:pt idx="623">
                  <c:v>1.4970000692449992</c:v>
                </c:pt>
                <c:pt idx="624">
                  <c:v>1.5523218700903822</c:v>
                </c:pt>
                <c:pt idx="625">
                  <c:v>1.618000100821424</c:v>
                </c:pt>
                <c:pt idx="626">
                  <c:v>1.7173601232496902</c:v>
                </c:pt>
                <c:pt idx="627">
                  <c:v>1.7282770663068054</c:v>
                </c:pt>
                <c:pt idx="628">
                  <c:v>1.7847199423100499</c:v>
                </c:pt>
                <c:pt idx="629">
                  <c:v>1.7618200674413289</c:v>
                </c:pt>
                <c:pt idx="630">
                  <c:v>1.6989203009828977</c:v>
                </c:pt>
                <c:pt idx="631">
                  <c:v>1.6476897745794499</c:v>
                </c:pt>
                <c:pt idx="632">
                  <c:v>1.7551311326271648</c:v>
                </c:pt>
                <c:pt idx="633">
                  <c:v>1.6727070351743671</c:v>
                </c:pt>
                <c:pt idx="634">
                  <c:v>1.8466599384042874</c:v>
                </c:pt>
                <c:pt idx="635">
                  <c:v>1.8466599384042874</c:v>
                </c:pt>
                <c:pt idx="636">
                  <c:v>1.8466599384042874</c:v>
                </c:pt>
                <c:pt idx="637">
                  <c:v>1.8051801846158335</c:v>
                </c:pt>
                <c:pt idx="638">
                  <c:v>1.9228600884113061</c:v>
                </c:pt>
                <c:pt idx="639">
                  <c:v>1.8051801846158335</c:v>
                </c:pt>
                <c:pt idx="640">
                  <c:v>1.8051801846158335</c:v>
                </c:pt>
                <c:pt idx="641">
                  <c:v>1.6889359225480975</c:v>
                </c:pt>
                <c:pt idx="642">
                  <c:v>1.5638397368277659</c:v>
                </c:pt>
                <c:pt idx="643">
                  <c:v>1.6031104337486488</c:v>
                </c:pt>
                <c:pt idx="644">
                  <c:v>1.6204099650808939</c:v>
                </c:pt>
                <c:pt idx="645">
                  <c:v>1.6073809696996346</c:v>
                </c:pt>
                <c:pt idx="646">
                  <c:v>1.6073809696996346</c:v>
                </c:pt>
                <c:pt idx="647">
                  <c:v>1.6127176126038578</c:v>
                </c:pt>
                <c:pt idx="648">
                  <c:v>1.5891301173570451</c:v>
                </c:pt>
                <c:pt idx="649">
                  <c:v>1.5891301173570451</c:v>
                </c:pt>
                <c:pt idx="650">
                  <c:v>1.6222937959244259</c:v>
                </c:pt>
                <c:pt idx="651">
                  <c:v>1.6584400585012478</c:v>
                </c:pt>
                <c:pt idx="652">
                  <c:v>1.6177282061451479</c:v>
                </c:pt>
                <c:pt idx="653">
                  <c:v>1.5080544152008939</c:v>
                </c:pt>
                <c:pt idx="654">
                  <c:v>1.7554999322821099</c:v>
                </c:pt>
                <c:pt idx="655">
                  <c:v>1.693499850773178</c:v>
                </c:pt>
                <c:pt idx="656">
                  <c:v>1.8061001167437198</c:v>
                </c:pt>
                <c:pt idx="657">
                  <c:v>2.0051998573840848</c:v>
                </c:pt>
                <c:pt idx="658">
                  <c:v>1.7225001770303623</c:v>
                </c:pt>
                <c:pt idx="659">
                  <c:v>1.5869996959747417</c:v>
                </c:pt>
                <c:pt idx="660">
                  <c:v>1.6103498902170528</c:v>
                </c:pt>
                <c:pt idx="661">
                  <c:v>1.717359848476689</c:v>
                </c:pt>
                <c:pt idx="662">
                  <c:v>1.7282502441796137</c:v>
                </c:pt>
                <c:pt idx="663">
                  <c:v>1.7847198458559295</c:v>
                </c:pt>
                <c:pt idx="664">
                  <c:v>1.6476890932482602</c:v>
                </c:pt>
                <c:pt idx="665">
                  <c:v>1.7400023695256963</c:v>
                </c:pt>
                <c:pt idx="666">
                  <c:v>1.7552012482273793</c:v>
                </c:pt>
                <c:pt idx="667">
                  <c:v>1.6726974920306559</c:v>
                </c:pt>
                <c:pt idx="668">
                  <c:v>1.7847010856035854</c:v>
                </c:pt>
                <c:pt idx="669">
                  <c:v>1.846662697928859</c:v>
                </c:pt>
                <c:pt idx="670">
                  <c:v>1.846662697928859</c:v>
                </c:pt>
                <c:pt idx="671">
                  <c:v>1.805182078102276</c:v>
                </c:pt>
                <c:pt idx="672">
                  <c:v>1.8090574379554014</c:v>
                </c:pt>
                <c:pt idx="673">
                  <c:v>1.805182078102276</c:v>
                </c:pt>
                <c:pt idx="674">
                  <c:v>1.625680105694965</c:v>
                </c:pt>
                <c:pt idx="675">
                  <c:v>1.5168000345005883</c:v>
                </c:pt>
                <c:pt idx="676">
                  <c:v>1.9220017579591366</c:v>
                </c:pt>
                <c:pt idx="677">
                  <c:v>2.0010172337370764</c:v>
                </c:pt>
                <c:pt idx="678">
                  <c:v>1.4644999815097499</c:v>
                </c:pt>
                <c:pt idx="679">
                  <c:v>1.582722833036446</c:v>
                </c:pt>
                <c:pt idx="680">
                  <c:v>1.5889993607554345</c:v>
                </c:pt>
                <c:pt idx="681">
                  <c:v>1.6133601948394209</c:v>
                </c:pt>
                <c:pt idx="682">
                  <c:v>1.6201410999070995</c:v>
                </c:pt>
                <c:pt idx="683">
                  <c:v>1.6227802288210729</c:v>
                </c:pt>
                <c:pt idx="684">
                  <c:v>1.6229603354605027</c:v>
                </c:pt>
                <c:pt idx="685">
                  <c:v>1.6541166993434997</c:v>
                </c:pt>
                <c:pt idx="686">
                  <c:v>1.6667887763763454</c:v>
                </c:pt>
                <c:pt idx="687">
                  <c:v>1.6959997210279754</c:v>
                </c:pt>
                <c:pt idx="688">
                  <c:v>1.7059080504652042</c:v>
                </c:pt>
                <c:pt idx="689">
                  <c:v>1.7169981361620479</c:v>
                </c:pt>
                <c:pt idx="690">
                  <c:v>1.7539300872443506</c:v>
                </c:pt>
                <c:pt idx="691">
                  <c:v>1.7847026476400398</c:v>
                </c:pt>
                <c:pt idx="692">
                  <c:v>1.7995178955143287</c:v>
                </c:pt>
                <c:pt idx="693">
                  <c:v>1.8010701963667894</c:v>
                </c:pt>
                <c:pt idx="694">
                  <c:v>1.8051820788209096</c:v>
                </c:pt>
                <c:pt idx="695">
                  <c:v>1.8466630254392751</c:v>
                </c:pt>
                <c:pt idx="696">
                  <c:v>1.846662697928859</c:v>
                </c:pt>
                <c:pt idx="697">
                  <c:v>1.8502493027312386</c:v>
                </c:pt>
                <c:pt idx="698">
                  <c:v>1.9036600690523828</c:v>
                </c:pt>
                <c:pt idx="699">
                  <c:v>1.5084693280849817</c:v>
                </c:pt>
                <c:pt idx="700">
                  <c:v>1.5111209584188627</c:v>
                </c:pt>
                <c:pt idx="701">
                  <c:v>1.5164002294580097</c:v>
                </c:pt>
                <c:pt idx="702">
                  <c:v>1.8085998927843401</c:v>
                </c:pt>
                <c:pt idx="703">
                  <c:v>1.8100000971154149</c:v>
                </c:pt>
                <c:pt idx="704">
                  <c:v>1.6889301017229761</c:v>
                </c:pt>
                <c:pt idx="705">
                  <c:v>1.5891299336803613</c:v>
                </c:pt>
                <c:pt idx="706">
                  <c:v>1.5268995504009464</c:v>
                </c:pt>
                <c:pt idx="707">
                  <c:v>1.5859998664252579</c:v>
                </c:pt>
                <c:pt idx="708">
                  <c:v>1.9068001599988309</c:v>
                </c:pt>
                <c:pt idx="709">
                  <c:v>1.7495018440499093</c:v>
                </c:pt>
                <c:pt idx="710">
                  <c:v>1.5839698922514709</c:v>
                </c:pt>
                <c:pt idx="711">
                  <c:v>1.7432997789411881</c:v>
                </c:pt>
                <c:pt idx="712">
                  <c:v>1.5502002944510718</c:v>
                </c:pt>
                <c:pt idx="713">
                  <c:v>1.4969999886705441</c:v>
                </c:pt>
                <c:pt idx="714">
                  <c:v>1.4970001449410866</c:v>
                </c:pt>
                <c:pt idx="715">
                  <c:v>1.4565000272605999</c:v>
                </c:pt>
                <c:pt idx="716">
                  <c:v>1.437800098864598</c:v>
                </c:pt>
                <c:pt idx="717">
                  <c:v>1.4704700770871981</c:v>
                </c:pt>
                <c:pt idx="718">
                  <c:v>1.4874900414887489</c:v>
                </c:pt>
                <c:pt idx="719">
                  <c:v>1.4996700304860955</c:v>
                </c:pt>
                <c:pt idx="720">
                  <c:v>1.5004700125463306</c:v>
                </c:pt>
                <c:pt idx="721">
                  <c:v>1.5046299180047615</c:v>
                </c:pt>
                <c:pt idx="722">
                  <c:v>1.5080200114763818</c:v>
                </c:pt>
                <c:pt idx="723">
                  <c:v>1.5100722465583176</c:v>
                </c:pt>
                <c:pt idx="724">
                  <c:v>1.5111254511438363</c:v>
                </c:pt>
                <c:pt idx="725">
                  <c:v>1.5147800397156219</c:v>
                </c:pt>
                <c:pt idx="726">
                  <c:v>1.5160200803364108</c:v>
                </c:pt>
                <c:pt idx="727">
                  <c:v>1.516799997754233</c:v>
                </c:pt>
                <c:pt idx="728">
                  <c:v>1.516799997754233</c:v>
                </c:pt>
                <c:pt idx="729">
                  <c:v>1.516799997754233</c:v>
                </c:pt>
                <c:pt idx="730">
                  <c:v>1.5167999694465282</c:v>
                </c:pt>
                <c:pt idx="731">
                  <c:v>1.5181800096351699</c:v>
                </c:pt>
                <c:pt idx="732">
                  <c:v>1.5263799988825402</c:v>
                </c:pt>
                <c:pt idx="733">
                  <c:v>1.5335887464395788</c:v>
                </c:pt>
                <c:pt idx="734">
                  <c:v>1.5224899981842002</c:v>
                </c:pt>
                <c:pt idx="735">
                  <c:v>1.5230700078148736</c:v>
                </c:pt>
                <c:pt idx="736">
                  <c:v>1.6180001129440871</c:v>
                </c:pt>
                <c:pt idx="737">
                  <c:v>1.6030010414370695</c:v>
                </c:pt>
                <c:pt idx="738">
                  <c:v>1.593490015061618</c:v>
                </c:pt>
                <c:pt idx="739">
                  <c:v>1.5927999667494963</c:v>
                </c:pt>
                <c:pt idx="740">
                  <c:v>1.5690701313502844</c:v>
                </c:pt>
                <c:pt idx="741">
                  <c:v>1.5302801238067747</c:v>
                </c:pt>
                <c:pt idx="742">
                  <c:v>1.5399600679837218</c:v>
                </c:pt>
                <c:pt idx="743">
                  <c:v>1.5467799921451626</c:v>
                </c:pt>
                <c:pt idx="744">
                  <c:v>1.5524800010414974</c:v>
                </c:pt>
                <c:pt idx="745">
                  <c:v>1.5606900169992772</c:v>
                </c:pt>
                <c:pt idx="746">
                  <c:v>1.5638800282245735</c:v>
                </c:pt>
                <c:pt idx="747">
                  <c:v>1.5688300420516665</c:v>
                </c:pt>
                <c:pt idx="748">
                  <c:v>1.5688300420516665</c:v>
                </c:pt>
                <c:pt idx="749">
                  <c:v>1.5688276258191753</c:v>
                </c:pt>
                <c:pt idx="750">
                  <c:v>1.572500072090542</c:v>
                </c:pt>
                <c:pt idx="751">
                  <c:v>1.5688800048155558</c:v>
                </c:pt>
                <c:pt idx="752">
                  <c:v>1.5831299977054942</c:v>
                </c:pt>
                <c:pt idx="753">
                  <c:v>1.5891301246841896</c:v>
                </c:pt>
                <c:pt idx="754">
                  <c:v>1.5891300011179048</c:v>
                </c:pt>
                <c:pt idx="755">
                  <c:v>1.6088100662629976</c:v>
                </c:pt>
                <c:pt idx="756">
                  <c:v>1.6111700266144098</c:v>
                </c:pt>
                <c:pt idx="757">
                  <c:v>1.6127199883246734</c:v>
                </c:pt>
                <c:pt idx="758">
                  <c:v>1.6130900061597899</c:v>
                </c:pt>
                <c:pt idx="759">
                  <c:v>1.6130946653807916</c:v>
                </c:pt>
                <c:pt idx="760">
                  <c:v>1.6140500352602558</c:v>
                </c:pt>
                <c:pt idx="761">
                  <c:v>1.6204100998134869</c:v>
                </c:pt>
                <c:pt idx="762">
                  <c:v>1.6204117290105389</c:v>
                </c:pt>
                <c:pt idx="763">
                  <c:v>1.6220999965717664</c:v>
                </c:pt>
                <c:pt idx="764">
                  <c:v>1.6228000114708772</c:v>
                </c:pt>
                <c:pt idx="765">
                  <c:v>1.6385400264196406</c:v>
                </c:pt>
                <c:pt idx="766">
                  <c:v>1.6031100946441832</c:v>
                </c:pt>
                <c:pt idx="767">
                  <c:v>1.6172000159005988</c:v>
                </c:pt>
                <c:pt idx="768">
                  <c:v>1.6229900076138803</c:v>
                </c:pt>
                <c:pt idx="769">
                  <c:v>1.607379995862585</c:v>
                </c:pt>
                <c:pt idx="770">
                  <c:v>1.607379995862585</c:v>
                </c:pt>
                <c:pt idx="771">
                  <c:v>1.6595000021078417</c:v>
                </c:pt>
                <c:pt idx="772">
                  <c:v>1.692110031717067</c:v>
                </c:pt>
                <c:pt idx="773">
                  <c:v>1.7469299976478463</c:v>
                </c:pt>
                <c:pt idx="774">
                  <c:v>1.6400000096416041</c:v>
                </c:pt>
                <c:pt idx="775">
                  <c:v>1.6778999908508956</c:v>
                </c:pt>
                <c:pt idx="776">
                  <c:v>1.6935000287712723</c:v>
                </c:pt>
                <c:pt idx="777">
                  <c:v>1.7130000304829986</c:v>
                </c:pt>
                <c:pt idx="778">
                  <c:v>1.7200000222586902</c:v>
                </c:pt>
                <c:pt idx="779">
                  <c:v>1.7200000157437521</c:v>
                </c:pt>
                <c:pt idx="780">
                  <c:v>1.6511300510687477</c:v>
                </c:pt>
                <c:pt idx="781">
                  <c:v>1.6646100224836826</c:v>
                </c:pt>
                <c:pt idx="782">
                  <c:v>1.6967999664398181</c:v>
                </c:pt>
                <c:pt idx="783">
                  <c:v>1.6516000159416941</c:v>
                </c:pt>
                <c:pt idx="784">
                  <c:v>1.696799721738754</c:v>
                </c:pt>
                <c:pt idx="785">
                  <c:v>1.729160053858489</c:v>
                </c:pt>
                <c:pt idx="786">
                  <c:v>1.7549999709704018</c:v>
                </c:pt>
                <c:pt idx="787">
                  <c:v>1.7550000191210542</c:v>
                </c:pt>
                <c:pt idx="788">
                  <c:v>1.7339996584544293</c:v>
                </c:pt>
                <c:pt idx="789">
                  <c:v>1.6910000136843029</c:v>
                </c:pt>
                <c:pt idx="790">
                  <c:v>1.7409989882680905</c:v>
                </c:pt>
                <c:pt idx="791">
                  <c:v>1.670000013797444</c:v>
                </c:pt>
                <c:pt idx="792">
                  <c:v>1.7030001834362638</c:v>
                </c:pt>
                <c:pt idx="793">
                  <c:v>1.7129999392456565</c:v>
                </c:pt>
                <c:pt idx="794">
                  <c:v>1.6207500108838098</c:v>
                </c:pt>
                <c:pt idx="795">
                  <c:v>1.5174199989381039</c:v>
                </c:pt>
                <c:pt idx="796">
                  <c:v>1.5481400080294594</c:v>
                </c:pt>
                <c:pt idx="797">
                  <c:v>1.5480996286563442</c:v>
                </c:pt>
                <c:pt idx="798">
                  <c:v>1.5750100644611542</c:v>
                </c:pt>
                <c:pt idx="799">
                  <c:v>1.5750260465115091</c:v>
                </c:pt>
                <c:pt idx="800">
                  <c:v>1.5821526991017483</c:v>
                </c:pt>
                <c:pt idx="801">
                  <c:v>1.53172001747399</c:v>
                </c:pt>
                <c:pt idx="802">
                  <c:v>1.5317191869266729</c:v>
                </c:pt>
                <c:pt idx="803">
                  <c:v>1.5407200075371323</c:v>
                </c:pt>
                <c:pt idx="804">
                  <c:v>1.5407183308831611</c:v>
                </c:pt>
                <c:pt idx="805">
                  <c:v>1.5955100428402076</c:v>
                </c:pt>
                <c:pt idx="806">
                  <c:v>1.5814400259577852</c:v>
                </c:pt>
                <c:pt idx="807">
                  <c:v>1.5814400252218275</c:v>
                </c:pt>
                <c:pt idx="808">
                  <c:v>1.5814400248992875</c:v>
                </c:pt>
                <c:pt idx="809">
                  <c:v>1.5673200294528395</c:v>
                </c:pt>
                <c:pt idx="810">
                  <c:v>1.6034199700275504</c:v>
                </c:pt>
                <c:pt idx="811">
                  <c:v>1.6034168270193172</c:v>
                </c:pt>
                <c:pt idx="812">
                  <c:v>1.6129300143955521</c:v>
                </c:pt>
                <c:pt idx="813">
                  <c:v>1.6129286226449864</c:v>
                </c:pt>
                <c:pt idx="814">
                  <c:v>1.6165900397295889</c:v>
                </c:pt>
                <c:pt idx="815">
                  <c:v>1.6165924464388708</c:v>
                </c:pt>
                <c:pt idx="816">
                  <c:v>1.6200500398336752</c:v>
                </c:pt>
                <c:pt idx="817">
                  <c:v>1.6200473205874288</c:v>
                </c:pt>
                <c:pt idx="818">
                  <c:v>1.6243499974554017</c:v>
                </c:pt>
                <c:pt idx="819">
                  <c:v>1.624353350535229</c:v>
                </c:pt>
                <c:pt idx="820">
                  <c:v>1.6249500589305004</c:v>
                </c:pt>
                <c:pt idx="821">
                  <c:v>1.6249544658571813</c:v>
                </c:pt>
                <c:pt idx="822">
                  <c:v>1.6363645086202838</c:v>
                </c:pt>
                <c:pt idx="823">
                  <c:v>1.6258800263428894</c:v>
                </c:pt>
                <c:pt idx="824">
                  <c:v>1.6258841027740807</c:v>
                </c:pt>
                <c:pt idx="825">
                  <c:v>1.6398000173280396</c:v>
                </c:pt>
                <c:pt idx="826">
                  <c:v>1.6138503412359611</c:v>
                </c:pt>
                <c:pt idx="827">
                  <c:v>1.5697000079545431</c:v>
                </c:pt>
                <c:pt idx="828">
                  <c:v>1.5795700034614921</c:v>
                </c:pt>
                <c:pt idx="829">
                  <c:v>1.5826699906158692</c:v>
                </c:pt>
                <c:pt idx="830">
                  <c:v>1.5827124543376623</c:v>
                </c:pt>
                <c:pt idx="831">
                  <c:v>1.6056200033253814</c:v>
                </c:pt>
                <c:pt idx="832">
                  <c:v>1.6080100138160385</c:v>
                </c:pt>
                <c:pt idx="833">
                  <c:v>1.614130018482401</c:v>
                </c:pt>
                <c:pt idx="834">
                  <c:v>1.614130816196756</c:v>
                </c:pt>
                <c:pt idx="835">
                  <c:v>1.6260400233820842</c:v>
                </c:pt>
                <c:pt idx="836">
                  <c:v>1.6223000147935493</c:v>
                </c:pt>
                <c:pt idx="837">
                  <c:v>1.6396155377835144</c:v>
                </c:pt>
                <c:pt idx="838">
                  <c:v>1.6569100200466818</c:v>
                </c:pt>
                <c:pt idx="839">
                  <c:v>1.6642600259465383</c:v>
                </c:pt>
                <c:pt idx="840">
                  <c:v>1.6710299873315115</c:v>
                </c:pt>
                <c:pt idx="841">
                  <c:v>1.6667199858666384</c:v>
                </c:pt>
                <c:pt idx="842">
                  <c:v>1.6675537617934328</c:v>
                </c:pt>
                <c:pt idx="843">
                  <c:v>1.701540010545622</c:v>
                </c:pt>
                <c:pt idx="844">
                  <c:v>1.7234097637375296</c:v>
                </c:pt>
                <c:pt idx="845">
                  <c:v>1.6584400136294464</c:v>
                </c:pt>
                <c:pt idx="846">
                  <c:v>1.6827260980946515</c:v>
                </c:pt>
                <c:pt idx="847">
                  <c:v>1.6700299373319483</c:v>
                </c:pt>
                <c:pt idx="848">
                  <c:v>1.6476900199667837</c:v>
                </c:pt>
                <c:pt idx="849">
                  <c:v>1.6476899592513863</c:v>
                </c:pt>
                <c:pt idx="850">
                  <c:v>1.6476931683927931</c:v>
                </c:pt>
                <c:pt idx="851">
                  <c:v>1.672699816995344</c:v>
                </c:pt>
                <c:pt idx="852">
                  <c:v>1.6727070910159012</c:v>
                </c:pt>
                <c:pt idx="853">
                  <c:v>1.7173602517938056</c:v>
                </c:pt>
                <c:pt idx="854">
                  <c:v>1.7173647539643455</c:v>
                </c:pt>
                <c:pt idx="855">
                  <c:v>1.7282500362635433</c:v>
                </c:pt>
                <c:pt idx="856">
                  <c:v>1.7282500362635433</c:v>
                </c:pt>
                <c:pt idx="857">
                  <c:v>1.7282511203714439</c:v>
                </c:pt>
                <c:pt idx="858">
                  <c:v>1.7400000239289708</c:v>
                </c:pt>
                <c:pt idx="859">
                  <c:v>1.7399990470744284</c:v>
                </c:pt>
                <c:pt idx="860">
                  <c:v>1.7552003808515206</c:v>
                </c:pt>
                <c:pt idx="861">
                  <c:v>1.755205291929177</c:v>
                </c:pt>
                <c:pt idx="862">
                  <c:v>1.8051799563562025</c:v>
                </c:pt>
                <c:pt idx="863">
                  <c:v>1.8051799563562025</c:v>
                </c:pt>
                <c:pt idx="864">
                  <c:v>1.8062774019817758</c:v>
                </c:pt>
                <c:pt idx="865">
                  <c:v>1.8051895712560886</c:v>
                </c:pt>
                <c:pt idx="866">
                  <c:v>1.8051895712560886</c:v>
                </c:pt>
                <c:pt idx="867">
                  <c:v>1.8051895712560886</c:v>
                </c:pt>
                <c:pt idx="868">
                  <c:v>1.6544601557076475</c:v>
                </c:pt>
                <c:pt idx="869">
                  <c:v>1.6889299785939029</c:v>
                </c:pt>
                <c:pt idx="870">
                  <c:v>1.6889341306677508</c:v>
                </c:pt>
                <c:pt idx="871">
                  <c:v>1.6989400156039738</c:v>
                </c:pt>
                <c:pt idx="872">
                  <c:v>1.6989490733524815</c:v>
                </c:pt>
                <c:pt idx="873">
                  <c:v>1.7618199638197769</c:v>
                </c:pt>
                <c:pt idx="874">
                  <c:v>1.7618219323874775</c:v>
                </c:pt>
                <c:pt idx="875">
                  <c:v>1.7847199982470374</c:v>
                </c:pt>
                <c:pt idx="876">
                  <c:v>1.7847199982470374</c:v>
                </c:pt>
                <c:pt idx="877">
                  <c:v>1.784723603685467</c:v>
                </c:pt>
                <c:pt idx="878">
                  <c:v>1.6668002028059639</c:v>
                </c:pt>
                <c:pt idx="879">
                  <c:v>1.7407700251824103</c:v>
                </c:pt>
                <c:pt idx="880">
                  <c:v>1.7407704105723321</c:v>
                </c:pt>
                <c:pt idx="881">
                  <c:v>1.7847012305149159</c:v>
                </c:pt>
                <c:pt idx="882">
                  <c:v>1.846660049681571</c:v>
                </c:pt>
                <c:pt idx="883">
                  <c:v>1.846660049681571</c:v>
                </c:pt>
                <c:pt idx="884">
                  <c:v>1.846660049681571</c:v>
                </c:pt>
                <c:pt idx="885">
                  <c:v>1.8466703940019651</c:v>
                </c:pt>
                <c:pt idx="886">
                  <c:v>1.84666860116692</c:v>
                </c:pt>
                <c:pt idx="887">
                  <c:v>1.9228600786412955</c:v>
                </c:pt>
                <c:pt idx="888">
                  <c:v>1.9228600786412955</c:v>
                </c:pt>
                <c:pt idx="889">
                  <c:v>1.8081000696557556</c:v>
                </c:pt>
                <c:pt idx="890">
                  <c:v>1.8081000696557556</c:v>
                </c:pt>
                <c:pt idx="891">
                  <c:v>1.9228600575728108</c:v>
                </c:pt>
                <c:pt idx="892">
                  <c:v>1.9228600575728108</c:v>
                </c:pt>
                <c:pt idx="893">
                  <c:v>1.9590601770095375</c:v>
                </c:pt>
                <c:pt idx="894">
                  <c:v>1.9590601770095375</c:v>
                </c:pt>
                <c:pt idx="895">
                  <c:v>1.9459500642344914</c:v>
                </c:pt>
                <c:pt idx="896">
                  <c:v>1.9459500642344914</c:v>
                </c:pt>
                <c:pt idx="897">
                  <c:v>1.693620071267175</c:v>
                </c:pt>
                <c:pt idx="898">
                  <c:v>1.7170000090922883</c:v>
                </c:pt>
                <c:pt idx="899">
                  <c:v>1.743999897908018</c:v>
                </c:pt>
                <c:pt idx="900">
                  <c:v>1.7495000236844154</c:v>
                </c:pt>
                <c:pt idx="901">
                  <c:v>1.7495000236844154</c:v>
                </c:pt>
                <c:pt idx="902">
                  <c:v>1.7536700166783363</c:v>
                </c:pt>
                <c:pt idx="903">
                  <c:v>1.7570002977889787</c:v>
                </c:pt>
                <c:pt idx="904">
                  <c:v>1.7817900222623961</c:v>
                </c:pt>
                <c:pt idx="905">
                  <c:v>1.7879999691441348</c:v>
                </c:pt>
                <c:pt idx="906">
                  <c:v>1.7724999642194605</c:v>
                </c:pt>
                <c:pt idx="907">
                  <c:v>1.7000000039382501</c:v>
                </c:pt>
                <c:pt idx="908">
                  <c:v>1.7858999847084946</c:v>
                </c:pt>
                <c:pt idx="909">
                  <c:v>1.7433000098288394</c:v>
                </c:pt>
                <c:pt idx="910">
                  <c:v>1.7995185226689303</c:v>
                </c:pt>
                <c:pt idx="911">
                  <c:v>1.7620000589323981</c:v>
                </c:pt>
                <c:pt idx="912">
                  <c:v>1.7200000232591315</c:v>
                </c:pt>
                <c:pt idx="913">
                  <c:v>1.8016600182962068</c:v>
                </c:pt>
                <c:pt idx="914">
                  <c:v>1.8027901192158551</c:v>
                </c:pt>
                <c:pt idx="915">
                  <c:v>1.8554487553274088</c:v>
                </c:pt>
                <c:pt idx="916">
                  <c:v>1.9108200424068402</c:v>
                </c:pt>
                <c:pt idx="917">
                  <c:v>1.9108200582037653</c:v>
                </c:pt>
                <c:pt idx="918">
                  <c:v>1.8040000709640447</c:v>
                </c:pt>
                <c:pt idx="919">
                  <c:v>1.8039999927745269</c:v>
                </c:pt>
                <c:pt idx="920">
                  <c:v>1.8045000374697642</c:v>
                </c:pt>
                <c:pt idx="921">
                  <c:v>1.8061000163322376</c:v>
                </c:pt>
                <c:pt idx="922">
                  <c:v>1.8060989425627938</c:v>
                </c:pt>
                <c:pt idx="923">
                  <c:v>1.8340000218339876</c:v>
                </c:pt>
                <c:pt idx="924">
                  <c:v>1.8340000218339876</c:v>
                </c:pt>
                <c:pt idx="925">
                  <c:v>1.8348100707506558</c:v>
                </c:pt>
                <c:pt idx="926">
                  <c:v>1.8348100342753955</c:v>
                </c:pt>
                <c:pt idx="927">
                  <c:v>1.8061000308794006</c:v>
                </c:pt>
                <c:pt idx="928">
                  <c:v>1.8010000047444452</c:v>
                </c:pt>
                <c:pt idx="929">
                  <c:v>1.8010000047444452</c:v>
                </c:pt>
                <c:pt idx="930">
                  <c:v>1.8830000914874971</c:v>
                </c:pt>
                <c:pt idx="931">
                  <c:v>1.8829997449886187</c:v>
                </c:pt>
                <c:pt idx="932">
                  <c:v>1.8829995702113698</c:v>
                </c:pt>
                <c:pt idx="933">
                  <c:v>1.8830035017902687</c:v>
                </c:pt>
                <c:pt idx="934">
                  <c:v>1.816000045210322</c:v>
                </c:pt>
                <c:pt idx="935">
                  <c:v>1.8160000338508051</c:v>
                </c:pt>
                <c:pt idx="936">
                  <c:v>1.8502601002498293</c:v>
                </c:pt>
                <c:pt idx="937">
                  <c:v>1.8502600341237903</c:v>
                </c:pt>
                <c:pt idx="938">
                  <c:v>1.8810000285941479</c:v>
                </c:pt>
                <c:pt idx="939">
                  <c:v>1.9036600362888674</c:v>
                </c:pt>
                <c:pt idx="940">
                  <c:v>1.9036600023403909</c:v>
                </c:pt>
                <c:pt idx="941">
                  <c:v>1.903660050603216</c:v>
                </c:pt>
                <c:pt idx="942">
                  <c:v>1.8501299346771312</c:v>
                </c:pt>
                <c:pt idx="943">
                  <c:v>1.850130022791576</c:v>
                </c:pt>
                <c:pt idx="944">
                  <c:v>1.9006900806239733</c:v>
                </c:pt>
                <c:pt idx="945">
                  <c:v>1.9537500782295607</c:v>
                </c:pt>
                <c:pt idx="946">
                  <c:v>1.9537499302887589</c:v>
                </c:pt>
                <c:pt idx="947">
                  <c:v>2.0006899856983336</c:v>
                </c:pt>
                <c:pt idx="948">
                  <c:v>2.0006897806682615</c:v>
                </c:pt>
                <c:pt idx="949">
                  <c:v>2.0010001654231666</c:v>
                </c:pt>
                <c:pt idx="950">
                  <c:v>2.0033001855781087</c:v>
                </c:pt>
                <c:pt idx="951">
                  <c:v>2.003300037823077</c:v>
                </c:pt>
                <c:pt idx="952">
                  <c:v>2.0509002768975622</c:v>
                </c:pt>
                <c:pt idx="953">
                  <c:v>1.61340003612593</c:v>
                </c:pt>
                <c:pt idx="954">
                  <c:v>1.6124234635428971</c:v>
                </c:pt>
                <c:pt idx="955">
                  <c:v>1.6541000158933283</c:v>
                </c:pt>
                <c:pt idx="956">
                  <c:v>1.770469993710053</c:v>
                </c:pt>
                <c:pt idx="957">
                  <c:v>1.4970001300627946</c:v>
                </c:pt>
                <c:pt idx="958">
                  <c:v>1.4965300049258328</c:v>
                </c:pt>
                <c:pt idx="959">
                  <c:v>1.4970001449410866</c:v>
                </c:pt>
                <c:pt idx="960">
                  <c:v>1.4966502383884315</c:v>
                </c:pt>
                <c:pt idx="961">
                  <c:v>1.437800098864598</c:v>
                </c:pt>
                <c:pt idx="962">
                  <c:v>1.4374400141291168</c:v>
                </c:pt>
                <c:pt idx="963">
                  <c:v>1.4874900414887489</c:v>
                </c:pt>
                <c:pt idx="964">
                  <c:v>1.4868700625731366</c:v>
                </c:pt>
                <c:pt idx="965">
                  <c:v>1.5163299751635304</c:v>
                </c:pt>
                <c:pt idx="966">
                  <c:v>1.5157699920294929</c:v>
                </c:pt>
                <c:pt idx="967">
                  <c:v>1.5163299751635304</c:v>
                </c:pt>
                <c:pt idx="968">
                  <c:v>1.5157699920294929</c:v>
                </c:pt>
                <c:pt idx="969">
                  <c:v>1.5175997788745725</c:v>
                </c:pt>
                <c:pt idx="970">
                  <c:v>1.5169797068772501</c:v>
                </c:pt>
                <c:pt idx="971">
                  <c:v>1.5250001724942683</c:v>
                </c:pt>
                <c:pt idx="972">
                  <c:v>1.5236800501906926</c:v>
                </c:pt>
                <c:pt idx="973">
                  <c:v>1.6208700468189059</c:v>
                </c:pt>
                <c:pt idx="974">
                  <c:v>1.6199897397473384</c:v>
                </c:pt>
                <c:pt idx="975">
                  <c:v>1.594190254539122</c:v>
                </c:pt>
                <c:pt idx="976">
                  <c:v>1.5932697754438101</c:v>
                </c:pt>
                <c:pt idx="977">
                  <c:v>1.5927999667494963</c:v>
                </c:pt>
                <c:pt idx="978">
                  <c:v>1.5921599575325296</c:v>
                </c:pt>
                <c:pt idx="979">
                  <c:v>1.5690701313502844</c:v>
                </c:pt>
                <c:pt idx="980">
                  <c:v>1.5685399980454395</c:v>
                </c:pt>
                <c:pt idx="981">
                  <c:v>1.5831300149268486</c:v>
                </c:pt>
                <c:pt idx="982">
                  <c:v>1.5824097346062362</c:v>
                </c:pt>
                <c:pt idx="983">
                  <c:v>1.5831300330837785</c:v>
                </c:pt>
                <c:pt idx="984">
                  <c:v>1.5822899916322049</c:v>
                </c:pt>
                <c:pt idx="985">
                  <c:v>1.5870002394041642</c:v>
                </c:pt>
                <c:pt idx="986">
                  <c:v>1.5862500375157245</c:v>
                </c:pt>
                <c:pt idx="987">
                  <c:v>1.5891301679740151</c:v>
                </c:pt>
                <c:pt idx="988">
                  <c:v>1.5883301417711229</c:v>
                </c:pt>
                <c:pt idx="989">
                  <c:v>1.5891300118243694</c:v>
                </c:pt>
                <c:pt idx="990">
                  <c:v>1.5882799972189363</c:v>
                </c:pt>
                <c:pt idx="991">
                  <c:v>1.591699942372081</c:v>
                </c:pt>
                <c:pt idx="992">
                  <c:v>1.5908999151118457</c:v>
                </c:pt>
                <c:pt idx="993">
                  <c:v>1.6244600101019442</c:v>
                </c:pt>
                <c:pt idx="994">
                  <c:v>1.6234600018056193</c:v>
                </c:pt>
                <c:pt idx="995">
                  <c:v>1.608860003760471</c:v>
                </c:pt>
                <c:pt idx="996">
                  <c:v>1.6080901663477281</c:v>
                </c:pt>
                <c:pt idx="997">
                  <c:v>1.6778999895338838</c:v>
                </c:pt>
                <c:pt idx="998">
                  <c:v>1.6768600416250352</c:v>
                </c:pt>
                <c:pt idx="999">
                  <c:v>1.6938400014499722</c:v>
                </c:pt>
                <c:pt idx="1000">
                  <c:v>1.692809996230259</c:v>
                </c:pt>
                <c:pt idx="1001">
                  <c:v>1.7305003673395218</c:v>
                </c:pt>
                <c:pt idx="1002">
                  <c:v>1.729240318925557</c:v>
                </c:pt>
                <c:pt idx="1003">
                  <c:v>1.6691000100975979</c:v>
                </c:pt>
                <c:pt idx="1004">
                  <c:v>1.6679999629874982</c:v>
                </c:pt>
                <c:pt idx="1005">
                  <c:v>1.688930032268706</c:v>
                </c:pt>
                <c:pt idx="1006">
                  <c:v>1.6873100319868459</c:v>
                </c:pt>
                <c:pt idx="1007">
                  <c:v>2.0017000491737722</c:v>
                </c:pt>
                <c:pt idx="1008">
                  <c:v>1.9998000312722077</c:v>
                </c:pt>
                <c:pt idx="1009">
                  <c:v>1.7740000695803444</c:v>
                </c:pt>
                <c:pt idx="1010">
                  <c:v>1.7728802886741231</c:v>
                </c:pt>
                <c:pt idx="1011">
                  <c:v>1.7684200338397602</c:v>
                </c:pt>
                <c:pt idx="1012">
                  <c:v>1.7670896883371519</c:v>
                </c:pt>
                <c:pt idx="1013">
                  <c:v>1.7433000217714245</c:v>
                </c:pt>
                <c:pt idx="1014">
                  <c:v>1.7420999389638432</c:v>
                </c:pt>
                <c:pt idx="1015">
                  <c:v>1.7307700112259028</c:v>
                </c:pt>
                <c:pt idx="1016">
                  <c:v>1.7298600190715701</c:v>
                </c:pt>
                <c:pt idx="1017">
                  <c:v>1.803370036258648</c:v>
                </c:pt>
                <c:pt idx="1018">
                  <c:v>1.8022500354279241</c:v>
                </c:pt>
                <c:pt idx="1019">
                  <c:v>1.8100002367171364</c:v>
                </c:pt>
                <c:pt idx="1020">
                  <c:v>1.8088200105629912</c:v>
                </c:pt>
                <c:pt idx="1021">
                  <c:v>1.8224101366918029</c:v>
                </c:pt>
                <c:pt idx="1022">
                  <c:v>1.8213099753118933</c:v>
                </c:pt>
                <c:pt idx="1023">
                  <c:v>1.8838500251836143</c:v>
                </c:pt>
                <c:pt idx="1024">
                  <c:v>1.8825900428094822</c:v>
                </c:pt>
                <c:pt idx="1025">
                  <c:v>1.8087999272972715</c:v>
                </c:pt>
                <c:pt idx="1026">
                  <c:v>1.8075700522308802</c:v>
                </c:pt>
                <c:pt idx="1027">
                  <c:v>1.8522200128718833</c:v>
                </c:pt>
                <c:pt idx="1028">
                  <c:v>1.8510999095445022</c:v>
                </c:pt>
                <c:pt idx="1029">
                  <c:v>1.8455800138907112</c:v>
                </c:pt>
                <c:pt idx="1030">
                  <c:v>1.8444300168230026</c:v>
                </c:pt>
                <c:pt idx="1031">
                  <c:v>1.8537000439173528</c:v>
                </c:pt>
                <c:pt idx="1032">
                  <c:v>1.852600056009795</c:v>
                </c:pt>
                <c:pt idx="1033">
                  <c:v>1.8544999916920555</c:v>
                </c:pt>
                <c:pt idx="1034">
                  <c:v>1.8534399632537928</c:v>
                </c:pt>
                <c:pt idx="1035">
                  <c:v>1.4342536283389522</c:v>
                </c:pt>
                <c:pt idx="1036">
                  <c:v>1.4969986201023133</c:v>
                </c:pt>
                <c:pt idx="1037">
                  <c:v>1.4856296973218712</c:v>
                </c:pt>
                <c:pt idx="1038">
                  <c:v>1.5923994219218724</c:v>
                </c:pt>
                <c:pt idx="1039">
                  <c:v>1.5690764020081236</c:v>
                </c:pt>
                <c:pt idx="1040">
                  <c:v>1.5175979711366427</c:v>
                </c:pt>
                <c:pt idx="1041">
                  <c:v>1.5225006188464676</c:v>
                </c:pt>
                <c:pt idx="1042">
                  <c:v>1.5273997942697481</c:v>
                </c:pt>
                <c:pt idx="1043">
                  <c:v>1.5250051030663379</c:v>
                </c:pt>
                <c:pt idx="1044">
                  <c:v>1.5581966232478368</c:v>
                </c:pt>
                <c:pt idx="1045">
                  <c:v>1.5916951319060062</c:v>
                </c:pt>
                <c:pt idx="1046">
                  <c:v>1.6130529682071719</c:v>
                </c:pt>
                <c:pt idx="1047">
                  <c:v>1.59950150055517</c:v>
                </c:pt>
                <c:pt idx="1048">
                  <c:v>1.5949959585520952</c:v>
                </c:pt>
                <c:pt idx="1049">
                  <c:v>1.5521521060735128</c:v>
                </c:pt>
                <c:pt idx="1050">
                  <c:v>1.5869862655835383</c:v>
                </c:pt>
                <c:pt idx="1051">
                  <c:v>1.5839986014442193</c:v>
                </c:pt>
                <c:pt idx="1052">
                  <c:v>1.5891320310785504</c:v>
                </c:pt>
                <c:pt idx="1053">
                  <c:v>1.5911044700494614</c:v>
                </c:pt>
                <c:pt idx="1054">
                  <c:v>1.5867955828103042</c:v>
                </c:pt>
                <c:pt idx="1055">
                  <c:v>1.5866016304209927</c:v>
                </c:pt>
                <c:pt idx="1056">
                  <c:v>1.5642010282804799</c:v>
                </c:pt>
                <c:pt idx="1057">
                  <c:v>1.6042008678865034</c:v>
                </c:pt>
                <c:pt idx="1058">
                  <c:v>1.7719963935028715</c:v>
                </c:pt>
                <c:pt idx="1059">
                  <c:v>1.7659993508519092</c:v>
                </c:pt>
                <c:pt idx="1060">
                  <c:v>1.6939949853914862</c:v>
                </c:pt>
                <c:pt idx="1061">
                  <c:v>1.6956018282678957</c:v>
                </c:pt>
                <c:pt idx="1062">
                  <c:v>1.6324603417589791</c:v>
                </c:pt>
                <c:pt idx="1063">
                  <c:v>1.6385982541858035</c:v>
                </c:pt>
                <c:pt idx="1064">
                  <c:v>1.6567024535592179</c:v>
                </c:pt>
                <c:pt idx="1065">
                  <c:v>1.6695469496765354</c:v>
                </c:pt>
                <c:pt idx="1066">
                  <c:v>1.6103509074743672</c:v>
                </c:pt>
                <c:pt idx="1067">
                  <c:v>1.6938420545722612</c:v>
                </c:pt>
                <c:pt idx="1068">
                  <c:v>1.7555015713781861</c:v>
                </c:pt>
                <c:pt idx="1069">
                  <c:v>1.809978593981602</c:v>
                </c:pt>
                <c:pt idx="1070">
                  <c:v>1.8527959988203262</c:v>
                </c:pt>
                <c:pt idx="1071">
                  <c:v>1.8866045925854449</c:v>
                </c:pt>
                <c:pt idx="1072">
                  <c:v>1.8505998753807023</c:v>
                </c:pt>
                <c:pt idx="1073">
                  <c:v>1.803999116811962</c:v>
                </c:pt>
                <c:pt idx="1074">
                  <c:v>1.7485045096685723</c:v>
                </c:pt>
                <c:pt idx="1075">
                  <c:v>1.7988985844803693</c:v>
                </c:pt>
                <c:pt idx="1076">
                  <c:v>1.8105482176600143</c:v>
                </c:pt>
                <c:pt idx="1077">
                  <c:v>1.853750179156078</c:v>
                </c:pt>
                <c:pt idx="1078">
                  <c:v>1.693200310912206</c:v>
                </c:pt>
                <c:pt idx="1079">
                  <c:v>1.7224981343595183</c:v>
                </c:pt>
                <c:pt idx="1080">
                  <c:v>1.8064482581912686</c:v>
                </c:pt>
                <c:pt idx="1081">
                  <c:v>1.6922031734980403</c:v>
                </c:pt>
                <c:pt idx="1082">
                  <c:v>1.6651981912177691</c:v>
                </c:pt>
                <c:pt idx="1083">
                  <c:v>1.6182009125357109</c:v>
                </c:pt>
                <c:pt idx="1084">
                  <c:v>1.7142995521373103</c:v>
                </c:pt>
                <c:pt idx="1085">
                  <c:v>1.9068227222382352</c:v>
                </c:pt>
                <c:pt idx="1086">
                  <c:v>2.0017128259665005</c:v>
                </c:pt>
                <c:pt idx="1087">
                  <c:v>1.8391820606912315</c:v>
                </c:pt>
                <c:pt idx="1088">
                  <c:v>1.6630019232706716</c:v>
                </c:pt>
                <c:pt idx="1089">
                  <c:v>1.8506993157834728</c:v>
                </c:pt>
                <c:pt idx="1090">
                  <c:v>1.9045995382720253</c:v>
                </c:pt>
                <c:pt idx="1091">
                  <c:v>2.1439965262556786</c:v>
                </c:pt>
                <c:pt idx="1092">
                  <c:v>1.5066965981239175</c:v>
                </c:pt>
                <c:pt idx="1093">
                  <c:v>1.5424933682155355</c:v>
                </c:pt>
                <c:pt idx="1094">
                  <c:v>1.4874894991465635</c:v>
                </c:pt>
                <c:pt idx="1095">
                  <c:v>1.516329917074188</c:v>
                </c:pt>
                <c:pt idx="1096">
                  <c:v>1.5591937295473797</c:v>
                </c:pt>
                <c:pt idx="1097">
                  <c:v>1.6180036541105085</c:v>
                </c:pt>
                <c:pt idx="1098">
                  <c:v>1.6127159299078095</c:v>
                </c:pt>
                <c:pt idx="1099">
                  <c:v>1.5891293745551871</c:v>
                </c:pt>
                <c:pt idx="1100">
                  <c:v>1.6072880776609237</c:v>
                </c:pt>
                <c:pt idx="1101">
                  <c:v>1.6031087636630943</c:v>
                </c:pt>
                <c:pt idx="1102">
                  <c:v>1.6229866908039052</c:v>
                </c:pt>
                <c:pt idx="1103">
                  <c:v>1.62040730024383</c:v>
                </c:pt>
                <c:pt idx="1104">
                  <c:v>1.6385419334775289</c:v>
                </c:pt>
                <c:pt idx="1105">
                  <c:v>1.6385377571359174</c:v>
                </c:pt>
                <c:pt idx="1106">
                  <c:v>1.617202552840536</c:v>
                </c:pt>
                <c:pt idx="1107">
                  <c:v>1.6148369312843991</c:v>
                </c:pt>
                <c:pt idx="1108">
                  <c:v>1.6176495068033314</c:v>
                </c:pt>
                <c:pt idx="1109">
                  <c:v>1.6201196965532845</c:v>
                </c:pt>
                <c:pt idx="1110">
                  <c:v>1.6237315699495241</c:v>
                </c:pt>
                <c:pt idx="1111">
                  <c:v>1.6432839636579566</c:v>
                </c:pt>
                <c:pt idx="1112">
                  <c:v>1.6825089430916709</c:v>
                </c:pt>
                <c:pt idx="1113">
                  <c:v>1.6642198260314052</c:v>
                </c:pt>
                <c:pt idx="1114">
                  <c:v>1.6512929990056933</c:v>
                </c:pt>
                <c:pt idx="1115">
                  <c:v>1.6032464968534192</c:v>
                </c:pt>
                <c:pt idx="1116">
                  <c:v>1.6424994729132851</c:v>
                </c:pt>
                <c:pt idx="1117">
                  <c:v>1.6515983677120598</c:v>
                </c:pt>
                <c:pt idx="1118">
                  <c:v>1.7130030969356027</c:v>
                </c:pt>
                <c:pt idx="1119">
                  <c:v>1.6910012571421527</c:v>
                </c:pt>
                <c:pt idx="1120">
                  <c:v>1.7199998728308012</c:v>
                </c:pt>
                <c:pt idx="1121">
                  <c:v>1.6583016645585869</c:v>
                </c:pt>
                <c:pt idx="1122">
                  <c:v>1.6779049986098644</c:v>
                </c:pt>
                <c:pt idx="1123">
                  <c:v>1.6968001909402779</c:v>
                </c:pt>
                <c:pt idx="1124">
                  <c:v>1.7291627391543749</c:v>
                </c:pt>
                <c:pt idx="1125">
                  <c:v>1.6405045374939031</c:v>
                </c:pt>
                <c:pt idx="1126">
                  <c:v>1.6699939620151976</c:v>
                </c:pt>
                <c:pt idx="1127">
                  <c:v>1.7410005519538303</c:v>
                </c:pt>
                <c:pt idx="1128">
                  <c:v>1.7440036301791242</c:v>
                </c:pt>
                <c:pt idx="1129">
                  <c:v>1.7000079004823148</c:v>
                </c:pt>
                <c:pt idx="1130">
                  <c:v>1.7429959249904807</c:v>
                </c:pt>
                <c:pt idx="1131">
                  <c:v>1.7201381008815657</c:v>
                </c:pt>
                <c:pt idx="1132">
                  <c:v>1.7550004986022221</c:v>
                </c:pt>
                <c:pt idx="1133">
                  <c:v>1.8061082640504083</c:v>
                </c:pt>
                <c:pt idx="1134">
                  <c:v>1.8050069348780189</c:v>
                </c:pt>
                <c:pt idx="1135">
                  <c:v>1.799499267989485</c:v>
                </c:pt>
                <c:pt idx="1136">
                  <c:v>1.7849908308200448</c:v>
                </c:pt>
                <c:pt idx="1137">
                  <c:v>1.8040051445360787</c:v>
                </c:pt>
                <c:pt idx="1138">
                  <c:v>1.7724928327089504</c:v>
                </c:pt>
                <c:pt idx="1139">
                  <c:v>1.8350012554617647</c:v>
                </c:pt>
                <c:pt idx="1140">
                  <c:v>1.8348971461910601</c:v>
                </c:pt>
                <c:pt idx="1141">
                  <c:v>1.8160036495113587</c:v>
                </c:pt>
                <c:pt idx="1142">
                  <c:v>1.815492875749174</c:v>
                </c:pt>
                <c:pt idx="1143">
                  <c:v>1.8339941692353283</c:v>
                </c:pt>
                <c:pt idx="1144">
                  <c:v>1.7883006139890345</c:v>
                </c:pt>
                <c:pt idx="1145">
                  <c:v>1.8829888281588874</c:v>
                </c:pt>
                <c:pt idx="1146">
                  <c:v>1.8500214357782399</c:v>
                </c:pt>
                <c:pt idx="1147">
                  <c:v>1.8979961427764258</c:v>
                </c:pt>
                <c:pt idx="1148">
                  <c:v>1.9110003564690377</c:v>
                </c:pt>
                <c:pt idx="1149">
                  <c:v>1.7173608672409797</c:v>
                </c:pt>
                <c:pt idx="1150">
                  <c:v>1.7551992044635027</c:v>
                </c:pt>
                <c:pt idx="1151">
                  <c:v>1.8051888838330825</c:v>
                </c:pt>
                <c:pt idx="1152">
                  <c:v>1.6889299738724119</c:v>
                </c:pt>
                <c:pt idx="1153">
                  <c:v>1.6890978788944928</c:v>
                </c:pt>
                <c:pt idx="1154">
                  <c:v>1.7847347611759827</c:v>
                </c:pt>
                <c:pt idx="1155">
                  <c:v>1.7618213998235277</c:v>
                </c:pt>
                <c:pt idx="1156">
                  <c:v>1.8466986966628094</c:v>
                </c:pt>
                <c:pt idx="1157">
                  <c:v>1.8467013380903541</c:v>
                </c:pt>
                <c:pt idx="1158">
                  <c:v>2.0068044681766217</c:v>
                </c:pt>
                <c:pt idx="1159">
                  <c:v>1.8591979852857061</c:v>
                </c:pt>
                <c:pt idx="1160">
                  <c:v>1.7510636264928912</c:v>
                </c:pt>
                <c:pt idx="1161">
                  <c:v>1.425369948100448</c:v>
                </c:pt>
                <c:pt idx="1162">
                  <c:v>1.4138965548064915</c:v>
                </c:pt>
                <c:pt idx="1163">
                  <c:v>1.5445016002842791</c:v>
                </c:pt>
                <c:pt idx="1164">
                  <c:v>1.5445140715295009</c:v>
                </c:pt>
                <c:pt idx="1165">
                  <c:v>1.5449189011609292</c:v>
                </c:pt>
                <c:pt idx="1166">
                  <c:v>1.5449189011609292</c:v>
                </c:pt>
                <c:pt idx="1167">
                  <c:v>1.6328014333137917</c:v>
                </c:pt>
                <c:pt idx="1168">
                  <c:v>1.6605896896739287</c:v>
                </c:pt>
                <c:pt idx="1169">
                  <c:v>1.6327001407134833</c:v>
                </c:pt>
                <c:pt idx="1170">
                  <c:v>1.6497475653147411</c:v>
                </c:pt>
                <c:pt idx="1171">
                  <c:v>1.6079211702687797</c:v>
                </c:pt>
                <c:pt idx="1172">
                  <c:v>1.6421987193329921</c:v>
                </c:pt>
                <c:pt idx="1173">
                  <c:v>1.533201789446103</c:v>
                </c:pt>
                <c:pt idx="1174">
                  <c:v>1.5331017243486673</c:v>
                </c:pt>
                <c:pt idx="1175">
                  <c:v>1.5330017334381338</c:v>
                </c:pt>
                <c:pt idx="1176">
                  <c:v>1.5093975980208036</c:v>
                </c:pt>
                <c:pt idx="1177">
                  <c:v>1.509186100736811</c:v>
                </c:pt>
                <c:pt idx="1178">
                  <c:v>1.5251198422658674</c:v>
                </c:pt>
                <c:pt idx="1179">
                  <c:v>1.531131124692608</c:v>
                </c:pt>
                <c:pt idx="1180">
                  <c:v>1.5346110043380112</c:v>
                </c:pt>
                <c:pt idx="1181">
                  <c:v>1.5350369537610558</c:v>
                </c:pt>
                <c:pt idx="1182">
                  <c:v>1.5350369537610558</c:v>
                </c:pt>
                <c:pt idx="1183">
                  <c:v>1.5364967972133177</c:v>
                </c:pt>
                <c:pt idx="1184">
                  <c:v>1.5111205878146017</c:v>
                </c:pt>
                <c:pt idx="1185">
                  <c:v>1.6200408725688971</c:v>
                </c:pt>
                <c:pt idx="1186">
                  <c:v>1.5111209584188627</c:v>
                </c:pt>
                <c:pt idx="1187">
                  <c:v>1.6200401372462678</c:v>
                </c:pt>
                <c:pt idx="1188">
                  <c:v>1.4585665330566437</c:v>
                </c:pt>
                <c:pt idx="1189">
                  <c:v>1.4584999999999999</c:v>
                </c:pt>
                <c:pt idx="1190">
                  <c:v>1.45844</c:v>
                </c:pt>
                <c:pt idx="1191">
                  <c:v>1.43384</c:v>
                </c:pt>
                <c:pt idx="1192">
                  <c:v>1.43384</c:v>
                </c:pt>
                <c:pt idx="1193">
                  <c:v>1.4338489999999999</c:v>
                </c:pt>
              </c:numCache>
            </c:numRef>
          </c:xVal>
          <c:yVal>
            <c:numRef>
              <c:f>'Typecode Reference'!$F$3:$F$1196</c:f>
              <c:numCache>
                <c:formatCode>0.0000</c:formatCode>
                <c:ptCount val="1194"/>
                <c:pt idx="0">
                  <c:v>81.546844660932479</c:v>
                </c:pt>
                <c:pt idx="1">
                  <c:v>94.947134342214298</c:v>
                </c:pt>
                <c:pt idx="2">
                  <c:v>94.662164567568809</c:v>
                </c:pt>
                <c:pt idx="3">
                  <c:v>67.736525519310234</c:v>
                </c:pt>
                <c:pt idx="4">
                  <c:v>74.703997751608128</c:v>
                </c:pt>
                <c:pt idx="5">
                  <c:v>76.453723890856693</c:v>
                </c:pt>
                <c:pt idx="6">
                  <c:v>70.697902437794809</c:v>
                </c:pt>
                <c:pt idx="7">
                  <c:v>70.237067175287734</c:v>
                </c:pt>
                <c:pt idx="8">
                  <c:v>64.142771520600476</c:v>
                </c:pt>
                <c:pt idx="9">
                  <c:v>56.816751921453715</c:v>
                </c:pt>
                <c:pt idx="10">
                  <c:v>57.053399932658891</c:v>
                </c:pt>
                <c:pt idx="11">
                  <c:v>60.641794367739081</c:v>
                </c:pt>
                <c:pt idx="12">
                  <c:v>58.166452186292382</c:v>
                </c:pt>
                <c:pt idx="13">
                  <c:v>60.290293994699766</c:v>
                </c:pt>
                <c:pt idx="14">
                  <c:v>55.380686650034711</c:v>
                </c:pt>
                <c:pt idx="15">
                  <c:v>50.878164612511981</c:v>
                </c:pt>
                <c:pt idx="16">
                  <c:v>49.815652226825435</c:v>
                </c:pt>
                <c:pt idx="17">
                  <c:v>53.024516192229044</c:v>
                </c:pt>
                <c:pt idx="18">
                  <c:v>60.078830031608142</c:v>
                </c:pt>
                <c:pt idx="19">
                  <c:v>58.9027550845639</c:v>
                </c:pt>
                <c:pt idx="20">
                  <c:v>52.431531630348822</c:v>
                </c:pt>
                <c:pt idx="21">
                  <c:v>52.952740625255991</c:v>
                </c:pt>
                <c:pt idx="22">
                  <c:v>59.463181775308371</c:v>
                </c:pt>
                <c:pt idx="23">
                  <c:v>56.364567627656328</c:v>
                </c:pt>
                <c:pt idx="24">
                  <c:v>61.135743477136124</c:v>
                </c:pt>
                <c:pt idx="25">
                  <c:v>59.375374859649561</c:v>
                </c:pt>
                <c:pt idx="26">
                  <c:v>43.707512537941668</c:v>
                </c:pt>
                <c:pt idx="27">
                  <c:v>44.873350019963461</c:v>
                </c:pt>
                <c:pt idx="28">
                  <c:v>48.325830933046404</c:v>
                </c:pt>
                <c:pt idx="29">
                  <c:v>41.239946183895277</c:v>
                </c:pt>
                <c:pt idx="30">
                  <c:v>37.956071469707304</c:v>
                </c:pt>
                <c:pt idx="31">
                  <c:v>63.334253349101168</c:v>
                </c:pt>
                <c:pt idx="32">
                  <c:v>63.322196710854378</c:v>
                </c:pt>
                <c:pt idx="33">
                  <c:v>65.444418060462013</c:v>
                </c:pt>
                <c:pt idx="34">
                  <c:v>45.784833890743862</c:v>
                </c:pt>
                <c:pt idx="35">
                  <c:v>47.227698976429018</c:v>
                </c:pt>
                <c:pt idx="36">
                  <c:v>48.841308037633901</c:v>
                </c:pt>
                <c:pt idx="37">
                  <c:v>40.748066581060101</c:v>
                </c:pt>
                <c:pt idx="38">
                  <c:v>42.817599183731161</c:v>
                </c:pt>
                <c:pt idx="39">
                  <c:v>41.505715996842042</c:v>
                </c:pt>
                <c:pt idx="40">
                  <c:v>36.263828198584825</c:v>
                </c:pt>
                <c:pt idx="41">
                  <c:v>38.027816861425308</c:v>
                </c:pt>
                <c:pt idx="42">
                  <c:v>39.242756627498437</c:v>
                </c:pt>
                <c:pt idx="43">
                  <c:v>32.099609467818134</c:v>
                </c:pt>
                <c:pt idx="44">
                  <c:v>34.466852229510494</c:v>
                </c:pt>
                <c:pt idx="45">
                  <c:v>31.07584163844616</c:v>
                </c:pt>
                <c:pt idx="46">
                  <c:v>30.128245944111814</c:v>
                </c:pt>
                <c:pt idx="47">
                  <c:v>29.518464410723244</c:v>
                </c:pt>
                <c:pt idx="48">
                  <c:v>28.296364085731941</c:v>
                </c:pt>
                <c:pt idx="49">
                  <c:v>27.512438964645373</c:v>
                </c:pt>
                <c:pt idx="50">
                  <c:v>25.425688543988588</c:v>
                </c:pt>
                <c:pt idx="51">
                  <c:v>28.460960305019999</c:v>
                </c:pt>
                <c:pt idx="52">
                  <c:v>25.683774838457573</c:v>
                </c:pt>
                <c:pt idx="53">
                  <c:v>27.789712706147007</c:v>
                </c:pt>
                <c:pt idx="54">
                  <c:v>26.518223653500911</c:v>
                </c:pt>
                <c:pt idx="55">
                  <c:v>29.232700573233874</c:v>
                </c:pt>
                <c:pt idx="56">
                  <c:v>23.778245460006783</c:v>
                </c:pt>
                <c:pt idx="57">
                  <c:v>23.778245460006783</c:v>
                </c:pt>
                <c:pt idx="58">
                  <c:v>23.86414366347055</c:v>
                </c:pt>
                <c:pt idx="59">
                  <c:v>24.114710753865129</c:v>
                </c:pt>
                <c:pt idx="60">
                  <c:v>58.5451462052606</c:v>
                </c:pt>
                <c:pt idx="61">
                  <c:v>53.867696805828494</c:v>
                </c:pt>
                <c:pt idx="62">
                  <c:v>54.823226492555712</c:v>
                </c:pt>
                <c:pt idx="63">
                  <c:v>50.231163622147136</c:v>
                </c:pt>
                <c:pt idx="64">
                  <c:v>55.341852314249884</c:v>
                </c:pt>
                <c:pt idx="65">
                  <c:v>55.347541833773562</c:v>
                </c:pt>
                <c:pt idx="66">
                  <c:v>55.532897002712772</c:v>
                </c:pt>
                <c:pt idx="67">
                  <c:v>54.680659658866752</c:v>
                </c:pt>
                <c:pt idx="68">
                  <c:v>54.593414719264238</c:v>
                </c:pt>
                <c:pt idx="69">
                  <c:v>54.095863374697636</c:v>
                </c:pt>
                <c:pt idx="70">
                  <c:v>51.11279807985747</c:v>
                </c:pt>
                <c:pt idx="71">
                  <c:v>52.380028097955758</c:v>
                </c:pt>
                <c:pt idx="72">
                  <c:v>56.239042527320947</c:v>
                </c:pt>
                <c:pt idx="73">
                  <c:v>50.811260945358818</c:v>
                </c:pt>
                <c:pt idx="74">
                  <c:v>51.471182164227976</c:v>
                </c:pt>
                <c:pt idx="75">
                  <c:v>52.637126471728891</c:v>
                </c:pt>
                <c:pt idx="76">
                  <c:v>52.602574978217277</c:v>
                </c:pt>
                <c:pt idx="77">
                  <c:v>44.786974351776742</c:v>
                </c:pt>
                <c:pt idx="78">
                  <c:v>47.928547466743851</c:v>
                </c:pt>
                <c:pt idx="79">
                  <c:v>35.283835230128716</c:v>
                </c:pt>
                <c:pt idx="80">
                  <c:v>40.100668871073019</c:v>
                </c:pt>
                <c:pt idx="81">
                  <c:v>49.340034170526877</c:v>
                </c:pt>
                <c:pt idx="82">
                  <c:v>34.967837161904718</c:v>
                </c:pt>
                <c:pt idx="83">
                  <c:v>37.089908662322408</c:v>
                </c:pt>
                <c:pt idx="84">
                  <c:v>44.20317204436774</c:v>
                </c:pt>
                <c:pt idx="85">
                  <c:v>42.225520097363649</c:v>
                </c:pt>
                <c:pt idx="86">
                  <c:v>42.240019907190167</c:v>
                </c:pt>
                <c:pt idx="87">
                  <c:v>40.926495645030677</c:v>
                </c:pt>
                <c:pt idx="88">
                  <c:v>40.930290677904935</c:v>
                </c:pt>
                <c:pt idx="89">
                  <c:v>42.725842011049998</c:v>
                </c:pt>
                <c:pt idx="90">
                  <c:v>42.744198644227495</c:v>
                </c:pt>
                <c:pt idx="91">
                  <c:v>40.765603028370677</c:v>
                </c:pt>
                <c:pt idx="92">
                  <c:v>46.621121266208654</c:v>
                </c:pt>
                <c:pt idx="93">
                  <c:v>37.160944664381319</c:v>
                </c:pt>
                <c:pt idx="94">
                  <c:v>37.172557039240338</c:v>
                </c:pt>
                <c:pt idx="95">
                  <c:v>37.207314672122195</c:v>
                </c:pt>
                <c:pt idx="96">
                  <c:v>39.580975287905481</c:v>
                </c:pt>
                <c:pt idx="97">
                  <c:v>47.369090177762786</c:v>
                </c:pt>
                <c:pt idx="98">
                  <c:v>46.583991735193997</c:v>
                </c:pt>
                <c:pt idx="99">
                  <c:v>46.528091976878208</c:v>
                </c:pt>
                <c:pt idx="100">
                  <c:v>49.598963505509388</c:v>
                </c:pt>
                <c:pt idx="101">
                  <c:v>49.548505418982884</c:v>
                </c:pt>
                <c:pt idx="102">
                  <c:v>32.270523393501108</c:v>
                </c:pt>
                <c:pt idx="103">
                  <c:v>28.273636001302581</c:v>
                </c:pt>
                <c:pt idx="104">
                  <c:v>31.604543032570483</c:v>
                </c:pt>
                <c:pt idx="105">
                  <c:v>40.782766316094651</c:v>
                </c:pt>
                <c:pt idx="106">
                  <c:v>37.134481055739833</c:v>
                </c:pt>
                <c:pt idx="107">
                  <c:v>35.037260217666699</c:v>
                </c:pt>
                <c:pt idx="108">
                  <c:v>31.343458393234734</c:v>
                </c:pt>
                <c:pt idx="109">
                  <c:v>48.489276235073305</c:v>
                </c:pt>
                <c:pt idx="110">
                  <c:v>52.319439110964339</c:v>
                </c:pt>
                <c:pt idx="111">
                  <c:v>32.325130043940511</c:v>
                </c:pt>
                <c:pt idx="112">
                  <c:v>29.139840134036849</c:v>
                </c:pt>
                <c:pt idx="113">
                  <c:v>29.139840134036849</c:v>
                </c:pt>
                <c:pt idx="114">
                  <c:v>35.310516152525217</c:v>
                </c:pt>
                <c:pt idx="115">
                  <c:v>44.268241579702654</c:v>
                </c:pt>
                <c:pt idx="116">
                  <c:v>41.079824446041634</c:v>
                </c:pt>
                <c:pt idx="117">
                  <c:v>39.683279924419061</c:v>
                </c:pt>
                <c:pt idx="118">
                  <c:v>34.70841337379705</c:v>
                </c:pt>
                <c:pt idx="119">
                  <c:v>35.332916257604339</c:v>
                </c:pt>
                <c:pt idx="120">
                  <c:v>38.25654612761879</c:v>
                </c:pt>
                <c:pt idx="121">
                  <c:v>32.326992567714512</c:v>
                </c:pt>
                <c:pt idx="122">
                  <c:v>29.845064835575876</c:v>
                </c:pt>
                <c:pt idx="123">
                  <c:v>24.799296052244362</c:v>
                </c:pt>
                <c:pt idx="124">
                  <c:v>30.046807103392066</c:v>
                </c:pt>
                <c:pt idx="125">
                  <c:v>28.429008278803753</c:v>
                </c:pt>
                <c:pt idx="126">
                  <c:v>35.823871730249635</c:v>
                </c:pt>
                <c:pt idx="127">
                  <c:v>22.761112101380657</c:v>
                </c:pt>
                <c:pt idx="128">
                  <c:v>22.761112101380657</c:v>
                </c:pt>
                <c:pt idx="129">
                  <c:v>18.897162025186191</c:v>
                </c:pt>
                <c:pt idx="130">
                  <c:v>17.471485305976429</c:v>
                </c:pt>
                <c:pt idx="131">
                  <c:v>20.362076310461269</c:v>
                </c:pt>
                <c:pt idx="132">
                  <c:v>22.729031031505563</c:v>
                </c:pt>
                <c:pt idx="133">
                  <c:v>23.91190651375025</c:v>
                </c:pt>
                <c:pt idx="134">
                  <c:v>64.065875674363241</c:v>
                </c:pt>
                <c:pt idx="135">
                  <c:v>61.153318143224965</c:v>
                </c:pt>
                <c:pt idx="136">
                  <c:v>60.994712931308534</c:v>
                </c:pt>
                <c:pt idx="137">
                  <c:v>59.386395180254262</c:v>
                </c:pt>
                <c:pt idx="138">
                  <c:v>59.248993881528996</c:v>
                </c:pt>
                <c:pt idx="139">
                  <c:v>59.69768343166065</c:v>
                </c:pt>
                <c:pt idx="140">
                  <c:v>31.023789345369526</c:v>
                </c:pt>
                <c:pt idx="141">
                  <c:v>53.186431760657797</c:v>
                </c:pt>
                <c:pt idx="142">
                  <c:v>52.93122839740392</c:v>
                </c:pt>
                <c:pt idx="143">
                  <c:v>49.296167974930512</c:v>
                </c:pt>
                <c:pt idx="144">
                  <c:v>40.508651616900728</c:v>
                </c:pt>
                <c:pt idx="145">
                  <c:v>40.907800266945117</c:v>
                </c:pt>
                <c:pt idx="146">
                  <c:v>40.548997076013265</c:v>
                </c:pt>
                <c:pt idx="147">
                  <c:v>40.37886014759026</c:v>
                </c:pt>
                <c:pt idx="148">
                  <c:v>40.098085025296207</c:v>
                </c:pt>
                <c:pt idx="149">
                  <c:v>49.097500525966964</c:v>
                </c:pt>
                <c:pt idx="150">
                  <c:v>37.09822415667287</c:v>
                </c:pt>
                <c:pt idx="151">
                  <c:v>30.164174612227082</c:v>
                </c:pt>
                <c:pt idx="152">
                  <c:v>24.559372959381275</c:v>
                </c:pt>
                <c:pt idx="153">
                  <c:v>60.667288675467688</c:v>
                </c:pt>
                <c:pt idx="154">
                  <c:v>58.551346032757174</c:v>
                </c:pt>
                <c:pt idx="155">
                  <c:v>56.164384909067905</c:v>
                </c:pt>
                <c:pt idx="156">
                  <c:v>46.025128769348207</c:v>
                </c:pt>
                <c:pt idx="157">
                  <c:v>50.800469201328035</c:v>
                </c:pt>
                <c:pt idx="158">
                  <c:v>47.231487440617222</c:v>
                </c:pt>
                <c:pt idx="159">
                  <c:v>33.793225463075558</c:v>
                </c:pt>
                <c:pt idx="160">
                  <c:v>26.291557253491586</c:v>
                </c:pt>
                <c:pt idx="161">
                  <c:v>53.205958630977314</c:v>
                </c:pt>
                <c:pt idx="162">
                  <c:v>47.823744441559022</c:v>
                </c:pt>
                <c:pt idx="163">
                  <c:v>39.586634162225408</c:v>
                </c:pt>
                <c:pt idx="164">
                  <c:v>30.656378065823571</c:v>
                </c:pt>
                <c:pt idx="165">
                  <c:v>70.441981615346577</c:v>
                </c:pt>
                <c:pt idx="166">
                  <c:v>81.609338867295563</c:v>
                </c:pt>
                <c:pt idx="167">
                  <c:v>81.560538997994428</c:v>
                </c:pt>
                <c:pt idx="168">
                  <c:v>90.195979557961806</c:v>
                </c:pt>
                <c:pt idx="169">
                  <c:v>95.101497339120698</c:v>
                </c:pt>
                <c:pt idx="170">
                  <c:v>71.762352755064896</c:v>
                </c:pt>
                <c:pt idx="171">
                  <c:v>68.625190919574877</c:v>
                </c:pt>
                <c:pt idx="172">
                  <c:v>60.475408544928001</c:v>
                </c:pt>
                <c:pt idx="173">
                  <c:v>71.616620856964005</c:v>
                </c:pt>
                <c:pt idx="174">
                  <c:v>75.497227339899098</c:v>
                </c:pt>
                <c:pt idx="175">
                  <c:v>85.297025940146852</c:v>
                </c:pt>
                <c:pt idx="176">
                  <c:v>63.396604110053339</c:v>
                </c:pt>
                <c:pt idx="177">
                  <c:v>63.880720723193605</c:v>
                </c:pt>
                <c:pt idx="178">
                  <c:v>67.002631026534914</c:v>
                </c:pt>
                <c:pt idx="179">
                  <c:v>64.199006677264492</c:v>
                </c:pt>
                <c:pt idx="180">
                  <c:v>58.961579914903972</c:v>
                </c:pt>
                <c:pt idx="181">
                  <c:v>56.044789264357206</c:v>
                </c:pt>
                <c:pt idx="182">
                  <c:v>61.253339064275551</c:v>
                </c:pt>
                <c:pt idx="183">
                  <c:v>60.344559093863069</c:v>
                </c:pt>
                <c:pt idx="184">
                  <c:v>50.855201418297376</c:v>
                </c:pt>
                <c:pt idx="185">
                  <c:v>53.93949056535773</c:v>
                </c:pt>
                <c:pt idx="186">
                  <c:v>55.46034796386013</c:v>
                </c:pt>
                <c:pt idx="187">
                  <c:v>52.318448485475685</c:v>
                </c:pt>
                <c:pt idx="188">
                  <c:v>52.323469565240309</c:v>
                </c:pt>
                <c:pt idx="189">
                  <c:v>54.538176708208205</c:v>
                </c:pt>
                <c:pt idx="190">
                  <c:v>54.674159882718605</c:v>
                </c:pt>
                <c:pt idx="191">
                  <c:v>52.151432255089226</c:v>
                </c:pt>
                <c:pt idx="192">
                  <c:v>45.821286012394708</c:v>
                </c:pt>
                <c:pt idx="193">
                  <c:v>47.20132044930147</c:v>
                </c:pt>
                <c:pt idx="194">
                  <c:v>40.891164705064483</c:v>
                </c:pt>
                <c:pt idx="195">
                  <c:v>42.842308114992854</c:v>
                </c:pt>
                <c:pt idx="196">
                  <c:v>36.301050123506045</c:v>
                </c:pt>
                <c:pt idx="197">
                  <c:v>38.011091292179586</c:v>
                </c:pt>
                <c:pt idx="198">
                  <c:v>29.501185363434487</c:v>
                </c:pt>
                <c:pt idx="199">
                  <c:v>33.840988096025463</c:v>
                </c:pt>
                <c:pt idx="200">
                  <c:v>27.530614208633949</c:v>
                </c:pt>
                <c:pt idx="201">
                  <c:v>32.170945082921094</c:v>
                </c:pt>
                <c:pt idx="202">
                  <c:v>31.16091888981515</c:v>
                </c:pt>
                <c:pt idx="203">
                  <c:v>31.138854178557565</c:v>
                </c:pt>
                <c:pt idx="204">
                  <c:v>28.321174728682873</c:v>
                </c:pt>
                <c:pt idx="205">
                  <c:v>27.760832272104182</c:v>
                </c:pt>
                <c:pt idx="206">
                  <c:v>30.050793521482724</c:v>
                </c:pt>
                <c:pt idx="207">
                  <c:v>25.456755538770992</c:v>
                </c:pt>
                <c:pt idx="208">
                  <c:v>25.456755538770992</c:v>
                </c:pt>
                <c:pt idx="209">
                  <c:v>25.721133191516234</c:v>
                </c:pt>
                <c:pt idx="210">
                  <c:v>26.609369698277494</c:v>
                </c:pt>
                <c:pt idx="211">
                  <c:v>22.764635546347503</c:v>
                </c:pt>
                <c:pt idx="212">
                  <c:v>26.813772272296195</c:v>
                </c:pt>
                <c:pt idx="213">
                  <c:v>30.050205167626835</c:v>
                </c:pt>
                <c:pt idx="214">
                  <c:v>20.880655001163362</c:v>
                </c:pt>
                <c:pt idx="215">
                  <c:v>20.880655001163362</c:v>
                </c:pt>
                <c:pt idx="216">
                  <c:v>19.317445482045095</c:v>
                </c:pt>
                <c:pt idx="217">
                  <c:v>17.01870086341015</c:v>
                </c:pt>
                <c:pt idx="218">
                  <c:v>16.4841216827548</c:v>
                </c:pt>
                <c:pt idx="219">
                  <c:v>17.24952934352439</c:v>
                </c:pt>
                <c:pt idx="220">
                  <c:v>17.984495257630545</c:v>
                </c:pt>
                <c:pt idx="221">
                  <c:v>17.984495257630545</c:v>
                </c:pt>
                <c:pt idx="222">
                  <c:v>20.019467791056709</c:v>
                </c:pt>
                <c:pt idx="223">
                  <c:v>23.956452439999278</c:v>
                </c:pt>
                <c:pt idx="224">
                  <c:v>23.956452439999278</c:v>
                </c:pt>
                <c:pt idx="225">
                  <c:v>23.836188187609871</c:v>
                </c:pt>
                <c:pt idx="226">
                  <c:v>23.785124439692968</c:v>
                </c:pt>
                <c:pt idx="227">
                  <c:v>35.446061536474943</c:v>
                </c:pt>
                <c:pt idx="228">
                  <c:v>25.047885779073056</c:v>
                </c:pt>
                <c:pt idx="229">
                  <c:v>41.149457053762632</c:v>
                </c:pt>
                <c:pt idx="230">
                  <c:v>37.994572547925422</c:v>
                </c:pt>
                <c:pt idx="231">
                  <c:v>44.899616332014929</c:v>
                </c:pt>
                <c:pt idx="232">
                  <c:v>47.981679651206989</c:v>
                </c:pt>
                <c:pt idx="233">
                  <c:v>44.293655192309302</c:v>
                </c:pt>
                <c:pt idx="234">
                  <c:v>49.222184135392439</c:v>
                </c:pt>
                <c:pt idx="235">
                  <c:v>37.345515018538869</c:v>
                </c:pt>
                <c:pt idx="236">
                  <c:v>43.934913450691994</c:v>
                </c:pt>
                <c:pt idx="237">
                  <c:v>40.734848049564192</c:v>
                </c:pt>
                <c:pt idx="238">
                  <c:v>33.26981783183016</c:v>
                </c:pt>
                <c:pt idx="239">
                  <c:v>33.26981783183016</c:v>
                </c:pt>
                <c:pt idx="240">
                  <c:v>25.155020923747699</c:v>
                </c:pt>
                <c:pt idx="241">
                  <c:v>25.965937540549476</c:v>
                </c:pt>
                <c:pt idx="242">
                  <c:v>26.196060274550632</c:v>
                </c:pt>
                <c:pt idx="243">
                  <c:v>27.05863206165559</c:v>
                </c:pt>
                <c:pt idx="244">
                  <c:v>29.736111052887964</c:v>
                </c:pt>
                <c:pt idx="245">
                  <c:v>29.997502316800631</c:v>
                </c:pt>
                <c:pt idx="246">
                  <c:v>32.233576623172119</c:v>
                </c:pt>
                <c:pt idx="247">
                  <c:v>39.480592660666296</c:v>
                </c:pt>
                <c:pt idx="248">
                  <c:v>49.624875383815862</c:v>
                </c:pt>
                <c:pt idx="249">
                  <c:v>46.503255543176344</c:v>
                </c:pt>
                <c:pt idx="250">
                  <c:v>48.092545518103357</c:v>
                </c:pt>
                <c:pt idx="251">
                  <c:v>42.721978746063002</c:v>
                </c:pt>
                <c:pt idx="252">
                  <c:v>31.316455987633621</c:v>
                </c:pt>
                <c:pt idx="253">
                  <c:v>31.315405811530198</c:v>
                </c:pt>
                <c:pt idx="254">
                  <c:v>40.80589970331615</c:v>
                </c:pt>
                <c:pt idx="255">
                  <c:v>40.729127336868537</c:v>
                </c:pt>
                <c:pt idx="256">
                  <c:v>40.139291469484768</c:v>
                </c:pt>
                <c:pt idx="257">
                  <c:v>42.696799468454238</c:v>
                </c:pt>
                <c:pt idx="258">
                  <c:v>35.254469705422579</c:v>
                </c:pt>
                <c:pt idx="259">
                  <c:v>37.372901722499975</c:v>
                </c:pt>
                <c:pt idx="260">
                  <c:v>25.458705671164012</c:v>
                </c:pt>
                <c:pt idx="261">
                  <c:v>25.458705671164012</c:v>
                </c:pt>
                <c:pt idx="262">
                  <c:v>32.318092412004724</c:v>
                </c:pt>
                <c:pt idx="263">
                  <c:v>32.319163071752378</c:v>
                </c:pt>
                <c:pt idx="264">
                  <c:v>29.135081603785888</c:v>
                </c:pt>
                <c:pt idx="265">
                  <c:v>29.135081603785888</c:v>
                </c:pt>
                <c:pt idx="266">
                  <c:v>26.94273968292325</c:v>
                </c:pt>
                <c:pt idx="267">
                  <c:v>23.385560499928072</c:v>
                </c:pt>
                <c:pt idx="268">
                  <c:v>90.270801240797979</c:v>
                </c:pt>
                <c:pt idx="269">
                  <c:v>68.625190919574877</c:v>
                </c:pt>
                <c:pt idx="270">
                  <c:v>63.711710855504244</c:v>
                </c:pt>
                <c:pt idx="271">
                  <c:v>56.714566046236556</c:v>
                </c:pt>
                <c:pt idx="272">
                  <c:v>58.578852260248766</c:v>
                </c:pt>
                <c:pt idx="273">
                  <c:v>60.830810440662276</c:v>
                </c:pt>
                <c:pt idx="274">
                  <c:v>60.69534589725685</c:v>
                </c:pt>
                <c:pt idx="275">
                  <c:v>58.123012510900281</c:v>
                </c:pt>
                <c:pt idx="276">
                  <c:v>55.45027019422762</c:v>
                </c:pt>
                <c:pt idx="277">
                  <c:v>58.404595407180153</c:v>
                </c:pt>
                <c:pt idx="278">
                  <c:v>54.698692589142091</c:v>
                </c:pt>
                <c:pt idx="279">
                  <c:v>50.344383023848906</c:v>
                </c:pt>
                <c:pt idx="280">
                  <c:v>55.519340782274917</c:v>
                </c:pt>
                <c:pt idx="281">
                  <c:v>53.343606480386313</c:v>
                </c:pt>
                <c:pt idx="282">
                  <c:v>60.200720781746718</c:v>
                </c:pt>
                <c:pt idx="283">
                  <c:v>48.841360234270198</c:v>
                </c:pt>
                <c:pt idx="284">
                  <c:v>35.741033653777365</c:v>
                </c:pt>
                <c:pt idx="285">
                  <c:v>36.961063770483364</c:v>
                </c:pt>
                <c:pt idx="286">
                  <c:v>39.221121454435995</c:v>
                </c:pt>
                <c:pt idx="287">
                  <c:v>29.500879540805908</c:v>
                </c:pt>
                <c:pt idx="288">
                  <c:v>27.530827330156548</c:v>
                </c:pt>
                <c:pt idx="289">
                  <c:v>34.571012466549</c:v>
                </c:pt>
                <c:pt idx="290">
                  <c:v>28.320844749483083</c:v>
                </c:pt>
                <c:pt idx="291">
                  <c:v>30.050895746312712</c:v>
                </c:pt>
                <c:pt idx="292">
                  <c:v>17.01870086341015</c:v>
                </c:pt>
                <c:pt idx="293">
                  <c:v>23.956452439999278</c:v>
                </c:pt>
                <c:pt idx="294">
                  <c:v>23.785124439692968</c:v>
                </c:pt>
                <c:pt idx="295">
                  <c:v>52.602636429069811</c:v>
                </c:pt>
                <c:pt idx="296">
                  <c:v>51.054697442800361</c:v>
                </c:pt>
                <c:pt idx="297">
                  <c:v>47.197028588747173</c:v>
                </c:pt>
                <c:pt idx="298">
                  <c:v>48.297884388442327</c:v>
                </c:pt>
                <c:pt idx="299">
                  <c:v>44.361221456237182</c:v>
                </c:pt>
                <c:pt idx="300">
                  <c:v>39.621114962038519</c:v>
                </c:pt>
                <c:pt idx="301">
                  <c:v>56.911536931237634</c:v>
                </c:pt>
                <c:pt idx="302">
                  <c:v>53.031446014175891</c:v>
                </c:pt>
                <c:pt idx="303">
                  <c:v>47.051307883119151</c:v>
                </c:pt>
                <c:pt idx="304">
                  <c:v>35.041022961288704</c:v>
                </c:pt>
                <c:pt idx="305">
                  <c:v>39.636479146580662</c:v>
                </c:pt>
                <c:pt idx="306">
                  <c:v>42.340636645719911</c:v>
                </c:pt>
                <c:pt idx="307">
                  <c:v>45.386961072608067</c:v>
                </c:pt>
                <c:pt idx="308">
                  <c:v>46.503093973156211</c:v>
                </c:pt>
                <c:pt idx="309">
                  <c:v>47.494353696426181</c:v>
                </c:pt>
                <c:pt idx="310">
                  <c:v>46.57245863212998</c:v>
                </c:pt>
                <c:pt idx="311">
                  <c:v>42.72230351391191</c:v>
                </c:pt>
                <c:pt idx="312">
                  <c:v>35.250443991455498</c:v>
                </c:pt>
                <c:pt idx="313">
                  <c:v>37.371018735231026</c:v>
                </c:pt>
                <c:pt idx="314">
                  <c:v>81.560538997994428</c:v>
                </c:pt>
                <c:pt idx="315">
                  <c:v>81.522970463457312</c:v>
                </c:pt>
                <c:pt idx="316">
                  <c:v>81.522970463457312</c:v>
                </c:pt>
                <c:pt idx="317">
                  <c:v>71.68540160556131</c:v>
                </c:pt>
                <c:pt idx="318">
                  <c:v>71.719051341991474</c:v>
                </c:pt>
                <c:pt idx="319">
                  <c:v>71.719051341991474</c:v>
                </c:pt>
                <c:pt idx="320">
                  <c:v>63.856116665041604</c:v>
                </c:pt>
                <c:pt idx="321">
                  <c:v>63.855586996066847</c:v>
                </c:pt>
                <c:pt idx="322">
                  <c:v>63.855586996066847</c:v>
                </c:pt>
                <c:pt idx="323">
                  <c:v>67.023488141043572</c:v>
                </c:pt>
                <c:pt idx="324">
                  <c:v>66.973174101859286</c:v>
                </c:pt>
                <c:pt idx="325">
                  <c:v>66.973174101859286</c:v>
                </c:pt>
                <c:pt idx="326">
                  <c:v>55.18033440000309</c:v>
                </c:pt>
                <c:pt idx="327">
                  <c:v>55.18033440000309</c:v>
                </c:pt>
                <c:pt idx="328">
                  <c:v>61.251609266363843</c:v>
                </c:pt>
                <c:pt idx="329">
                  <c:v>61.251609266363843</c:v>
                </c:pt>
                <c:pt idx="330">
                  <c:v>61.251609266363843</c:v>
                </c:pt>
                <c:pt idx="331">
                  <c:v>59.461605010955168</c:v>
                </c:pt>
                <c:pt idx="332">
                  <c:v>59.461605010955168</c:v>
                </c:pt>
                <c:pt idx="333">
                  <c:v>59.461605010955168</c:v>
                </c:pt>
                <c:pt idx="334">
                  <c:v>58.164697401951031</c:v>
                </c:pt>
                <c:pt idx="335">
                  <c:v>58.164697401951031</c:v>
                </c:pt>
                <c:pt idx="336">
                  <c:v>53.201410359880455</c:v>
                </c:pt>
                <c:pt idx="337">
                  <c:v>53.201410359880455</c:v>
                </c:pt>
                <c:pt idx="338">
                  <c:v>53.201410359880455</c:v>
                </c:pt>
                <c:pt idx="339">
                  <c:v>55.461845677303771</c:v>
                </c:pt>
                <c:pt idx="340">
                  <c:v>55.507305150265296</c:v>
                </c:pt>
                <c:pt idx="341">
                  <c:v>54.041935462135221</c:v>
                </c:pt>
                <c:pt idx="342">
                  <c:v>54.071746235485833</c:v>
                </c:pt>
                <c:pt idx="343">
                  <c:v>31.160934793979141</c:v>
                </c:pt>
                <c:pt idx="344">
                  <c:v>31.160934793979141</c:v>
                </c:pt>
                <c:pt idx="345">
                  <c:v>31.160934793979141</c:v>
                </c:pt>
                <c:pt idx="346">
                  <c:v>19.325232389505132</c:v>
                </c:pt>
                <c:pt idx="347">
                  <c:v>19.325232389505132</c:v>
                </c:pt>
                <c:pt idx="348">
                  <c:v>19.325232389505132</c:v>
                </c:pt>
                <c:pt idx="349">
                  <c:v>24.058615964091189</c:v>
                </c:pt>
                <c:pt idx="350">
                  <c:v>24.040166129574931</c:v>
                </c:pt>
                <c:pt idx="351">
                  <c:v>24.040166129574931</c:v>
                </c:pt>
                <c:pt idx="352">
                  <c:v>37.285595020873046</c:v>
                </c:pt>
                <c:pt idx="353">
                  <c:v>37.289234300538908</c:v>
                </c:pt>
                <c:pt idx="354">
                  <c:v>40.731136811483211</c:v>
                </c:pt>
                <c:pt idx="355">
                  <c:v>40.731136811483211</c:v>
                </c:pt>
                <c:pt idx="356">
                  <c:v>40.731136811483211</c:v>
                </c:pt>
                <c:pt idx="357">
                  <c:v>40.727617763026629</c:v>
                </c:pt>
                <c:pt idx="358">
                  <c:v>45.450272368680935</c:v>
                </c:pt>
                <c:pt idx="359">
                  <c:v>45.466613919817135</c:v>
                </c:pt>
                <c:pt idx="360">
                  <c:v>45.466613919817135</c:v>
                </c:pt>
                <c:pt idx="361">
                  <c:v>49.242016036366849</c:v>
                </c:pt>
                <c:pt idx="362">
                  <c:v>49.290626347308994</c:v>
                </c:pt>
                <c:pt idx="363">
                  <c:v>49.290626347308994</c:v>
                </c:pt>
                <c:pt idx="364">
                  <c:v>49.503515152424733</c:v>
                </c:pt>
                <c:pt idx="365">
                  <c:v>49.503515152424733</c:v>
                </c:pt>
                <c:pt idx="366">
                  <c:v>49.503515152424733</c:v>
                </c:pt>
                <c:pt idx="367">
                  <c:v>49.462432957898137</c:v>
                </c:pt>
                <c:pt idx="368">
                  <c:v>47.167580956518833</c:v>
                </c:pt>
                <c:pt idx="369">
                  <c:v>47.167580956518833</c:v>
                </c:pt>
                <c:pt idx="370">
                  <c:v>47.167580956518833</c:v>
                </c:pt>
                <c:pt idx="371">
                  <c:v>42.706886338489689</c:v>
                </c:pt>
                <c:pt idx="372">
                  <c:v>42.725769827675379</c:v>
                </c:pt>
                <c:pt idx="373">
                  <c:v>42.725769827675379</c:v>
                </c:pt>
                <c:pt idx="374">
                  <c:v>40.104972806210633</c:v>
                </c:pt>
                <c:pt idx="375">
                  <c:v>40.104972806210633</c:v>
                </c:pt>
                <c:pt idx="376">
                  <c:v>40.104972806210633</c:v>
                </c:pt>
                <c:pt idx="377">
                  <c:v>40.069494253248585</c:v>
                </c:pt>
                <c:pt idx="378">
                  <c:v>40.069494253248585</c:v>
                </c:pt>
                <c:pt idx="379">
                  <c:v>37.221754899789175</c:v>
                </c:pt>
                <c:pt idx="380">
                  <c:v>37.221754899789175</c:v>
                </c:pt>
                <c:pt idx="381">
                  <c:v>37.221754899789175</c:v>
                </c:pt>
                <c:pt idx="382">
                  <c:v>37.169712862015722</c:v>
                </c:pt>
                <c:pt idx="383">
                  <c:v>53.938907784907471</c:v>
                </c:pt>
                <c:pt idx="384">
                  <c:v>53.95103441327926</c:v>
                </c:pt>
                <c:pt idx="385">
                  <c:v>51.158119271489745</c:v>
                </c:pt>
                <c:pt idx="386">
                  <c:v>51.175829192488109</c:v>
                </c:pt>
                <c:pt idx="387">
                  <c:v>20.881688202861312</c:v>
                </c:pt>
                <c:pt idx="388">
                  <c:v>20.881688202861312</c:v>
                </c:pt>
                <c:pt idx="389">
                  <c:v>40.501484991865823</c:v>
                </c:pt>
                <c:pt idx="390">
                  <c:v>40.501484991865823</c:v>
                </c:pt>
                <c:pt idx="391">
                  <c:v>49.326479710568478</c:v>
                </c:pt>
                <c:pt idx="392">
                  <c:v>49.326479710568478</c:v>
                </c:pt>
                <c:pt idx="393">
                  <c:v>49.326479710568478</c:v>
                </c:pt>
                <c:pt idx="394">
                  <c:v>40.921698469848707</c:v>
                </c:pt>
                <c:pt idx="395">
                  <c:v>49.465213308341177</c:v>
                </c:pt>
                <c:pt idx="396">
                  <c:v>49.465213308341177</c:v>
                </c:pt>
                <c:pt idx="397">
                  <c:v>29.829940946822216</c:v>
                </c:pt>
                <c:pt idx="398">
                  <c:v>29.829940946822216</c:v>
                </c:pt>
                <c:pt idx="399">
                  <c:v>70.315792520309117</c:v>
                </c:pt>
                <c:pt idx="400">
                  <c:v>81.640857248270123</c:v>
                </c:pt>
                <c:pt idx="401">
                  <c:v>82.565462882536195</c:v>
                </c:pt>
                <c:pt idx="402">
                  <c:v>91.375897158313123</c:v>
                </c:pt>
                <c:pt idx="403">
                  <c:v>69.889826787568836</c:v>
                </c:pt>
                <c:pt idx="404">
                  <c:v>63.337387928998922</c:v>
                </c:pt>
                <c:pt idx="405">
                  <c:v>65.438218136145068</c:v>
                </c:pt>
                <c:pt idx="406">
                  <c:v>67.902229293858156</c:v>
                </c:pt>
                <c:pt idx="407">
                  <c:v>67.000675993586412</c:v>
                </c:pt>
                <c:pt idx="408">
                  <c:v>59.189996643226095</c:v>
                </c:pt>
                <c:pt idx="409">
                  <c:v>64.12939048830043</c:v>
                </c:pt>
                <c:pt idx="410">
                  <c:v>57.28726091863431</c:v>
                </c:pt>
                <c:pt idx="411">
                  <c:v>59.517832583491909</c:v>
                </c:pt>
                <c:pt idx="412">
                  <c:v>55.998652828190529</c:v>
                </c:pt>
                <c:pt idx="413">
                  <c:v>58.818519967751499</c:v>
                </c:pt>
                <c:pt idx="414">
                  <c:v>59.209317328126659</c:v>
                </c:pt>
                <c:pt idx="415">
                  <c:v>44.46374608901629</c:v>
                </c:pt>
                <c:pt idx="416">
                  <c:v>55.077322250992687</c:v>
                </c:pt>
                <c:pt idx="417">
                  <c:v>37.647562084298144</c:v>
                </c:pt>
                <c:pt idx="418">
                  <c:v>46.184875069642452</c:v>
                </c:pt>
                <c:pt idx="419">
                  <c:v>32.265368812074747</c:v>
                </c:pt>
                <c:pt idx="420">
                  <c:v>28.422156544907949</c:v>
                </c:pt>
                <c:pt idx="421">
                  <c:v>25.083706726629419</c:v>
                </c:pt>
                <c:pt idx="422">
                  <c:v>52.208238044700572</c:v>
                </c:pt>
                <c:pt idx="423">
                  <c:v>53.742074998735752</c:v>
                </c:pt>
                <c:pt idx="424">
                  <c:v>47.144277994156816</c:v>
                </c:pt>
                <c:pt idx="425">
                  <c:v>48.335077839283954</c:v>
                </c:pt>
                <c:pt idx="426">
                  <c:v>35.873811062650802</c:v>
                </c:pt>
                <c:pt idx="427">
                  <c:v>41.876059834152159</c:v>
                </c:pt>
                <c:pt idx="428">
                  <c:v>41.02168208349989</c:v>
                </c:pt>
                <c:pt idx="429">
                  <c:v>38.036745540658984</c:v>
                </c:pt>
                <c:pt idx="430">
                  <c:v>56.740503593547139</c:v>
                </c:pt>
                <c:pt idx="431">
                  <c:v>58.538981429018975</c:v>
                </c:pt>
                <c:pt idx="432">
                  <c:v>61.221002313850434</c:v>
                </c:pt>
                <c:pt idx="433">
                  <c:v>57.099829769268787</c:v>
                </c:pt>
                <c:pt idx="434">
                  <c:v>60.705685507891587</c:v>
                </c:pt>
                <c:pt idx="435">
                  <c:v>59.418467875768052</c:v>
                </c:pt>
                <c:pt idx="436">
                  <c:v>60.696348523504547</c:v>
                </c:pt>
                <c:pt idx="437">
                  <c:v>58.120514377317299</c:v>
                </c:pt>
                <c:pt idx="438">
                  <c:v>60.246100975000324</c:v>
                </c:pt>
                <c:pt idx="439">
                  <c:v>55.345245267466687</c:v>
                </c:pt>
                <c:pt idx="440">
                  <c:v>53.968328617372435</c:v>
                </c:pt>
                <c:pt idx="441">
                  <c:v>50.836728927070915</c:v>
                </c:pt>
                <c:pt idx="442">
                  <c:v>49.816129060918882</c:v>
                </c:pt>
                <c:pt idx="443">
                  <c:v>45.519571069221136</c:v>
                </c:pt>
                <c:pt idx="444">
                  <c:v>46.972369521147499</c:v>
                </c:pt>
                <c:pt idx="445">
                  <c:v>48.78207825406664</c:v>
                </c:pt>
                <c:pt idx="446">
                  <c:v>40.982674407250265</c:v>
                </c:pt>
                <c:pt idx="447">
                  <c:v>42.579392773818945</c:v>
                </c:pt>
                <c:pt idx="448">
                  <c:v>41.515669686110236</c:v>
                </c:pt>
                <c:pt idx="449">
                  <c:v>35.728774295256109</c:v>
                </c:pt>
                <c:pt idx="450">
                  <c:v>36.399379002894051</c:v>
                </c:pt>
                <c:pt idx="451">
                  <c:v>38.035870092915843</c:v>
                </c:pt>
                <c:pt idx="452">
                  <c:v>39.219409995715999</c:v>
                </c:pt>
                <c:pt idx="453">
                  <c:v>29.575993391881706</c:v>
                </c:pt>
                <c:pt idx="454">
                  <c:v>33.72664828845565</c:v>
                </c:pt>
                <c:pt idx="455">
                  <c:v>27.575502358605714</c:v>
                </c:pt>
                <c:pt idx="456">
                  <c:v>32.19142632060192</c:v>
                </c:pt>
                <c:pt idx="457">
                  <c:v>25.453394630759519</c:v>
                </c:pt>
                <c:pt idx="458">
                  <c:v>25.453394630759519</c:v>
                </c:pt>
                <c:pt idx="459">
                  <c:v>34.551619349486145</c:v>
                </c:pt>
                <c:pt idx="460">
                  <c:v>31.166794581004446</c:v>
                </c:pt>
                <c:pt idx="461">
                  <c:v>28.381811672881415</c:v>
                </c:pt>
                <c:pt idx="462">
                  <c:v>25.641618609612681</c:v>
                </c:pt>
                <c:pt idx="463">
                  <c:v>27.744968262419242</c:v>
                </c:pt>
                <c:pt idx="464">
                  <c:v>26.588849872538436</c:v>
                </c:pt>
                <c:pt idx="465">
                  <c:v>30.134869832999229</c:v>
                </c:pt>
                <c:pt idx="466">
                  <c:v>23.801033140476534</c:v>
                </c:pt>
                <c:pt idx="467">
                  <c:v>23.801033140476534</c:v>
                </c:pt>
                <c:pt idx="468">
                  <c:v>26.270675662579645</c:v>
                </c:pt>
                <c:pt idx="469">
                  <c:v>22.744356114522045</c:v>
                </c:pt>
                <c:pt idx="470">
                  <c:v>22.744356114522045</c:v>
                </c:pt>
                <c:pt idx="471">
                  <c:v>23.08303266782071</c:v>
                </c:pt>
                <c:pt idx="472">
                  <c:v>27.360194375126202</c:v>
                </c:pt>
                <c:pt idx="473">
                  <c:v>24.724410386149223</c:v>
                </c:pt>
                <c:pt idx="474">
                  <c:v>26.047510530857267</c:v>
                </c:pt>
                <c:pt idx="475">
                  <c:v>30.666394445665269</c:v>
                </c:pt>
                <c:pt idx="476">
                  <c:v>22.611476526738937</c:v>
                </c:pt>
                <c:pt idx="477">
                  <c:v>58.571681079906533</c:v>
                </c:pt>
                <c:pt idx="478">
                  <c:v>58.621758720256345</c:v>
                </c:pt>
                <c:pt idx="479">
                  <c:v>53.955834295599253</c:v>
                </c:pt>
                <c:pt idx="480">
                  <c:v>50.26682571858737</c:v>
                </c:pt>
                <c:pt idx="481">
                  <c:v>55.34745476860023</c:v>
                </c:pt>
                <c:pt idx="482">
                  <c:v>53.205177692375884</c:v>
                </c:pt>
                <c:pt idx="483">
                  <c:v>55.520919032798474</c:v>
                </c:pt>
                <c:pt idx="484">
                  <c:v>54.611410170675754</c:v>
                </c:pt>
                <c:pt idx="485">
                  <c:v>60.192618033668268</c:v>
                </c:pt>
                <c:pt idx="486">
                  <c:v>51.505778756629056</c:v>
                </c:pt>
                <c:pt idx="487">
                  <c:v>52.765352675159413</c:v>
                </c:pt>
                <c:pt idx="488">
                  <c:v>52.334821603165963</c:v>
                </c:pt>
                <c:pt idx="489">
                  <c:v>44.807866479233631</c:v>
                </c:pt>
                <c:pt idx="490">
                  <c:v>47.978299938791032</c:v>
                </c:pt>
                <c:pt idx="491">
                  <c:v>35.25356557002182</c:v>
                </c:pt>
                <c:pt idx="492">
                  <c:v>48.107158922290665</c:v>
                </c:pt>
                <c:pt idx="493">
                  <c:v>43.616568346776376</c:v>
                </c:pt>
                <c:pt idx="494">
                  <c:v>47.865927218539071</c:v>
                </c:pt>
                <c:pt idx="495">
                  <c:v>40.120065661824746</c:v>
                </c:pt>
                <c:pt idx="496">
                  <c:v>49.256949064844555</c:v>
                </c:pt>
                <c:pt idx="497">
                  <c:v>34.926163329308189</c:v>
                </c:pt>
                <c:pt idx="498">
                  <c:v>34.926163329308189</c:v>
                </c:pt>
                <c:pt idx="499">
                  <c:v>28.694938329197267</c:v>
                </c:pt>
                <c:pt idx="500">
                  <c:v>28.694938329197267</c:v>
                </c:pt>
                <c:pt idx="501">
                  <c:v>44.173303710878457</c:v>
                </c:pt>
                <c:pt idx="502">
                  <c:v>42.085421397644417</c:v>
                </c:pt>
                <c:pt idx="503">
                  <c:v>40.978074062589265</c:v>
                </c:pt>
                <c:pt idx="504">
                  <c:v>42.735748989220426</c:v>
                </c:pt>
                <c:pt idx="505">
                  <c:v>42.735748989220426</c:v>
                </c:pt>
                <c:pt idx="506">
                  <c:v>40.6938502543534</c:v>
                </c:pt>
                <c:pt idx="507">
                  <c:v>46.596334577238729</c:v>
                </c:pt>
                <c:pt idx="508">
                  <c:v>37.186632432708464</c:v>
                </c:pt>
                <c:pt idx="509">
                  <c:v>39.608206890811957</c:v>
                </c:pt>
                <c:pt idx="510">
                  <c:v>47.354063253823547</c:v>
                </c:pt>
                <c:pt idx="511">
                  <c:v>46.59683658770826</c:v>
                </c:pt>
                <c:pt idx="512">
                  <c:v>46.59683658770826</c:v>
                </c:pt>
                <c:pt idx="513">
                  <c:v>49.621376996888237</c:v>
                </c:pt>
                <c:pt idx="514">
                  <c:v>45.313577088100558</c:v>
                </c:pt>
                <c:pt idx="515">
                  <c:v>32.354081698087512</c:v>
                </c:pt>
                <c:pt idx="516">
                  <c:v>32.354081698087512</c:v>
                </c:pt>
                <c:pt idx="517">
                  <c:v>46.780080027261732</c:v>
                </c:pt>
                <c:pt idx="518">
                  <c:v>33.346781143418809</c:v>
                </c:pt>
                <c:pt idx="519">
                  <c:v>35.773373921845568</c:v>
                </c:pt>
                <c:pt idx="520">
                  <c:v>31.27874430050019</c:v>
                </c:pt>
                <c:pt idx="521">
                  <c:v>31.27874430050019</c:v>
                </c:pt>
                <c:pt idx="522">
                  <c:v>29.368612026791361</c:v>
                </c:pt>
                <c:pt idx="523">
                  <c:v>29.368612026791361</c:v>
                </c:pt>
                <c:pt idx="524">
                  <c:v>29.368612026791361</c:v>
                </c:pt>
                <c:pt idx="525">
                  <c:v>29.126359403299695</c:v>
                </c:pt>
                <c:pt idx="526">
                  <c:v>29.126359403299695</c:v>
                </c:pt>
                <c:pt idx="527">
                  <c:v>25.459155982557512</c:v>
                </c:pt>
                <c:pt idx="528">
                  <c:v>25.459155982557512</c:v>
                </c:pt>
                <c:pt idx="529">
                  <c:v>32.338350815888973</c:v>
                </c:pt>
                <c:pt idx="530">
                  <c:v>43.791657307756893</c:v>
                </c:pt>
                <c:pt idx="531">
                  <c:v>27.032834924105298</c:v>
                </c:pt>
                <c:pt idx="532">
                  <c:v>25.267019464954984</c:v>
                </c:pt>
                <c:pt idx="533">
                  <c:v>25.267019464954984</c:v>
                </c:pt>
                <c:pt idx="534">
                  <c:v>82.50652046428219</c:v>
                </c:pt>
                <c:pt idx="535">
                  <c:v>91.308793619053247</c:v>
                </c:pt>
                <c:pt idx="536">
                  <c:v>67.863411069862707</c:v>
                </c:pt>
                <c:pt idx="537">
                  <c:v>63.734821929152595</c:v>
                </c:pt>
                <c:pt idx="538">
                  <c:v>66.922926597328569</c:v>
                </c:pt>
                <c:pt idx="539">
                  <c:v>58.297036851633507</c:v>
                </c:pt>
                <c:pt idx="540">
                  <c:v>59.505306764939753</c:v>
                </c:pt>
                <c:pt idx="541">
                  <c:v>61.126671095566067</c:v>
                </c:pt>
                <c:pt idx="542">
                  <c:v>25.536058406797256</c:v>
                </c:pt>
                <c:pt idx="543">
                  <c:v>54.893860253357524</c:v>
                </c:pt>
                <c:pt idx="544">
                  <c:v>53.296581178963429</c:v>
                </c:pt>
                <c:pt idx="545">
                  <c:v>49.245549043877375</c:v>
                </c:pt>
                <c:pt idx="546">
                  <c:v>49.437913596121824</c:v>
                </c:pt>
                <c:pt idx="547">
                  <c:v>40.738409112668741</c:v>
                </c:pt>
                <c:pt idx="548">
                  <c:v>47.254455711583134</c:v>
                </c:pt>
                <c:pt idx="549">
                  <c:v>44.988885272785566</c:v>
                </c:pt>
                <c:pt idx="550">
                  <c:v>40.125096195223939</c:v>
                </c:pt>
                <c:pt idx="551">
                  <c:v>42.506760925472221</c:v>
                </c:pt>
                <c:pt idx="552">
                  <c:v>46.75062893951646</c:v>
                </c:pt>
                <c:pt idx="553">
                  <c:v>45.252000442272987</c:v>
                </c:pt>
                <c:pt idx="554">
                  <c:v>63.584530422487148</c:v>
                </c:pt>
                <c:pt idx="555">
                  <c:v>36.366941342628344</c:v>
                </c:pt>
                <c:pt idx="556">
                  <c:v>36.559225614342147</c:v>
                </c:pt>
                <c:pt idx="557">
                  <c:v>36.366941342628344</c:v>
                </c:pt>
                <c:pt idx="558">
                  <c:v>36.366941342628344</c:v>
                </c:pt>
                <c:pt idx="559">
                  <c:v>38.030388056892896</c:v>
                </c:pt>
                <c:pt idx="560">
                  <c:v>70.470803997578813</c:v>
                </c:pt>
                <c:pt idx="561">
                  <c:v>56.409834693895995</c:v>
                </c:pt>
                <c:pt idx="562">
                  <c:v>56.760232246242602</c:v>
                </c:pt>
                <c:pt idx="563">
                  <c:v>54.762380046966264</c:v>
                </c:pt>
                <c:pt idx="564">
                  <c:v>29.060154310379136</c:v>
                </c:pt>
                <c:pt idx="565">
                  <c:v>40.851805941338256</c:v>
                </c:pt>
                <c:pt idx="566">
                  <c:v>39.891581463611772</c:v>
                </c:pt>
                <c:pt idx="567">
                  <c:v>40.890336999060835</c:v>
                </c:pt>
                <c:pt idx="568">
                  <c:v>45.750612745729974</c:v>
                </c:pt>
                <c:pt idx="569">
                  <c:v>45.900726703569227</c:v>
                </c:pt>
                <c:pt idx="570">
                  <c:v>47.112690204875285</c:v>
                </c:pt>
                <c:pt idx="571">
                  <c:v>43.721265940708456</c:v>
                </c:pt>
                <c:pt idx="572">
                  <c:v>44.959966352956094</c:v>
                </c:pt>
                <c:pt idx="573">
                  <c:v>46.597964499474706</c:v>
                </c:pt>
                <c:pt idx="574">
                  <c:v>57.549993602801422</c:v>
                </c:pt>
                <c:pt idx="575">
                  <c:v>59.709293800229588</c:v>
                </c:pt>
                <c:pt idx="576">
                  <c:v>55.976465596962306</c:v>
                </c:pt>
                <c:pt idx="577">
                  <c:v>55.976465596962306</c:v>
                </c:pt>
                <c:pt idx="578">
                  <c:v>53.86654174462857</c:v>
                </c:pt>
                <c:pt idx="579">
                  <c:v>53.631834527377379</c:v>
                </c:pt>
                <c:pt idx="580">
                  <c:v>36.001081105978123</c:v>
                </c:pt>
                <c:pt idx="581">
                  <c:v>39.384913357426598</c:v>
                </c:pt>
                <c:pt idx="582">
                  <c:v>66.955246777780047</c:v>
                </c:pt>
                <c:pt idx="583">
                  <c:v>64.168085583372218</c:v>
                </c:pt>
                <c:pt idx="584">
                  <c:v>64.168085583372218</c:v>
                </c:pt>
                <c:pt idx="585">
                  <c:v>64.168085583372218</c:v>
                </c:pt>
                <c:pt idx="586">
                  <c:v>36.431387521939577</c:v>
                </c:pt>
                <c:pt idx="587">
                  <c:v>70.406586753075956</c:v>
                </c:pt>
                <c:pt idx="588">
                  <c:v>84.468983228617773</c:v>
                </c:pt>
                <c:pt idx="589">
                  <c:v>90.901108497412665</c:v>
                </c:pt>
                <c:pt idx="590">
                  <c:v>59.483374514588881</c:v>
                </c:pt>
                <c:pt idx="591">
                  <c:v>51.541106731519498</c:v>
                </c:pt>
                <c:pt idx="592">
                  <c:v>42.410688382096069</c:v>
                </c:pt>
                <c:pt idx="593">
                  <c:v>54.008675816428152</c:v>
                </c:pt>
                <c:pt idx="594">
                  <c:v>44.494203257089296</c:v>
                </c:pt>
                <c:pt idx="595">
                  <c:v>39.700547346746163</c:v>
                </c:pt>
                <c:pt idx="596">
                  <c:v>34.700579818153457</c:v>
                </c:pt>
                <c:pt idx="597">
                  <c:v>44.850945605887951</c:v>
                </c:pt>
                <c:pt idx="598">
                  <c:v>47.490437522069904</c:v>
                </c:pt>
                <c:pt idx="599">
                  <c:v>44.052476346494679</c:v>
                </c:pt>
                <c:pt idx="600">
                  <c:v>49.620819453834805</c:v>
                </c:pt>
                <c:pt idx="601">
                  <c:v>34.820388668661813</c:v>
                </c:pt>
                <c:pt idx="602">
                  <c:v>50.622841555459374</c:v>
                </c:pt>
                <c:pt idx="603">
                  <c:v>55.200222620964126</c:v>
                </c:pt>
                <c:pt idx="604">
                  <c:v>55.410868613386576</c:v>
                </c:pt>
                <c:pt idx="605">
                  <c:v>60.102592784458935</c:v>
                </c:pt>
                <c:pt idx="606">
                  <c:v>55.892417514825624</c:v>
                </c:pt>
                <c:pt idx="607">
                  <c:v>50.771511033291127</c:v>
                </c:pt>
                <c:pt idx="608">
                  <c:v>52.300743546179135</c:v>
                </c:pt>
                <c:pt idx="609">
                  <c:v>54.499879384560472</c:v>
                </c:pt>
                <c:pt idx="610">
                  <c:v>58.518464809986838</c:v>
                </c:pt>
                <c:pt idx="611">
                  <c:v>53.832269906908422</c:v>
                </c:pt>
                <c:pt idx="612">
                  <c:v>54.709055623439276</c:v>
                </c:pt>
                <c:pt idx="613">
                  <c:v>40.760525785670644</c:v>
                </c:pt>
                <c:pt idx="614">
                  <c:v>37.296107882728563</c:v>
                </c:pt>
                <c:pt idx="615">
                  <c:v>43.129565888270925</c:v>
                </c:pt>
                <c:pt idx="616">
                  <c:v>40.610791370537719</c:v>
                </c:pt>
                <c:pt idx="617">
                  <c:v>46.501195354489766</c:v>
                </c:pt>
                <c:pt idx="618">
                  <c:v>34.974305243357527</c:v>
                </c:pt>
                <c:pt idx="619">
                  <c:v>31.320452509778534</c:v>
                </c:pt>
                <c:pt idx="620">
                  <c:v>30.56036751947898</c:v>
                </c:pt>
                <c:pt idx="621">
                  <c:v>32.170465730391278</c:v>
                </c:pt>
                <c:pt idx="622">
                  <c:v>76.976421734403104</c:v>
                </c:pt>
                <c:pt idx="623">
                  <c:v>81.611270425778997</c:v>
                </c:pt>
                <c:pt idx="624">
                  <c:v>63.456996249598362</c:v>
                </c:pt>
                <c:pt idx="625">
                  <c:v>63.39044719229247</c:v>
                </c:pt>
                <c:pt idx="626">
                  <c:v>29.620517933818547</c:v>
                </c:pt>
                <c:pt idx="627">
                  <c:v>28.533009449525029</c:v>
                </c:pt>
                <c:pt idx="628">
                  <c:v>25.680326542354315</c:v>
                </c:pt>
                <c:pt idx="629">
                  <c:v>26.530349094770312</c:v>
                </c:pt>
                <c:pt idx="630">
                  <c:v>30.201306296083281</c:v>
                </c:pt>
                <c:pt idx="631">
                  <c:v>33.820632911722385</c:v>
                </c:pt>
                <c:pt idx="632">
                  <c:v>27.377373217756503</c:v>
                </c:pt>
                <c:pt idx="633">
                  <c:v>32.251608753199363</c:v>
                </c:pt>
                <c:pt idx="634">
                  <c:v>23.78021822212202</c:v>
                </c:pt>
                <c:pt idx="635">
                  <c:v>23.78021822212202</c:v>
                </c:pt>
                <c:pt idx="636">
                  <c:v>23.78021822212202</c:v>
                </c:pt>
                <c:pt idx="637">
                  <c:v>25.360054023323116</c:v>
                </c:pt>
                <c:pt idx="638">
                  <c:v>20.880020670521901</c:v>
                </c:pt>
                <c:pt idx="639">
                  <c:v>25.360054023323116</c:v>
                </c:pt>
                <c:pt idx="640">
                  <c:v>25.360054023323116</c:v>
                </c:pt>
                <c:pt idx="641">
                  <c:v>31.308326532777556</c:v>
                </c:pt>
                <c:pt idx="642">
                  <c:v>60.799585254363713</c:v>
                </c:pt>
                <c:pt idx="643">
                  <c:v>60.597533448271172</c:v>
                </c:pt>
                <c:pt idx="644">
                  <c:v>60.324359893938009</c:v>
                </c:pt>
                <c:pt idx="645">
                  <c:v>56.650781258938331</c:v>
                </c:pt>
                <c:pt idx="646">
                  <c:v>56.650781258938331</c:v>
                </c:pt>
                <c:pt idx="647">
                  <c:v>58.635024442530856</c:v>
                </c:pt>
                <c:pt idx="648">
                  <c:v>61.267524274526707</c:v>
                </c:pt>
                <c:pt idx="649">
                  <c:v>61.267524274526707</c:v>
                </c:pt>
                <c:pt idx="650">
                  <c:v>53.274324916746821</c:v>
                </c:pt>
                <c:pt idx="651">
                  <c:v>50.883532267493415</c:v>
                </c:pt>
                <c:pt idx="652">
                  <c:v>49.829763072219585</c:v>
                </c:pt>
                <c:pt idx="653">
                  <c:v>61.040864207302469</c:v>
                </c:pt>
                <c:pt idx="654">
                  <c:v>45.661308215488731</c:v>
                </c:pt>
                <c:pt idx="655">
                  <c:v>53.200694795411451</c:v>
                </c:pt>
                <c:pt idx="656">
                  <c:v>40.900433176512394</c:v>
                </c:pt>
                <c:pt idx="657">
                  <c:v>21.000280684909811</c:v>
                </c:pt>
                <c:pt idx="658">
                  <c:v>29.230358725358702</c:v>
                </c:pt>
                <c:pt idx="659">
                  <c:v>59.600767298893302</c:v>
                </c:pt>
                <c:pt idx="660">
                  <c:v>57.900664670843788</c:v>
                </c:pt>
                <c:pt idx="661">
                  <c:v>29.513190523285459</c:v>
                </c:pt>
                <c:pt idx="662">
                  <c:v>28.410564857953158</c:v>
                </c:pt>
                <c:pt idx="663">
                  <c:v>25.75696484139409</c:v>
                </c:pt>
                <c:pt idx="664">
                  <c:v>33.848661335831579</c:v>
                </c:pt>
                <c:pt idx="665">
                  <c:v>28.197214417569398</c:v>
                </c:pt>
                <c:pt idx="666">
                  <c:v>27.579849757466359</c:v>
                </c:pt>
                <c:pt idx="667">
                  <c:v>32.210250148558053</c:v>
                </c:pt>
                <c:pt idx="668">
                  <c:v>26.077143168940751</c:v>
                </c:pt>
                <c:pt idx="669">
                  <c:v>23.825885858538548</c:v>
                </c:pt>
                <c:pt idx="670">
                  <c:v>23.825885858538548</c:v>
                </c:pt>
                <c:pt idx="671">
                  <c:v>25.43233941261164</c:v>
                </c:pt>
                <c:pt idx="672">
                  <c:v>25.271577719396987</c:v>
                </c:pt>
                <c:pt idx="673">
                  <c:v>25.43233941261164</c:v>
                </c:pt>
                <c:pt idx="674">
                  <c:v>50.200503504428781</c:v>
                </c:pt>
                <c:pt idx="675">
                  <c:v>64.168085583372218</c:v>
                </c:pt>
                <c:pt idx="676">
                  <c:v>21.439625191789059</c:v>
                </c:pt>
                <c:pt idx="677">
                  <c:v>29.138851914893376</c:v>
                </c:pt>
                <c:pt idx="678">
                  <c:v>65.769433998975458</c:v>
                </c:pt>
                <c:pt idx="679">
                  <c:v>46.636975538389684</c:v>
                </c:pt>
                <c:pt idx="680">
                  <c:v>48.44652953724858</c:v>
                </c:pt>
                <c:pt idx="681">
                  <c:v>44.494203257089296</c:v>
                </c:pt>
                <c:pt idx="682">
                  <c:v>63.481193841210477</c:v>
                </c:pt>
                <c:pt idx="683">
                  <c:v>56.983049889774023</c:v>
                </c:pt>
                <c:pt idx="684">
                  <c:v>58.019922363920053</c:v>
                </c:pt>
                <c:pt idx="685">
                  <c:v>39.627815506475059</c:v>
                </c:pt>
                <c:pt idx="686">
                  <c:v>33.122151095712567</c:v>
                </c:pt>
                <c:pt idx="687">
                  <c:v>36.289985383491029</c:v>
                </c:pt>
                <c:pt idx="688">
                  <c:v>30.231990188544657</c:v>
                </c:pt>
                <c:pt idx="689">
                  <c:v>47.961702182977454</c:v>
                </c:pt>
                <c:pt idx="690">
                  <c:v>52.271384711621728</c:v>
                </c:pt>
                <c:pt idx="691">
                  <c:v>26.095639243165415</c:v>
                </c:pt>
                <c:pt idx="692">
                  <c:v>42.368588298936928</c:v>
                </c:pt>
                <c:pt idx="693">
                  <c:v>34.974305243357527</c:v>
                </c:pt>
                <c:pt idx="694">
                  <c:v>25.394220177587147</c:v>
                </c:pt>
                <c:pt idx="695">
                  <c:v>23.622935394743621</c:v>
                </c:pt>
                <c:pt idx="696">
                  <c:v>23.825885858538548</c:v>
                </c:pt>
                <c:pt idx="697">
                  <c:v>32.170465730391278</c:v>
                </c:pt>
                <c:pt idx="698">
                  <c:v>31.320369107293526</c:v>
                </c:pt>
                <c:pt idx="699">
                  <c:v>61.188505411350576</c:v>
                </c:pt>
                <c:pt idx="700">
                  <c:v>60.40691255611619</c:v>
                </c:pt>
                <c:pt idx="701">
                  <c:v>64.060768161562351</c:v>
                </c:pt>
                <c:pt idx="702">
                  <c:v>40.460981814405685</c:v>
                </c:pt>
                <c:pt idx="703">
                  <c:v>40.925512135536735</c:v>
                </c:pt>
                <c:pt idx="704">
                  <c:v>31.250539092870103</c:v>
                </c:pt>
                <c:pt idx="705">
                  <c:v>61.150500324776743</c:v>
                </c:pt>
                <c:pt idx="706">
                  <c:v>66.220736957821046</c:v>
                </c:pt>
                <c:pt idx="707">
                  <c:v>59.500727914651264</c:v>
                </c:pt>
                <c:pt idx="708">
                  <c:v>21.400271320498678</c:v>
                </c:pt>
                <c:pt idx="709">
                  <c:v>34.951002911482824</c:v>
                </c:pt>
                <c:pt idx="710">
                  <c:v>40.833745559670909</c:v>
                </c:pt>
                <c:pt idx="711">
                  <c:v>49.399960005801525</c:v>
                </c:pt>
                <c:pt idx="712">
                  <c:v>75.225567370140425</c:v>
                </c:pt>
                <c:pt idx="713">
                  <c:v>81.613796852856439</c:v>
                </c:pt>
                <c:pt idx="714">
                  <c:v>81.606377610571656</c:v>
                </c:pt>
                <c:pt idx="715">
                  <c:v>90.274877406338916</c:v>
                </c:pt>
                <c:pt idx="716">
                  <c:v>94.524492254681022</c:v>
                </c:pt>
                <c:pt idx="717">
                  <c:v>66.876810329140213</c:v>
                </c:pt>
                <c:pt idx="718">
                  <c:v>70.441303586187928</c:v>
                </c:pt>
                <c:pt idx="719">
                  <c:v>62.072709609412655</c:v>
                </c:pt>
                <c:pt idx="720">
                  <c:v>66.021542209517932</c:v>
                </c:pt>
                <c:pt idx="721">
                  <c:v>64.721471498647247</c:v>
                </c:pt>
                <c:pt idx="722">
                  <c:v>61.05361356109541</c:v>
                </c:pt>
                <c:pt idx="723">
                  <c:v>63.365267761724155</c:v>
                </c:pt>
                <c:pt idx="724">
                  <c:v>60.479619144315386</c:v>
                </c:pt>
                <c:pt idx="725">
                  <c:v>60.635611861324172</c:v>
                </c:pt>
                <c:pt idx="726">
                  <c:v>56.795498963836501</c:v>
                </c:pt>
                <c:pt idx="727">
                  <c:v>64.199482486382365</c:v>
                </c:pt>
                <c:pt idx="728">
                  <c:v>64.199482486382365</c:v>
                </c:pt>
                <c:pt idx="729">
                  <c:v>64.199482486382365</c:v>
                </c:pt>
                <c:pt idx="730">
                  <c:v>64.199445184724127</c:v>
                </c:pt>
                <c:pt idx="731">
                  <c:v>58.950029025149057</c:v>
                </c:pt>
                <c:pt idx="732">
                  <c:v>60.158081427473434</c:v>
                </c:pt>
                <c:pt idx="733">
                  <c:v>55.470643058725599</c:v>
                </c:pt>
                <c:pt idx="734">
                  <c:v>59.481456737562389</c:v>
                </c:pt>
                <c:pt idx="735">
                  <c:v>58.640486831603241</c:v>
                </c:pt>
                <c:pt idx="736">
                  <c:v>63.393451529567201</c:v>
                </c:pt>
                <c:pt idx="737">
                  <c:v>65.460390720603641</c:v>
                </c:pt>
                <c:pt idx="738">
                  <c:v>67.28616018739865</c:v>
                </c:pt>
                <c:pt idx="739">
                  <c:v>68.342833679957408</c:v>
                </c:pt>
                <c:pt idx="740">
                  <c:v>71.305098964156883</c:v>
                </c:pt>
                <c:pt idx="741">
                  <c:v>60.466853189790513</c:v>
                </c:pt>
                <c:pt idx="742">
                  <c:v>59.724888726322433</c:v>
                </c:pt>
                <c:pt idx="743">
                  <c:v>62.776812829619104</c:v>
                </c:pt>
                <c:pt idx="744">
                  <c:v>63.366231969969846</c:v>
                </c:pt>
                <c:pt idx="745">
                  <c:v>58.345422251510094</c:v>
                </c:pt>
                <c:pt idx="746">
                  <c:v>60.765463601624923</c:v>
                </c:pt>
                <c:pt idx="747">
                  <c:v>56.041975026147874</c:v>
                </c:pt>
                <c:pt idx="748">
                  <c:v>56.041975026147874</c:v>
                </c:pt>
                <c:pt idx="749">
                  <c:v>56.128471091623048</c:v>
                </c:pt>
                <c:pt idx="750">
                  <c:v>57.487479132419757</c:v>
                </c:pt>
                <c:pt idx="751">
                  <c:v>62.957727560042699</c:v>
                </c:pt>
                <c:pt idx="752">
                  <c:v>59.460784217960175</c:v>
                </c:pt>
                <c:pt idx="753">
                  <c:v>61.254291494631744</c:v>
                </c:pt>
                <c:pt idx="754">
                  <c:v>61.253820967365165</c:v>
                </c:pt>
                <c:pt idx="755">
                  <c:v>58.856687400697226</c:v>
                </c:pt>
                <c:pt idx="756">
                  <c:v>55.773102032913933</c:v>
                </c:pt>
                <c:pt idx="757">
                  <c:v>58.577776368233188</c:v>
                </c:pt>
                <c:pt idx="758">
                  <c:v>60.356572455323871</c:v>
                </c:pt>
                <c:pt idx="759">
                  <c:v>60.61509610294771</c:v>
                </c:pt>
                <c:pt idx="760">
                  <c:v>55.116941860308572</c:v>
                </c:pt>
                <c:pt idx="761">
                  <c:v>60.340054002979691</c:v>
                </c:pt>
                <c:pt idx="762">
                  <c:v>60.368952115145049</c:v>
                </c:pt>
                <c:pt idx="763">
                  <c:v>56.710504335076195</c:v>
                </c:pt>
                <c:pt idx="764">
                  <c:v>56.914167836487358</c:v>
                </c:pt>
                <c:pt idx="765">
                  <c:v>55.44721358764788</c:v>
                </c:pt>
                <c:pt idx="766">
                  <c:v>60.604501022045746</c:v>
                </c:pt>
                <c:pt idx="767">
                  <c:v>53.914388119625379</c:v>
                </c:pt>
                <c:pt idx="768">
                  <c:v>58.12135427754734</c:v>
                </c:pt>
                <c:pt idx="769">
                  <c:v>56.655185200838389</c:v>
                </c:pt>
                <c:pt idx="770">
                  <c:v>56.655185200838389</c:v>
                </c:pt>
                <c:pt idx="771">
                  <c:v>57.347939598287212</c:v>
                </c:pt>
                <c:pt idx="772">
                  <c:v>54.539846809661974</c:v>
                </c:pt>
                <c:pt idx="773">
                  <c:v>50.950691971673628</c:v>
                </c:pt>
                <c:pt idx="774">
                  <c:v>60.203473597162642</c:v>
                </c:pt>
                <c:pt idx="775">
                  <c:v>55.515628249285001</c:v>
                </c:pt>
                <c:pt idx="776">
                  <c:v>53.381073593690644</c:v>
                </c:pt>
                <c:pt idx="777">
                  <c:v>53.833611171915322</c:v>
                </c:pt>
                <c:pt idx="778">
                  <c:v>50.281337420574935</c:v>
                </c:pt>
                <c:pt idx="779">
                  <c:v>50.344457517232037</c:v>
                </c:pt>
                <c:pt idx="780">
                  <c:v>55.891536084701691</c:v>
                </c:pt>
                <c:pt idx="781">
                  <c:v>54.612890056650166</c:v>
                </c:pt>
                <c:pt idx="782">
                  <c:v>56.175967807810864</c:v>
                </c:pt>
                <c:pt idx="783">
                  <c:v>58.403744825414293</c:v>
                </c:pt>
                <c:pt idx="784">
                  <c:v>55.5270133365795</c:v>
                </c:pt>
                <c:pt idx="785">
                  <c:v>54.685384260502794</c:v>
                </c:pt>
                <c:pt idx="786">
                  <c:v>52.322679329397644</c:v>
                </c:pt>
                <c:pt idx="787">
                  <c:v>52.321195552437651</c:v>
                </c:pt>
                <c:pt idx="788">
                  <c:v>51.486442384183903</c:v>
                </c:pt>
                <c:pt idx="789">
                  <c:v>54.815959534937519</c:v>
                </c:pt>
                <c:pt idx="790">
                  <c:v>52.676821308925724</c:v>
                </c:pt>
                <c:pt idx="791">
                  <c:v>51.739100760557186</c:v>
                </c:pt>
                <c:pt idx="792">
                  <c:v>52.407358080316008</c:v>
                </c:pt>
                <c:pt idx="793">
                  <c:v>51.807269865294082</c:v>
                </c:pt>
                <c:pt idx="794">
                  <c:v>60.301636688685939</c:v>
                </c:pt>
                <c:pt idx="795">
                  <c:v>52.149875160776055</c:v>
                </c:pt>
                <c:pt idx="796">
                  <c:v>45.820568735941848</c:v>
                </c:pt>
                <c:pt idx="797">
                  <c:v>45.886791965372666</c:v>
                </c:pt>
                <c:pt idx="798">
                  <c:v>41.50522534329636</c:v>
                </c:pt>
                <c:pt idx="799">
                  <c:v>41.297425432427431</c:v>
                </c:pt>
                <c:pt idx="800">
                  <c:v>42.040148407043979</c:v>
                </c:pt>
                <c:pt idx="801">
                  <c:v>48.840425531258347</c:v>
                </c:pt>
                <c:pt idx="802">
                  <c:v>48.756171779097919</c:v>
                </c:pt>
                <c:pt idx="803">
                  <c:v>47.230579994682621</c:v>
                </c:pt>
                <c:pt idx="804">
                  <c:v>47.19881367387881</c:v>
                </c:pt>
                <c:pt idx="805">
                  <c:v>39.223232250502363</c:v>
                </c:pt>
                <c:pt idx="806">
                  <c:v>40.889474204765534</c:v>
                </c:pt>
                <c:pt idx="807">
                  <c:v>40.746924742044655</c:v>
                </c:pt>
                <c:pt idx="808">
                  <c:v>40.886455343878211</c:v>
                </c:pt>
                <c:pt idx="809">
                  <c:v>42.810642259348114</c:v>
                </c:pt>
                <c:pt idx="810">
                  <c:v>38.011347444047978</c:v>
                </c:pt>
                <c:pt idx="811">
                  <c:v>38.015338585723363</c:v>
                </c:pt>
                <c:pt idx="812">
                  <c:v>37.004900324150398</c:v>
                </c:pt>
                <c:pt idx="813">
                  <c:v>36.986459565030152</c:v>
                </c:pt>
                <c:pt idx="814">
                  <c:v>36.652142792282071</c:v>
                </c:pt>
                <c:pt idx="815">
                  <c:v>36.627846897287249</c:v>
                </c:pt>
                <c:pt idx="816">
                  <c:v>36.346337894505986</c:v>
                </c:pt>
                <c:pt idx="817">
                  <c:v>36.357180686348251</c:v>
                </c:pt>
                <c:pt idx="818">
                  <c:v>35.923890993650815</c:v>
                </c:pt>
                <c:pt idx="819">
                  <c:v>35.938855648932311</c:v>
                </c:pt>
                <c:pt idx="820">
                  <c:v>35.585615933131585</c:v>
                </c:pt>
                <c:pt idx="821">
                  <c:v>35.578257003384756</c:v>
                </c:pt>
                <c:pt idx="822">
                  <c:v>35.386642741040887</c:v>
                </c:pt>
                <c:pt idx="823">
                  <c:v>35.699415035642467</c:v>
                </c:pt>
                <c:pt idx="824">
                  <c:v>35.714122160353327</c:v>
                </c:pt>
                <c:pt idx="825">
                  <c:v>34.465000875416315</c:v>
                </c:pt>
                <c:pt idx="826">
                  <c:v>34.605136720821569</c:v>
                </c:pt>
                <c:pt idx="827">
                  <c:v>49.453242924266391</c:v>
                </c:pt>
                <c:pt idx="828">
                  <c:v>53.712279084968273</c:v>
                </c:pt>
                <c:pt idx="829">
                  <c:v>46.598351935544422</c:v>
                </c:pt>
                <c:pt idx="830">
                  <c:v>46.506451216003761</c:v>
                </c:pt>
                <c:pt idx="831">
                  <c:v>43.876156591588817</c:v>
                </c:pt>
                <c:pt idx="832">
                  <c:v>46.202980074511522</c:v>
                </c:pt>
                <c:pt idx="833">
                  <c:v>39.985811342603419</c:v>
                </c:pt>
                <c:pt idx="834">
                  <c:v>40.026222577733513</c:v>
                </c:pt>
                <c:pt idx="835">
                  <c:v>39.072113230555388</c:v>
                </c:pt>
                <c:pt idx="836">
                  <c:v>53.171505478383878</c:v>
                </c:pt>
                <c:pt idx="837">
                  <c:v>48.231036402957983</c:v>
                </c:pt>
                <c:pt idx="838">
                  <c:v>51.12199491205115</c:v>
                </c:pt>
                <c:pt idx="839">
                  <c:v>35.484693024891385</c:v>
                </c:pt>
                <c:pt idx="840">
                  <c:v>47.289535791071614</c:v>
                </c:pt>
                <c:pt idx="841">
                  <c:v>48.422315360293751</c:v>
                </c:pt>
                <c:pt idx="842">
                  <c:v>41.957725039663011</c:v>
                </c:pt>
                <c:pt idx="843">
                  <c:v>41.148972849934459</c:v>
                </c:pt>
                <c:pt idx="844">
                  <c:v>37.992034519786742</c:v>
                </c:pt>
                <c:pt idx="845">
                  <c:v>50.852876642036556</c:v>
                </c:pt>
                <c:pt idx="846">
                  <c:v>44.529086242929303</c:v>
                </c:pt>
                <c:pt idx="847">
                  <c:v>47.195631184126462</c:v>
                </c:pt>
                <c:pt idx="848">
                  <c:v>33.840739517250093</c:v>
                </c:pt>
                <c:pt idx="849">
                  <c:v>33.888416445296009</c:v>
                </c:pt>
                <c:pt idx="850">
                  <c:v>33.837293836651178</c:v>
                </c:pt>
                <c:pt idx="851">
                  <c:v>32.171590197271478</c:v>
                </c:pt>
                <c:pt idx="852">
                  <c:v>32.181387164755449</c:v>
                </c:pt>
                <c:pt idx="853">
                  <c:v>29.499483433528585</c:v>
                </c:pt>
                <c:pt idx="854">
                  <c:v>29.510755927833067</c:v>
                </c:pt>
                <c:pt idx="855">
                  <c:v>28.319156631026004</c:v>
                </c:pt>
                <c:pt idx="856">
                  <c:v>28.319156631026004</c:v>
                </c:pt>
                <c:pt idx="857">
                  <c:v>28.324258370218043</c:v>
                </c:pt>
                <c:pt idx="858">
                  <c:v>28.296008270581446</c:v>
                </c:pt>
                <c:pt idx="859">
                  <c:v>28.245405316330402</c:v>
                </c:pt>
                <c:pt idx="860">
                  <c:v>27.530397095949059</c:v>
                </c:pt>
                <c:pt idx="861">
                  <c:v>27.546586938839869</c:v>
                </c:pt>
                <c:pt idx="862">
                  <c:v>25.456581541643594</c:v>
                </c:pt>
                <c:pt idx="863">
                  <c:v>25.456581541643594</c:v>
                </c:pt>
                <c:pt idx="864">
                  <c:v>25.380467065201003</c:v>
                </c:pt>
                <c:pt idx="865">
                  <c:v>25.47155677390553</c:v>
                </c:pt>
                <c:pt idx="866">
                  <c:v>25.47155677390553</c:v>
                </c:pt>
                <c:pt idx="867">
                  <c:v>25.47155677390553</c:v>
                </c:pt>
                <c:pt idx="868">
                  <c:v>33.651620024250477</c:v>
                </c:pt>
                <c:pt idx="869">
                  <c:v>31.160962674640945</c:v>
                </c:pt>
                <c:pt idx="870">
                  <c:v>31.185143590974342</c:v>
                </c:pt>
                <c:pt idx="871">
                  <c:v>30.050829717213329</c:v>
                </c:pt>
                <c:pt idx="872">
                  <c:v>30.066065077109702</c:v>
                </c:pt>
                <c:pt idx="873">
                  <c:v>26.608325459542723</c:v>
                </c:pt>
                <c:pt idx="874">
                  <c:v>26.556023337898456</c:v>
                </c:pt>
                <c:pt idx="875">
                  <c:v>25.720374244891278</c:v>
                </c:pt>
                <c:pt idx="876">
                  <c:v>25.720374244891278</c:v>
                </c:pt>
                <c:pt idx="877">
                  <c:v>25.754378711834189</c:v>
                </c:pt>
                <c:pt idx="878">
                  <c:v>33.054142256210575</c:v>
                </c:pt>
                <c:pt idx="879">
                  <c:v>27.760416027376824</c:v>
                </c:pt>
                <c:pt idx="880">
                  <c:v>27.768231140913496</c:v>
                </c:pt>
                <c:pt idx="881">
                  <c:v>26.076201859298102</c:v>
                </c:pt>
                <c:pt idx="882">
                  <c:v>23.784802667885067</c:v>
                </c:pt>
                <c:pt idx="883">
                  <c:v>23.784802667885067</c:v>
                </c:pt>
                <c:pt idx="884">
                  <c:v>23.784802667885067</c:v>
                </c:pt>
                <c:pt idx="885">
                  <c:v>23.791541739860943</c:v>
                </c:pt>
                <c:pt idx="886">
                  <c:v>23.827855032224107</c:v>
                </c:pt>
                <c:pt idx="887">
                  <c:v>20.880188839269053</c:v>
                </c:pt>
                <c:pt idx="888">
                  <c:v>20.880188839269053</c:v>
                </c:pt>
                <c:pt idx="889">
                  <c:v>22.69838108901121</c:v>
                </c:pt>
                <c:pt idx="890">
                  <c:v>22.69838108901121</c:v>
                </c:pt>
                <c:pt idx="891">
                  <c:v>18.896137261663497</c:v>
                </c:pt>
                <c:pt idx="892">
                  <c:v>18.896137261663497</c:v>
                </c:pt>
                <c:pt idx="893">
                  <c:v>17.472667294648275</c:v>
                </c:pt>
                <c:pt idx="894">
                  <c:v>17.472667294648275</c:v>
                </c:pt>
                <c:pt idx="895">
                  <c:v>17.942201958334596</c:v>
                </c:pt>
                <c:pt idx="896">
                  <c:v>17.942201958334596</c:v>
                </c:pt>
                <c:pt idx="897">
                  <c:v>49.194429251079171</c:v>
                </c:pt>
                <c:pt idx="898">
                  <c:v>47.889187031770895</c:v>
                </c:pt>
                <c:pt idx="899">
                  <c:v>44.90057223094955</c:v>
                </c:pt>
                <c:pt idx="900">
                  <c:v>34.989701462244291</c:v>
                </c:pt>
                <c:pt idx="901">
                  <c:v>34.989701462244291</c:v>
                </c:pt>
                <c:pt idx="902">
                  <c:v>37.49212784829195</c:v>
                </c:pt>
                <c:pt idx="903">
                  <c:v>47.712388962168809</c:v>
                </c:pt>
                <c:pt idx="904">
                  <c:v>37.092565038894087</c:v>
                </c:pt>
                <c:pt idx="905">
                  <c:v>47.492300627672222</c:v>
                </c:pt>
                <c:pt idx="906">
                  <c:v>49.599588511694726</c:v>
                </c:pt>
                <c:pt idx="907">
                  <c:v>48.080419752760385</c:v>
                </c:pt>
                <c:pt idx="908">
                  <c:v>44.187693450792096</c:v>
                </c:pt>
                <c:pt idx="909">
                  <c:v>49.222397030633033</c:v>
                </c:pt>
                <c:pt idx="910">
                  <c:v>42.253807545578738</c:v>
                </c:pt>
                <c:pt idx="911">
                  <c:v>40.105964455708708</c:v>
                </c:pt>
                <c:pt idx="912">
                  <c:v>43.681270793102591</c:v>
                </c:pt>
                <c:pt idx="913">
                  <c:v>44.263993991547522</c:v>
                </c:pt>
                <c:pt idx="914">
                  <c:v>46.761868762886486</c:v>
                </c:pt>
                <c:pt idx="915">
                  <c:v>36.598500887174524</c:v>
                </c:pt>
                <c:pt idx="916">
                  <c:v>35.250776389936902</c:v>
                </c:pt>
                <c:pt idx="917">
                  <c:v>35.282826222686914</c:v>
                </c:pt>
                <c:pt idx="918">
                  <c:v>46.575046933607439</c:v>
                </c:pt>
                <c:pt idx="919">
                  <c:v>46.575576022986347</c:v>
                </c:pt>
                <c:pt idx="920">
                  <c:v>39.635733556301652</c:v>
                </c:pt>
                <c:pt idx="921">
                  <c:v>41.017387025044044</c:v>
                </c:pt>
                <c:pt idx="922">
                  <c:v>40.945889071967372</c:v>
                </c:pt>
                <c:pt idx="923">
                  <c:v>37.211013549309882</c:v>
                </c:pt>
                <c:pt idx="924">
                  <c:v>37.211013549309882</c:v>
                </c:pt>
                <c:pt idx="925">
                  <c:v>42.725695039787766</c:v>
                </c:pt>
                <c:pt idx="926">
                  <c:v>42.71209291449815</c:v>
                </c:pt>
                <c:pt idx="927">
                  <c:v>33.268739200289154</c:v>
                </c:pt>
                <c:pt idx="928">
                  <c:v>34.967354083411379</c:v>
                </c:pt>
                <c:pt idx="929">
                  <c:v>34.967354083411379</c:v>
                </c:pt>
                <c:pt idx="930">
                  <c:v>40.847962841995908</c:v>
                </c:pt>
                <c:pt idx="931">
                  <c:v>39.218680680600627</c:v>
                </c:pt>
                <c:pt idx="932">
                  <c:v>39.235953955185344</c:v>
                </c:pt>
                <c:pt idx="933">
                  <c:v>40.807372370114862</c:v>
                </c:pt>
                <c:pt idx="934">
                  <c:v>46.549859339084364</c:v>
                </c:pt>
                <c:pt idx="935">
                  <c:v>46.556626422748216</c:v>
                </c:pt>
                <c:pt idx="936">
                  <c:v>32.297691420525524</c:v>
                </c:pt>
                <c:pt idx="937">
                  <c:v>32.217204769038176</c:v>
                </c:pt>
                <c:pt idx="938">
                  <c:v>40.161821205141109</c:v>
                </c:pt>
                <c:pt idx="939">
                  <c:v>31.315362783480243</c:v>
                </c:pt>
                <c:pt idx="940">
                  <c:v>31.418804476316371</c:v>
                </c:pt>
                <c:pt idx="941">
                  <c:v>31.357519667501656</c:v>
                </c:pt>
                <c:pt idx="942">
                  <c:v>30.055895624277909</c:v>
                </c:pt>
                <c:pt idx="943">
                  <c:v>30.012697184861803</c:v>
                </c:pt>
                <c:pt idx="944">
                  <c:v>37.05098744430078</c:v>
                </c:pt>
                <c:pt idx="945">
                  <c:v>32.309193376312713</c:v>
                </c:pt>
                <c:pt idx="946">
                  <c:v>32.27663830681395</c:v>
                </c:pt>
                <c:pt idx="947">
                  <c:v>25.426077324248979</c:v>
                </c:pt>
                <c:pt idx="948">
                  <c:v>25.458381573681443</c:v>
                </c:pt>
                <c:pt idx="949">
                  <c:v>29.151714234627729</c:v>
                </c:pt>
                <c:pt idx="950">
                  <c:v>28.316663395235132</c:v>
                </c:pt>
                <c:pt idx="951">
                  <c:v>28.276263423290285</c:v>
                </c:pt>
                <c:pt idx="952">
                  <c:v>26.986200163359555</c:v>
                </c:pt>
                <c:pt idx="953">
                  <c:v>44.107556838551652</c:v>
                </c:pt>
                <c:pt idx="954">
                  <c:v>44.094018232055305</c:v>
                </c:pt>
                <c:pt idx="955">
                  <c:v>39.539907103373793</c:v>
                </c:pt>
                <c:pt idx="956">
                  <c:v>29.80638820563739</c:v>
                </c:pt>
                <c:pt idx="957">
                  <c:v>81.612575230687156</c:v>
                </c:pt>
                <c:pt idx="958">
                  <c:v>81.532731215768919</c:v>
                </c:pt>
                <c:pt idx="959">
                  <c:v>81.606377610571656</c:v>
                </c:pt>
                <c:pt idx="960">
                  <c:v>81.550073951285768</c:v>
                </c:pt>
                <c:pt idx="961">
                  <c:v>94.524492254681022</c:v>
                </c:pt>
                <c:pt idx="962">
                  <c:v>94.439943776989423</c:v>
                </c:pt>
                <c:pt idx="963">
                  <c:v>70.441303586187928</c:v>
                </c:pt>
                <c:pt idx="964">
                  <c:v>70.41790158468703</c:v>
                </c:pt>
                <c:pt idx="965">
                  <c:v>64.059698568013673</c:v>
                </c:pt>
                <c:pt idx="966">
                  <c:v>63.990382945304894</c:v>
                </c:pt>
                <c:pt idx="967">
                  <c:v>64.059698568013673</c:v>
                </c:pt>
                <c:pt idx="968">
                  <c:v>63.990382945304894</c:v>
                </c:pt>
                <c:pt idx="969">
                  <c:v>63.500731932604836</c:v>
                </c:pt>
                <c:pt idx="970">
                  <c:v>63.409240618895886</c:v>
                </c:pt>
                <c:pt idx="971">
                  <c:v>70.371395083946837</c:v>
                </c:pt>
                <c:pt idx="972">
                  <c:v>70.275655671136192</c:v>
                </c:pt>
                <c:pt idx="973">
                  <c:v>63.829286265823086</c:v>
                </c:pt>
                <c:pt idx="974">
                  <c:v>63.764585131022066</c:v>
                </c:pt>
                <c:pt idx="975">
                  <c:v>67.296173289659464</c:v>
                </c:pt>
                <c:pt idx="976">
                  <c:v>67.227207792306373</c:v>
                </c:pt>
                <c:pt idx="977">
                  <c:v>68.342833679957408</c:v>
                </c:pt>
                <c:pt idx="978">
                  <c:v>68.282320028913944</c:v>
                </c:pt>
                <c:pt idx="979">
                  <c:v>71.305098964156883</c:v>
                </c:pt>
                <c:pt idx="980">
                  <c:v>71.236210906350991</c:v>
                </c:pt>
                <c:pt idx="981">
                  <c:v>59.382385900611688</c:v>
                </c:pt>
                <c:pt idx="982">
                  <c:v>59.308953466678332</c:v>
                </c:pt>
                <c:pt idx="983">
                  <c:v>59.540453298417894</c:v>
                </c:pt>
                <c:pt idx="984">
                  <c:v>59.454332187448415</c:v>
                </c:pt>
                <c:pt idx="985">
                  <c:v>59.601022790653943</c:v>
                </c:pt>
                <c:pt idx="986">
                  <c:v>59.525569382495775</c:v>
                </c:pt>
                <c:pt idx="987">
                  <c:v>61.153616798613854</c:v>
                </c:pt>
                <c:pt idx="988">
                  <c:v>61.285079632022523</c:v>
                </c:pt>
                <c:pt idx="989">
                  <c:v>61.102288856503925</c:v>
                </c:pt>
                <c:pt idx="990">
                  <c:v>61.013198334758897</c:v>
                </c:pt>
                <c:pt idx="991">
                  <c:v>60.701859097617962</c:v>
                </c:pt>
                <c:pt idx="992">
                  <c:v>60.619227604232385</c:v>
                </c:pt>
                <c:pt idx="993">
                  <c:v>58.208608544632874</c:v>
                </c:pt>
                <c:pt idx="994">
                  <c:v>58.115761410190359</c:v>
                </c:pt>
                <c:pt idx="995">
                  <c:v>57.896581762335984</c:v>
                </c:pt>
                <c:pt idx="996">
                  <c:v>57.82153505196581</c:v>
                </c:pt>
                <c:pt idx="997">
                  <c:v>54.890314856979337</c:v>
                </c:pt>
                <c:pt idx="998">
                  <c:v>54.806075092584287</c:v>
                </c:pt>
                <c:pt idx="999">
                  <c:v>53.128875570099787</c:v>
                </c:pt>
                <c:pt idx="1000">
                  <c:v>53.049844132913805</c:v>
                </c:pt>
                <c:pt idx="1001">
                  <c:v>53.944907348544973</c:v>
                </c:pt>
                <c:pt idx="1002">
                  <c:v>53.851857238605227</c:v>
                </c:pt>
                <c:pt idx="1003">
                  <c:v>55.390344846782064</c:v>
                </c:pt>
                <c:pt idx="1004">
                  <c:v>55.296406716245237</c:v>
                </c:pt>
                <c:pt idx="1005">
                  <c:v>31.07806834088391</c:v>
                </c:pt>
                <c:pt idx="1006">
                  <c:v>31.184196698404406</c:v>
                </c:pt>
                <c:pt idx="1007">
                  <c:v>20.700466718485373</c:v>
                </c:pt>
                <c:pt idx="1008">
                  <c:v>20.686714888203309</c:v>
                </c:pt>
                <c:pt idx="1009">
                  <c:v>49.590956709899714</c:v>
                </c:pt>
                <c:pt idx="1010">
                  <c:v>49.519931964764893</c:v>
                </c:pt>
                <c:pt idx="1011">
                  <c:v>49.282749490214421</c:v>
                </c:pt>
                <c:pt idx="1012">
                  <c:v>49.198079087896346</c:v>
                </c:pt>
                <c:pt idx="1013">
                  <c:v>49.326538791186096</c:v>
                </c:pt>
                <c:pt idx="1014">
                  <c:v>49.246612807155834</c:v>
                </c:pt>
                <c:pt idx="1015">
                  <c:v>40.508515801675287</c:v>
                </c:pt>
                <c:pt idx="1016">
                  <c:v>40.498060435367584</c:v>
                </c:pt>
                <c:pt idx="1017">
                  <c:v>45.492104946464956</c:v>
                </c:pt>
                <c:pt idx="1018">
                  <c:v>45.453293478106851</c:v>
                </c:pt>
                <c:pt idx="1019">
                  <c:v>40.993363536187239</c:v>
                </c:pt>
                <c:pt idx="1020">
                  <c:v>40.970813006970076</c:v>
                </c:pt>
                <c:pt idx="1021">
                  <c:v>42.715059781845241</c:v>
                </c:pt>
                <c:pt idx="1022">
                  <c:v>42.675413861300527</c:v>
                </c:pt>
                <c:pt idx="1023">
                  <c:v>37.199356514748644</c:v>
                </c:pt>
                <c:pt idx="1024">
                  <c:v>37.185949342059331</c:v>
                </c:pt>
                <c:pt idx="1025">
                  <c:v>40.999941611069609</c:v>
                </c:pt>
                <c:pt idx="1026">
                  <c:v>40.973839472072399</c:v>
                </c:pt>
                <c:pt idx="1027">
                  <c:v>40.108679102239073</c:v>
                </c:pt>
                <c:pt idx="1028">
                  <c:v>40.056098042537371</c:v>
                </c:pt>
                <c:pt idx="1029">
                  <c:v>40.094812505797847</c:v>
                </c:pt>
                <c:pt idx="1030">
                  <c:v>40.068462734128026</c:v>
                </c:pt>
                <c:pt idx="1031">
                  <c:v>40.579905275643654</c:v>
                </c:pt>
                <c:pt idx="1032">
                  <c:v>40.534564682215937</c:v>
                </c:pt>
                <c:pt idx="1033">
                  <c:v>40.594040523791662</c:v>
                </c:pt>
                <c:pt idx="1034">
                  <c:v>40.558411701443433</c:v>
                </c:pt>
                <c:pt idx="1035">
                  <c:v>95</c:v>
                </c:pt>
                <c:pt idx="1036">
                  <c:v>81.5</c:v>
                </c:pt>
                <c:pt idx="1037">
                  <c:v>85.2</c:v>
                </c:pt>
                <c:pt idx="1038">
                  <c:v>90</c:v>
                </c:pt>
                <c:pt idx="1039">
                  <c:v>68.3</c:v>
                </c:pt>
                <c:pt idx="1040">
                  <c:v>71.3</c:v>
                </c:pt>
                <c:pt idx="1041">
                  <c:v>62.217726495132609</c:v>
                </c:pt>
                <c:pt idx="1042">
                  <c:v>62.29063493465528</c:v>
                </c:pt>
                <c:pt idx="1043">
                  <c:v>70.33104504819589</c:v>
                </c:pt>
                <c:pt idx="1044">
                  <c:v>68.227515111600809</c:v>
                </c:pt>
                <c:pt idx="1045">
                  <c:v>60.621233342000771</c:v>
                </c:pt>
                <c:pt idx="1046">
                  <c:v>58.983884566968634</c:v>
                </c:pt>
                <c:pt idx="1047">
                  <c:v>65.574102976441424</c:v>
                </c:pt>
                <c:pt idx="1048">
                  <c:v>67.843412235655606</c:v>
                </c:pt>
                <c:pt idx="1049">
                  <c:v>71.992415979072518</c:v>
                </c:pt>
                <c:pt idx="1050">
                  <c:v>59.479535679913205</c:v>
                </c:pt>
                <c:pt idx="1051">
                  <c:v>56.854256140831779</c:v>
                </c:pt>
                <c:pt idx="1052">
                  <c:v>61.235000447260802</c:v>
                </c:pt>
                <c:pt idx="1053">
                  <c:v>60.702915661934476</c:v>
                </c:pt>
                <c:pt idx="1054">
                  <c:v>59.748615294962256</c:v>
                </c:pt>
                <c:pt idx="1055">
                  <c:v>59.014559544654517</c:v>
                </c:pt>
                <c:pt idx="1056">
                  <c:v>60.409971788152831</c:v>
                </c:pt>
                <c:pt idx="1057">
                  <c:v>48.88245719139551</c:v>
                </c:pt>
                <c:pt idx="1058">
                  <c:v>49.983483708209214</c:v>
                </c:pt>
                <c:pt idx="1059">
                  <c:v>49.799418912952248</c:v>
                </c:pt>
                <c:pt idx="1060">
                  <c:v>56.287752579626734</c:v>
                </c:pt>
                <c:pt idx="1061">
                  <c:v>59.05237621231548</c:v>
                </c:pt>
                <c:pt idx="1062">
                  <c:v>63.767314549719124</c:v>
                </c:pt>
                <c:pt idx="1063">
                  <c:v>63.433699969899202</c:v>
                </c:pt>
                <c:pt idx="1064">
                  <c:v>62.280944420214468</c:v>
                </c:pt>
                <c:pt idx="1065">
                  <c:v>55.427598368560233</c:v>
                </c:pt>
                <c:pt idx="1066">
                  <c:v>57.928829575640194</c:v>
                </c:pt>
                <c:pt idx="1067">
                  <c:v>53.115514575676379</c:v>
                </c:pt>
                <c:pt idx="1068">
                  <c:v>45.595454806127186</c:v>
                </c:pt>
                <c:pt idx="1069">
                  <c:v>40.948691127894762</c:v>
                </c:pt>
                <c:pt idx="1070">
                  <c:v>38.997675858149051</c:v>
                </c:pt>
                <c:pt idx="1071">
                  <c:v>34.954004225057936</c:v>
                </c:pt>
                <c:pt idx="1072">
                  <c:v>41.622197941501923</c:v>
                </c:pt>
                <c:pt idx="1073">
                  <c:v>43.602093423378683</c:v>
                </c:pt>
                <c:pt idx="1074">
                  <c:v>45.282898018762495</c:v>
                </c:pt>
                <c:pt idx="1075">
                  <c:v>41.850461912875787</c:v>
                </c:pt>
                <c:pt idx="1076">
                  <c:v>41.13977841817691</c:v>
                </c:pt>
                <c:pt idx="1077">
                  <c:v>40.593943995208413</c:v>
                </c:pt>
                <c:pt idx="1078">
                  <c:v>33.742418927894697</c:v>
                </c:pt>
                <c:pt idx="1079">
                  <c:v>29.237016759793622</c:v>
                </c:pt>
                <c:pt idx="1080">
                  <c:v>24.40706194831202</c:v>
                </c:pt>
                <c:pt idx="1081">
                  <c:v>29.637378868968412</c:v>
                </c:pt>
                <c:pt idx="1082">
                  <c:v>47.31222674371346</c:v>
                </c:pt>
                <c:pt idx="1083">
                  <c:v>45.316552876410064</c:v>
                </c:pt>
                <c:pt idx="1084">
                  <c:v>38.852696206802051</c:v>
                </c:pt>
                <c:pt idx="1085">
                  <c:v>21.171694463214322</c:v>
                </c:pt>
                <c:pt idx="1086">
                  <c:v>20.656086035795454</c:v>
                </c:pt>
                <c:pt idx="1087">
                  <c:v>23.860636207978605</c:v>
                </c:pt>
                <c:pt idx="1088">
                  <c:v>34.423131785465706</c:v>
                </c:pt>
                <c:pt idx="1089">
                  <c:v>26.912576849355109</c:v>
                </c:pt>
                <c:pt idx="1090">
                  <c:v>21.493622167346011</c:v>
                </c:pt>
                <c:pt idx="1091">
                  <c:v>17.755534250441624</c:v>
                </c:pt>
                <c:pt idx="1092">
                  <c:v>70.537441001283426</c:v>
                </c:pt>
                <c:pt idx="1093">
                  <c:v>62.897431070654889</c:v>
                </c:pt>
                <c:pt idx="1094">
                  <c:v>70.402228555085628</c:v>
                </c:pt>
                <c:pt idx="1095">
                  <c:v>64.062655645340172</c:v>
                </c:pt>
                <c:pt idx="1096">
                  <c:v>53.903349663304695</c:v>
                </c:pt>
                <c:pt idx="1097">
                  <c:v>63.390660550153747</c:v>
                </c:pt>
                <c:pt idx="1098">
                  <c:v>58.555850235356573</c:v>
                </c:pt>
                <c:pt idx="1099">
                  <c:v>61.264803355766553</c:v>
                </c:pt>
                <c:pt idx="1100">
                  <c:v>59.46647115103395</c:v>
                </c:pt>
                <c:pt idx="1101">
                  <c:v>60.693861200152561</c:v>
                </c:pt>
                <c:pt idx="1102">
                  <c:v>58.151106979175708</c:v>
                </c:pt>
                <c:pt idx="1103">
                  <c:v>60.273354982998633</c:v>
                </c:pt>
                <c:pt idx="1104">
                  <c:v>55.501543431755003</c:v>
                </c:pt>
                <c:pt idx="1105">
                  <c:v>55.481055030325045</c:v>
                </c:pt>
                <c:pt idx="1106">
                  <c:v>54.073685615567221</c:v>
                </c:pt>
                <c:pt idx="1107">
                  <c:v>51.107583684820291</c:v>
                </c:pt>
                <c:pt idx="1108">
                  <c:v>55.081855044538266</c:v>
                </c:pt>
                <c:pt idx="1109">
                  <c:v>49.813610980344215</c:v>
                </c:pt>
                <c:pt idx="1110">
                  <c:v>47.063374715048987</c:v>
                </c:pt>
                <c:pt idx="1111">
                  <c:v>47.761079695464538</c:v>
                </c:pt>
                <c:pt idx="1112">
                  <c:v>44.465321859881399</c:v>
                </c:pt>
                <c:pt idx="1113">
                  <c:v>49.189329460337518</c:v>
                </c:pt>
                <c:pt idx="1114">
                  <c:v>38.366344663869114</c:v>
                </c:pt>
                <c:pt idx="1115">
                  <c:v>42.579694659658756</c:v>
                </c:pt>
                <c:pt idx="1116">
                  <c:v>58.106262631101167</c:v>
                </c:pt>
                <c:pt idx="1117">
                  <c:v>58.269093183902378</c:v>
                </c:pt>
                <c:pt idx="1118">
                  <c:v>53.903652025427519</c:v>
                </c:pt>
                <c:pt idx="1119">
                  <c:v>54.760939384469324</c:v>
                </c:pt>
                <c:pt idx="1120">
                  <c:v>50.303811920812663</c:v>
                </c:pt>
                <c:pt idx="1121">
                  <c:v>57.28574428294889</c:v>
                </c:pt>
                <c:pt idx="1122">
                  <c:v>55.48041642179458</c:v>
                </c:pt>
                <c:pt idx="1123">
                  <c:v>55.657732020158562</c:v>
                </c:pt>
                <c:pt idx="1124">
                  <c:v>54.65939354730142</c:v>
                </c:pt>
                <c:pt idx="1125">
                  <c:v>60.197886221865318</c:v>
                </c:pt>
                <c:pt idx="1126">
                  <c:v>51.721182574006733</c:v>
                </c:pt>
                <c:pt idx="1127">
                  <c:v>52.67395451095696</c:v>
                </c:pt>
                <c:pt idx="1128">
                  <c:v>44.844383937522409</c:v>
                </c:pt>
                <c:pt idx="1129">
                  <c:v>48.010881456016072</c:v>
                </c:pt>
                <c:pt idx="1130">
                  <c:v>49.230996792145262</c:v>
                </c:pt>
                <c:pt idx="1131">
                  <c:v>46.021413107207358</c:v>
                </c:pt>
                <c:pt idx="1132">
                  <c:v>52.360464312737172</c:v>
                </c:pt>
                <c:pt idx="1133">
                  <c:v>40.733945015618119</c:v>
                </c:pt>
                <c:pt idx="1134">
                  <c:v>39.593385786636127</c:v>
                </c:pt>
                <c:pt idx="1135">
                  <c:v>42.295460307997352</c:v>
                </c:pt>
                <c:pt idx="1136">
                  <c:v>43.654848696763679</c:v>
                </c:pt>
                <c:pt idx="1137">
                  <c:v>46.595453578337541</c:v>
                </c:pt>
                <c:pt idx="1138">
                  <c:v>49.590153197417891</c:v>
                </c:pt>
                <c:pt idx="1139">
                  <c:v>42.742397633553942</c:v>
                </c:pt>
                <c:pt idx="1140">
                  <c:v>42.688871707332567</c:v>
                </c:pt>
                <c:pt idx="1141">
                  <c:v>46.669543498793381</c:v>
                </c:pt>
                <c:pt idx="1142">
                  <c:v>44.404555366607759</c:v>
                </c:pt>
                <c:pt idx="1143">
                  <c:v>37.360803892158394</c:v>
                </c:pt>
                <c:pt idx="1144">
                  <c:v>47.416559893800382</c:v>
                </c:pt>
                <c:pt idx="1145">
                  <c:v>40.785723889403847</c:v>
                </c:pt>
                <c:pt idx="1146">
                  <c:v>32.506780992293336</c:v>
                </c:pt>
                <c:pt idx="1147">
                  <c:v>34.002602713869194</c:v>
                </c:pt>
                <c:pt idx="1148">
                  <c:v>35.219482068203391</c:v>
                </c:pt>
                <c:pt idx="1149">
                  <c:v>29.503538375647715</c:v>
                </c:pt>
                <c:pt idx="1150">
                  <c:v>27.497363469824094</c:v>
                </c:pt>
                <c:pt idx="1151">
                  <c:v>25.405269899067459</c:v>
                </c:pt>
                <c:pt idx="1152">
                  <c:v>31.121790452233022</c:v>
                </c:pt>
                <c:pt idx="1153">
                  <c:v>31.169584847313246</c:v>
                </c:pt>
                <c:pt idx="1154">
                  <c:v>25.912019491789454</c:v>
                </c:pt>
                <c:pt idx="1155">
                  <c:v>26.512944333543491</c:v>
                </c:pt>
                <c:pt idx="1156">
                  <c:v>23.832407991003492</c:v>
                </c:pt>
                <c:pt idx="1157">
                  <c:v>23.836731251015294</c:v>
                </c:pt>
                <c:pt idx="1158">
                  <c:v>26.186964324635262</c:v>
                </c:pt>
                <c:pt idx="1159">
                  <c:v>33.025056794493985</c:v>
                </c:pt>
                <c:pt idx="1160">
                  <c:v>43.079827992157483</c:v>
                </c:pt>
                <c:pt idx="1161">
                  <c:v>97.752914177040921</c:v>
                </c:pt>
                <c:pt idx="1162">
                  <c:v>100.82502453911427</c:v>
                </c:pt>
                <c:pt idx="1163">
                  <c:v>55.987668972431152</c:v>
                </c:pt>
                <c:pt idx="1164">
                  <c:v>56.003956199488144</c:v>
                </c:pt>
                <c:pt idx="1165">
                  <c:v>55.93061811597169</c:v>
                </c:pt>
                <c:pt idx="1166">
                  <c:v>55.93061811597169</c:v>
                </c:pt>
                <c:pt idx="1167">
                  <c:v>23.330159534617806</c:v>
                </c:pt>
                <c:pt idx="1168">
                  <c:v>20.401500451475538</c:v>
                </c:pt>
                <c:pt idx="1169">
                  <c:v>23.255488206461205</c:v>
                </c:pt>
                <c:pt idx="1170">
                  <c:v>21.45118408528915</c:v>
                </c:pt>
                <c:pt idx="1171">
                  <c:v>26.904497383096992</c:v>
                </c:pt>
                <c:pt idx="1172">
                  <c:v>22.409143214922349</c:v>
                </c:pt>
                <c:pt idx="1173">
                  <c:v>56.151173782756551</c:v>
                </c:pt>
                <c:pt idx="1174">
                  <c:v>56.142226458214303</c:v>
                </c:pt>
                <c:pt idx="1175">
                  <c:v>54.976202558715215</c:v>
                </c:pt>
                <c:pt idx="1176">
                  <c:v>56.475152318505231</c:v>
                </c:pt>
                <c:pt idx="1177">
                  <c:v>56.318023504023962</c:v>
                </c:pt>
                <c:pt idx="1178">
                  <c:v>56.282246160454903</c:v>
                </c:pt>
                <c:pt idx="1179">
                  <c:v>55.754534215180797</c:v>
                </c:pt>
                <c:pt idx="1180">
                  <c:v>56.072822758737104</c:v>
                </c:pt>
                <c:pt idx="1181">
                  <c:v>55.711377644816231</c:v>
                </c:pt>
                <c:pt idx="1182">
                  <c:v>55.711377644816231</c:v>
                </c:pt>
                <c:pt idx="1183">
                  <c:v>55.981367519343223</c:v>
                </c:pt>
                <c:pt idx="1184">
                  <c:v>60.486507898120884</c:v>
                </c:pt>
                <c:pt idx="1185">
                  <c:v>36.257106442327824</c:v>
                </c:pt>
                <c:pt idx="1186">
                  <c:v>60.40691255611619</c:v>
                </c:pt>
                <c:pt idx="1187">
                  <c:v>36.366941342628344</c:v>
                </c:pt>
                <c:pt idx="1188">
                  <c:v>67.838028290999688</c:v>
                </c:pt>
                <c:pt idx="1189">
                  <c:v>67.83</c:v>
                </c:pt>
                <c:pt idx="1190">
                  <c:v>67.87</c:v>
                </c:pt>
                <c:pt idx="1191">
                  <c:v>95.23</c:v>
                </c:pt>
                <c:pt idx="1192">
                  <c:v>95.26</c:v>
                </c:pt>
                <c:pt idx="1193">
                  <c:v>95.17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04-40DD-8D37-7E5286406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536096"/>
        <c:axId val="1132542336"/>
      </c:scatterChart>
      <c:valAx>
        <c:axId val="1132536096"/>
        <c:scaling>
          <c:orientation val="minMax"/>
          <c:max val="2.11"/>
          <c:min val="1.4"/>
        </c:scaling>
        <c:delete val="0"/>
        <c:axPos val="b"/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42336"/>
        <c:crosses val="autoZero"/>
        <c:crossBetween val="midCat"/>
      </c:valAx>
      <c:valAx>
        <c:axId val="1132542336"/>
        <c:scaling>
          <c:orientation val="minMax"/>
          <c:max val="100"/>
          <c:min val="10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3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ysClr val="windowText" lastClr="000000">
                  <a:lumMod val="85000"/>
                  <a:lumOff val="15000"/>
                </a:sysClr>
              </a:solidFill>
              <a:ln w="9525">
                <a:solidFill>
                  <a:sysClr val="windowText" lastClr="000000">
                    <a:lumMod val="50000"/>
                    <a:lumOff val="50000"/>
                  </a:sysClr>
                </a:solidFill>
              </a:ln>
              <a:effectLst/>
            </c:spPr>
          </c:marker>
          <c:xVal>
            <c:numRef>
              <c:f>'Typecode Reference'!$F$3:$F$1196</c:f>
              <c:numCache>
                <c:formatCode>0.0000</c:formatCode>
                <c:ptCount val="1194"/>
                <c:pt idx="0">
                  <c:v>81.546844660932479</c:v>
                </c:pt>
                <c:pt idx="1">
                  <c:v>94.947134342214298</c:v>
                </c:pt>
                <c:pt idx="2">
                  <c:v>94.662164567568809</c:v>
                </c:pt>
                <c:pt idx="3">
                  <c:v>67.736525519310234</c:v>
                </c:pt>
                <c:pt idx="4">
                  <c:v>74.703997751608128</c:v>
                </c:pt>
                <c:pt idx="5">
                  <c:v>76.453723890856693</c:v>
                </c:pt>
                <c:pt idx="6">
                  <c:v>70.697902437794809</c:v>
                </c:pt>
                <c:pt idx="7">
                  <c:v>70.237067175287734</c:v>
                </c:pt>
                <c:pt idx="8">
                  <c:v>64.142771520600476</c:v>
                </c:pt>
                <c:pt idx="9">
                  <c:v>56.816751921453715</c:v>
                </c:pt>
                <c:pt idx="10">
                  <c:v>57.053399932658891</c:v>
                </c:pt>
                <c:pt idx="11">
                  <c:v>60.641794367739081</c:v>
                </c:pt>
                <c:pt idx="12">
                  <c:v>58.166452186292382</c:v>
                </c:pt>
                <c:pt idx="13">
                  <c:v>60.290293994699766</c:v>
                </c:pt>
                <c:pt idx="14">
                  <c:v>55.380686650034711</c:v>
                </c:pt>
                <c:pt idx="15">
                  <c:v>50.878164612511981</c:v>
                </c:pt>
                <c:pt idx="16">
                  <c:v>49.815652226825435</c:v>
                </c:pt>
                <c:pt idx="17">
                  <c:v>53.024516192229044</c:v>
                </c:pt>
                <c:pt idx="18">
                  <c:v>60.078830031608142</c:v>
                </c:pt>
                <c:pt idx="19">
                  <c:v>58.9027550845639</c:v>
                </c:pt>
                <c:pt idx="20">
                  <c:v>52.431531630348822</c:v>
                </c:pt>
                <c:pt idx="21">
                  <c:v>52.952740625255991</c:v>
                </c:pt>
                <c:pt idx="22">
                  <c:v>59.463181775308371</c:v>
                </c:pt>
                <c:pt idx="23">
                  <c:v>56.364567627656328</c:v>
                </c:pt>
                <c:pt idx="24">
                  <c:v>61.135743477136124</c:v>
                </c:pt>
                <c:pt idx="25">
                  <c:v>59.375374859649561</c:v>
                </c:pt>
                <c:pt idx="26">
                  <c:v>43.707512537941668</c:v>
                </c:pt>
                <c:pt idx="27">
                  <c:v>44.873350019963461</c:v>
                </c:pt>
                <c:pt idx="28">
                  <c:v>48.325830933046404</c:v>
                </c:pt>
                <c:pt idx="29">
                  <c:v>41.239946183895277</c:v>
                </c:pt>
                <c:pt idx="30">
                  <c:v>37.956071469707304</c:v>
                </c:pt>
                <c:pt idx="31">
                  <c:v>63.334253349101168</c:v>
                </c:pt>
                <c:pt idx="32">
                  <c:v>63.322196710854378</c:v>
                </c:pt>
                <c:pt idx="33">
                  <c:v>65.444418060462013</c:v>
                </c:pt>
                <c:pt idx="34">
                  <c:v>45.784833890743862</c:v>
                </c:pt>
                <c:pt idx="35">
                  <c:v>47.227698976429018</c:v>
                </c:pt>
                <c:pt idx="36">
                  <c:v>48.841308037633901</c:v>
                </c:pt>
                <c:pt idx="37">
                  <c:v>40.748066581060101</c:v>
                </c:pt>
                <c:pt idx="38">
                  <c:v>42.817599183731161</c:v>
                </c:pt>
                <c:pt idx="39">
                  <c:v>41.505715996842042</c:v>
                </c:pt>
                <c:pt idx="40">
                  <c:v>36.263828198584825</c:v>
                </c:pt>
                <c:pt idx="41">
                  <c:v>38.027816861425308</c:v>
                </c:pt>
                <c:pt idx="42">
                  <c:v>39.242756627498437</c:v>
                </c:pt>
                <c:pt idx="43">
                  <c:v>32.099609467818134</c:v>
                </c:pt>
                <c:pt idx="44">
                  <c:v>34.466852229510494</c:v>
                </c:pt>
                <c:pt idx="45">
                  <c:v>31.07584163844616</c:v>
                </c:pt>
                <c:pt idx="46">
                  <c:v>30.128245944111814</c:v>
                </c:pt>
                <c:pt idx="47">
                  <c:v>29.518464410723244</c:v>
                </c:pt>
                <c:pt idx="48">
                  <c:v>28.296364085731941</c:v>
                </c:pt>
                <c:pt idx="49">
                  <c:v>27.512438964645373</c:v>
                </c:pt>
                <c:pt idx="50">
                  <c:v>25.425688543988588</c:v>
                </c:pt>
                <c:pt idx="51">
                  <c:v>28.460960305019999</c:v>
                </c:pt>
                <c:pt idx="52">
                  <c:v>25.683774838457573</c:v>
                </c:pt>
                <c:pt idx="53">
                  <c:v>27.789712706147007</c:v>
                </c:pt>
                <c:pt idx="54">
                  <c:v>26.518223653500911</c:v>
                </c:pt>
                <c:pt idx="55">
                  <c:v>29.232700573233874</c:v>
                </c:pt>
                <c:pt idx="56">
                  <c:v>23.778245460006783</c:v>
                </c:pt>
                <c:pt idx="57">
                  <c:v>23.778245460006783</c:v>
                </c:pt>
                <c:pt idx="58">
                  <c:v>23.86414366347055</c:v>
                </c:pt>
                <c:pt idx="59">
                  <c:v>24.114710753865129</c:v>
                </c:pt>
                <c:pt idx="60">
                  <c:v>58.5451462052606</c:v>
                </c:pt>
                <c:pt idx="61">
                  <c:v>53.867696805828494</c:v>
                </c:pt>
                <c:pt idx="62">
                  <c:v>54.823226492555712</c:v>
                </c:pt>
                <c:pt idx="63">
                  <c:v>50.231163622147136</c:v>
                </c:pt>
                <c:pt idx="64">
                  <c:v>55.341852314249884</c:v>
                </c:pt>
                <c:pt idx="65">
                  <c:v>55.347541833773562</c:v>
                </c:pt>
                <c:pt idx="66">
                  <c:v>55.532897002712772</c:v>
                </c:pt>
                <c:pt idx="67">
                  <c:v>54.680659658866752</c:v>
                </c:pt>
                <c:pt idx="68">
                  <c:v>54.593414719264238</c:v>
                </c:pt>
                <c:pt idx="69">
                  <c:v>54.095863374697636</c:v>
                </c:pt>
                <c:pt idx="70">
                  <c:v>51.11279807985747</c:v>
                </c:pt>
                <c:pt idx="71">
                  <c:v>52.380028097955758</c:v>
                </c:pt>
                <c:pt idx="72">
                  <c:v>56.239042527320947</c:v>
                </c:pt>
                <c:pt idx="73">
                  <c:v>50.811260945358818</c:v>
                </c:pt>
                <c:pt idx="74">
                  <c:v>51.471182164227976</c:v>
                </c:pt>
                <c:pt idx="75">
                  <c:v>52.637126471728891</c:v>
                </c:pt>
                <c:pt idx="76">
                  <c:v>52.602574978217277</c:v>
                </c:pt>
                <c:pt idx="77">
                  <c:v>44.786974351776742</c:v>
                </c:pt>
                <c:pt idx="78">
                  <c:v>47.928547466743851</c:v>
                </c:pt>
                <c:pt idx="79">
                  <c:v>35.283835230128716</c:v>
                </c:pt>
                <c:pt idx="80">
                  <c:v>40.100668871073019</c:v>
                </c:pt>
                <c:pt idx="81">
                  <c:v>49.340034170526877</c:v>
                </c:pt>
                <c:pt idx="82">
                  <c:v>34.967837161904718</c:v>
                </c:pt>
                <c:pt idx="83">
                  <c:v>37.089908662322408</c:v>
                </c:pt>
                <c:pt idx="84">
                  <c:v>44.20317204436774</c:v>
                </c:pt>
                <c:pt idx="85">
                  <c:v>42.225520097363649</c:v>
                </c:pt>
                <c:pt idx="86">
                  <c:v>42.240019907190167</c:v>
                </c:pt>
                <c:pt idx="87">
                  <c:v>40.926495645030677</c:v>
                </c:pt>
                <c:pt idx="88">
                  <c:v>40.930290677904935</c:v>
                </c:pt>
                <c:pt idx="89">
                  <c:v>42.725842011049998</c:v>
                </c:pt>
                <c:pt idx="90">
                  <c:v>42.744198644227495</c:v>
                </c:pt>
                <c:pt idx="91">
                  <c:v>40.765603028370677</c:v>
                </c:pt>
                <c:pt idx="92">
                  <c:v>46.621121266208654</c:v>
                </c:pt>
                <c:pt idx="93">
                  <c:v>37.160944664381319</c:v>
                </c:pt>
                <c:pt idx="94">
                  <c:v>37.172557039240338</c:v>
                </c:pt>
                <c:pt idx="95">
                  <c:v>37.207314672122195</c:v>
                </c:pt>
                <c:pt idx="96">
                  <c:v>39.580975287905481</c:v>
                </c:pt>
                <c:pt idx="97">
                  <c:v>47.369090177762786</c:v>
                </c:pt>
                <c:pt idx="98">
                  <c:v>46.583991735193997</c:v>
                </c:pt>
                <c:pt idx="99">
                  <c:v>46.528091976878208</c:v>
                </c:pt>
                <c:pt idx="100">
                  <c:v>49.598963505509388</c:v>
                </c:pt>
                <c:pt idx="101">
                  <c:v>49.548505418982884</c:v>
                </c:pt>
                <c:pt idx="102">
                  <c:v>32.270523393501108</c:v>
                </c:pt>
                <c:pt idx="103">
                  <c:v>28.273636001302581</c:v>
                </c:pt>
                <c:pt idx="104">
                  <c:v>31.604543032570483</c:v>
                </c:pt>
                <c:pt idx="105">
                  <c:v>40.782766316094651</c:v>
                </c:pt>
                <c:pt idx="106">
                  <c:v>37.134481055739833</c:v>
                </c:pt>
                <c:pt idx="107">
                  <c:v>35.037260217666699</c:v>
                </c:pt>
                <c:pt idx="108">
                  <c:v>31.343458393234734</c:v>
                </c:pt>
                <c:pt idx="109">
                  <c:v>48.489276235073305</c:v>
                </c:pt>
                <c:pt idx="110">
                  <c:v>52.319439110964339</c:v>
                </c:pt>
                <c:pt idx="111">
                  <c:v>32.325130043940511</c:v>
                </c:pt>
                <c:pt idx="112">
                  <c:v>29.139840134036849</c:v>
                </c:pt>
                <c:pt idx="113">
                  <c:v>29.139840134036849</c:v>
                </c:pt>
                <c:pt idx="114">
                  <c:v>35.310516152525217</c:v>
                </c:pt>
                <c:pt idx="115">
                  <c:v>44.268241579702654</c:v>
                </c:pt>
                <c:pt idx="116">
                  <c:v>41.079824446041634</c:v>
                </c:pt>
                <c:pt idx="117">
                  <c:v>39.683279924419061</c:v>
                </c:pt>
                <c:pt idx="118">
                  <c:v>34.70841337379705</c:v>
                </c:pt>
                <c:pt idx="119">
                  <c:v>35.332916257604339</c:v>
                </c:pt>
                <c:pt idx="120">
                  <c:v>38.25654612761879</c:v>
                </c:pt>
                <c:pt idx="121">
                  <c:v>32.326992567714512</c:v>
                </c:pt>
                <c:pt idx="122">
                  <c:v>29.845064835575876</c:v>
                </c:pt>
                <c:pt idx="123">
                  <c:v>24.799296052244362</c:v>
                </c:pt>
                <c:pt idx="124">
                  <c:v>30.046807103392066</c:v>
                </c:pt>
                <c:pt idx="125">
                  <c:v>28.429008278803753</c:v>
                </c:pt>
                <c:pt idx="126">
                  <c:v>35.823871730249635</c:v>
                </c:pt>
                <c:pt idx="127">
                  <c:v>22.761112101380657</c:v>
                </c:pt>
                <c:pt idx="128">
                  <c:v>22.761112101380657</c:v>
                </c:pt>
                <c:pt idx="129">
                  <c:v>18.897162025186191</c:v>
                </c:pt>
                <c:pt idx="130">
                  <c:v>17.471485305976429</c:v>
                </c:pt>
                <c:pt idx="131">
                  <c:v>20.362076310461269</c:v>
                </c:pt>
                <c:pt idx="132">
                  <c:v>22.729031031505563</c:v>
                </c:pt>
                <c:pt idx="133">
                  <c:v>23.91190651375025</c:v>
                </c:pt>
                <c:pt idx="134">
                  <c:v>64.065875674363241</c:v>
                </c:pt>
                <c:pt idx="135">
                  <c:v>61.153318143224965</c:v>
                </c:pt>
                <c:pt idx="136">
                  <c:v>60.994712931308534</c:v>
                </c:pt>
                <c:pt idx="137">
                  <c:v>59.386395180254262</c:v>
                </c:pt>
                <c:pt idx="138">
                  <c:v>59.248993881528996</c:v>
                </c:pt>
                <c:pt idx="139">
                  <c:v>59.69768343166065</c:v>
                </c:pt>
                <c:pt idx="140">
                  <c:v>31.023789345369526</c:v>
                </c:pt>
                <c:pt idx="141">
                  <c:v>53.186431760657797</c:v>
                </c:pt>
                <c:pt idx="142">
                  <c:v>52.93122839740392</c:v>
                </c:pt>
                <c:pt idx="143">
                  <c:v>49.296167974930512</c:v>
                </c:pt>
                <c:pt idx="144">
                  <c:v>40.508651616900728</c:v>
                </c:pt>
                <c:pt idx="145">
                  <c:v>40.907800266945117</c:v>
                </c:pt>
                <c:pt idx="146">
                  <c:v>40.548997076013265</c:v>
                </c:pt>
                <c:pt idx="147">
                  <c:v>40.37886014759026</c:v>
                </c:pt>
                <c:pt idx="148">
                  <c:v>40.098085025296207</c:v>
                </c:pt>
                <c:pt idx="149">
                  <c:v>49.097500525966964</c:v>
                </c:pt>
                <c:pt idx="150">
                  <c:v>37.09822415667287</c:v>
                </c:pt>
                <c:pt idx="151">
                  <c:v>30.164174612227082</c:v>
                </c:pt>
                <c:pt idx="152">
                  <c:v>24.559372959381275</c:v>
                </c:pt>
                <c:pt idx="153">
                  <c:v>60.667288675467688</c:v>
                </c:pt>
                <c:pt idx="154">
                  <c:v>58.551346032757174</c:v>
                </c:pt>
                <c:pt idx="155">
                  <c:v>56.164384909067905</c:v>
                </c:pt>
                <c:pt idx="156">
                  <c:v>46.025128769348207</c:v>
                </c:pt>
                <c:pt idx="157">
                  <c:v>50.800469201328035</c:v>
                </c:pt>
                <c:pt idx="158">
                  <c:v>47.231487440617222</c:v>
                </c:pt>
                <c:pt idx="159">
                  <c:v>33.793225463075558</c:v>
                </c:pt>
                <c:pt idx="160">
                  <c:v>26.291557253491586</c:v>
                </c:pt>
                <c:pt idx="161">
                  <c:v>53.205958630977314</c:v>
                </c:pt>
                <c:pt idx="162">
                  <c:v>47.823744441559022</c:v>
                </c:pt>
                <c:pt idx="163">
                  <c:v>39.586634162225408</c:v>
                </c:pt>
                <c:pt idx="164">
                  <c:v>30.656378065823571</c:v>
                </c:pt>
                <c:pt idx="165">
                  <c:v>70.441981615346577</c:v>
                </c:pt>
                <c:pt idx="166">
                  <c:v>81.609338867295563</c:v>
                </c:pt>
                <c:pt idx="167">
                  <c:v>81.560538997994428</c:v>
                </c:pt>
                <c:pt idx="168">
                  <c:v>90.195979557961806</c:v>
                </c:pt>
                <c:pt idx="169">
                  <c:v>95.101497339120698</c:v>
                </c:pt>
                <c:pt idx="170">
                  <c:v>71.762352755064896</c:v>
                </c:pt>
                <c:pt idx="171">
                  <c:v>68.625190919574877</c:v>
                </c:pt>
                <c:pt idx="172">
                  <c:v>60.475408544928001</c:v>
                </c:pt>
                <c:pt idx="173">
                  <c:v>71.616620856964005</c:v>
                </c:pt>
                <c:pt idx="174">
                  <c:v>75.497227339899098</c:v>
                </c:pt>
                <c:pt idx="175">
                  <c:v>85.297025940146852</c:v>
                </c:pt>
                <c:pt idx="176">
                  <c:v>63.396604110053339</c:v>
                </c:pt>
                <c:pt idx="177">
                  <c:v>63.880720723193605</c:v>
                </c:pt>
                <c:pt idx="178">
                  <c:v>67.002631026534914</c:v>
                </c:pt>
                <c:pt idx="179">
                  <c:v>64.199006677264492</c:v>
                </c:pt>
                <c:pt idx="180">
                  <c:v>58.961579914903972</c:v>
                </c:pt>
                <c:pt idx="181">
                  <c:v>56.044789264357206</c:v>
                </c:pt>
                <c:pt idx="182">
                  <c:v>61.253339064275551</c:v>
                </c:pt>
                <c:pt idx="183">
                  <c:v>60.344559093863069</c:v>
                </c:pt>
                <c:pt idx="184">
                  <c:v>50.855201418297376</c:v>
                </c:pt>
                <c:pt idx="185">
                  <c:v>53.93949056535773</c:v>
                </c:pt>
                <c:pt idx="186">
                  <c:v>55.46034796386013</c:v>
                </c:pt>
                <c:pt idx="187">
                  <c:v>52.318448485475685</c:v>
                </c:pt>
                <c:pt idx="188">
                  <c:v>52.323469565240309</c:v>
                </c:pt>
                <c:pt idx="189">
                  <c:v>54.538176708208205</c:v>
                </c:pt>
                <c:pt idx="190">
                  <c:v>54.674159882718605</c:v>
                </c:pt>
                <c:pt idx="191">
                  <c:v>52.151432255089226</c:v>
                </c:pt>
                <c:pt idx="192">
                  <c:v>45.821286012394708</c:v>
                </c:pt>
                <c:pt idx="193">
                  <c:v>47.20132044930147</c:v>
                </c:pt>
                <c:pt idx="194">
                  <c:v>40.891164705064483</c:v>
                </c:pt>
                <c:pt idx="195">
                  <c:v>42.842308114992854</c:v>
                </c:pt>
                <c:pt idx="196">
                  <c:v>36.301050123506045</c:v>
                </c:pt>
                <c:pt idx="197">
                  <c:v>38.011091292179586</c:v>
                </c:pt>
                <c:pt idx="198">
                  <c:v>29.501185363434487</c:v>
                </c:pt>
                <c:pt idx="199">
                  <c:v>33.840988096025463</c:v>
                </c:pt>
                <c:pt idx="200">
                  <c:v>27.530614208633949</c:v>
                </c:pt>
                <c:pt idx="201">
                  <c:v>32.170945082921094</c:v>
                </c:pt>
                <c:pt idx="202">
                  <c:v>31.16091888981515</c:v>
                </c:pt>
                <c:pt idx="203">
                  <c:v>31.138854178557565</c:v>
                </c:pt>
                <c:pt idx="204">
                  <c:v>28.321174728682873</c:v>
                </c:pt>
                <c:pt idx="205">
                  <c:v>27.760832272104182</c:v>
                </c:pt>
                <c:pt idx="206">
                  <c:v>30.050793521482724</c:v>
                </c:pt>
                <c:pt idx="207">
                  <c:v>25.456755538770992</c:v>
                </c:pt>
                <c:pt idx="208">
                  <c:v>25.456755538770992</c:v>
                </c:pt>
                <c:pt idx="209">
                  <c:v>25.721133191516234</c:v>
                </c:pt>
                <c:pt idx="210">
                  <c:v>26.609369698277494</c:v>
                </c:pt>
                <c:pt idx="211">
                  <c:v>22.764635546347503</c:v>
                </c:pt>
                <c:pt idx="212">
                  <c:v>26.813772272296195</c:v>
                </c:pt>
                <c:pt idx="213">
                  <c:v>30.050205167626835</c:v>
                </c:pt>
                <c:pt idx="214">
                  <c:v>20.880655001163362</c:v>
                </c:pt>
                <c:pt idx="215">
                  <c:v>20.880655001163362</c:v>
                </c:pt>
                <c:pt idx="216">
                  <c:v>19.317445482045095</c:v>
                </c:pt>
                <c:pt idx="217">
                  <c:v>17.01870086341015</c:v>
                </c:pt>
                <c:pt idx="218">
                  <c:v>16.4841216827548</c:v>
                </c:pt>
                <c:pt idx="219">
                  <c:v>17.24952934352439</c:v>
                </c:pt>
                <c:pt idx="220">
                  <c:v>17.984495257630545</c:v>
                </c:pt>
                <c:pt idx="221">
                  <c:v>17.984495257630545</c:v>
                </c:pt>
                <c:pt idx="222">
                  <c:v>20.019467791056709</c:v>
                </c:pt>
                <c:pt idx="223">
                  <c:v>23.956452439999278</c:v>
                </c:pt>
                <c:pt idx="224">
                  <c:v>23.956452439999278</c:v>
                </c:pt>
                <c:pt idx="225">
                  <c:v>23.836188187609871</c:v>
                </c:pt>
                <c:pt idx="226">
                  <c:v>23.785124439692968</c:v>
                </c:pt>
                <c:pt idx="227">
                  <c:v>35.446061536474943</c:v>
                </c:pt>
                <c:pt idx="228">
                  <c:v>25.047885779073056</c:v>
                </c:pt>
                <c:pt idx="229">
                  <c:v>41.149457053762632</c:v>
                </c:pt>
                <c:pt idx="230">
                  <c:v>37.994572547925422</c:v>
                </c:pt>
                <c:pt idx="231">
                  <c:v>44.899616332014929</c:v>
                </c:pt>
                <c:pt idx="232">
                  <c:v>47.981679651206989</c:v>
                </c:pt>
                <c:pt idx="233">
                  <c:v>44.293655192309302</c:v>
                </c:pt>
                <c:pt idx="234">
                  <c:v>49.222184135392439</c:v>
                </c:pt>
                <c:pt idx="235">
                  <c:v>37.345515018538869</c:v>
                </c:pt>
                <c:pt idx="236">
                  <c:v>43.934913450691994</c:v>
                </c:pt>
                <c:pt idx="237">
                  <c:v>40.734848049564192</c:v>
                </c:pt>
                <c:pt idx="238">
                  <c:v>33.26981783183016</c:v>
                </c:pt>
                <c:pt idx="239">
                  <c:v>33.26981783183016</c:v>
                </c:pt>
                <c:pt idx="240">
                  <c:v>25.155020923747699</c:v>
                </c:pt>
                <c:pt idx="241">
                  <c:v>25.965937540549476</c:v>
                </c:pt>
                <c:pt idx="242">
                  <c:v>26.196060274550632</c:v>
                </c:pt>
                <c:pt idx="243">
                  <c:v>27.05863206165559</c:v>
                </c:pt>
                <c:pt idx="244">
                  <c:v>29.736111052887964</c:v>
                </c:pt>
                <c:pt idx="245">
                  <c:v>29.997502316800631</c:v>
                </c:pt>
                <c:pt idx="246">
                  <c:v>32.233576623172119</c:v>
                </c:pt>
                <c:pt idx="247">
                  <c:v>39.480592660666296</c:v>
                </c:pt>
                <c:pt idx="248">
                  <c:v>49.624875383815862</c:v>
                </c:pt>
                <c:pt idx="249">
                  <c:v>46.503255543176344</c:v>
                </c:pt>
                <c:pt idx="250">
                  <c:v>48.092545518103357</c:v>
                </c:pt>
                <c:pt idx="251">
                  <c:v>42.721978746063002</c:v>
                </c:pt>
                <c:pt idx="252">
                  <c:v>31.316455987633621</c:v>
                </c:pt>
                <c:pt idx="253">
                  <c:v>31.315405811530198</c:v>
                </c:pt>
                <c:pt idx="254">
                  <c:v>40.80589970331615</c:v>
                </c:pt>
                <c:pt idx="255">
                  <c:v>40.729127336868537</c:v>
                </c:pt>
                <c:pt idx="256">
                  <c:v>40.139291469484768</c:v>
                </c:pt>
                <c:pt idx="257">
                  <c:v>42.696799468454238</c:v>
                </c:pt>
                <c:pt idx="258">
                  <c:v>35.254469705422579</c:v>
                </c:pt>
                <c:pt idx="259">
                  <c:v>37.372901722499975</c:v>
                </c:pt>
                <c:pt idx="260">
                  <c:v>25.458705671164012</c:v>
                </c:pt>
                <c:pt idx="261">
                  <c:v>25.458705671164012</c:v>
                </c:pt>
                <c:pt idx="262">
                  <c:v>32.318092412004724</c:v>
                </c:pt>
                <c:pt idx="263">
                  <c:v>32.319163071752378</c:v>
                </c:pt>
                <c:pt idx="264">
                  <c:v>29.135081603785888</c:v>
                </c:pt>
                <c:pt idx="265">
                  <c:v>29.135081603785888</c:v>
                </c:pt>
                <c:pt idx="266">
                  <c:v>26.94273968292325</c:v>
                </c:pt>
                <c:pt idx="267">
                  <c:v>23.385560499928072</c:v>
                </c:pt>
                <c:pt idx="268">
                  <c:v>90.270801240797979</c:v>
                </c:pt>
                <c:pt idx="269">
                  <c:v>68.625190919574877</c:v>
                </c:pt>
                <c:pt idx="270">
                  <c:v>63.711710855504244</c:v>
                </c:pt>
                <c:pt idx="271">
                  <c:v>56.714566046236556</c:v>
                </c:pt>
                <c:pt idx="272">
                  <c:v>58.578852260248766</c:v>
                </c:pt>
                <c:pt idx="273">
                  <c:v>60.830810440662276</c:v>
                </c:pt>
                <c:pt idx="274">
                  <c:v>60.69534589725685</c:v>
                </c:pt>
                <c:pt idx="275">
                  <c:v>58.123012510900281</c:v>
                </c:pt>
                <c:pt idx="276">
                  <c:v>55.45027019422762</c:v>
                </c:pt>
                <c:pt idx="277">
                  <c:v>58.404595407180153</c:v>
                </c:pt>
                <c:pt idx="278">
                  <c:v>54.698692589142091</c:v>
                </c:pt>
                <c:pt idx="279">
                  <c:v>50.344383023848906</c:v>
                </c:pt>
                <c:pt idx="280">
                  <c:v>55.519340782274917</c:v>
                </c:pt>
                <c:pt idx="281">
                  <c:v>53.343606480386313</c:v>
                </c:pt>
                <c:pt idx="282">
                  <c:v>60.200720781746718</c:v>
                </c:pt>
                <c:pt idx="283">
                  <c:v>48.841360234270198</c:v>
                </c:pt>
                <c:pt idx="284">
                  <c:v>35.741033653777365</c:v>
                </c:pt>
                <c:pt idx="285">
                  <c:v>36.961063770483364</c:v>
                </c:pt>
                <c:pt idx="286">
                  <c:v>39.221121454435995</c:v>
                </c:pt>
                <c:pt idx="287">
                  <c:v>29.500879540805908</c:v>
                </c:pt>
                <c:pt idx="288">
                  <c:v>27.530827330156548</c:v>
                </c:pt>
                <c:pt idx="289">
                  <c:v>34.571012466549</c:v>
                </c:pt>
                <c:pt idx="290">
                  <c:v>28.320844749483083</c:v>
                </c:pt>
                <c:pt idx="291">
                  <c:v>30.050895746312712</c:v>
                </c:pt>
                <c:pt idx="292">
                  <c:v>17.01870086341015</c:v>
                </c:pt>
                <c:pt idx="293">
                  <c:v>23.956452439999278</c:v>
                </c:pt>
                <c:pt idx="294">
                  <c:v>23.785124439692968</c:v>
                </c:pt>
                <c:pt idx="295">
                  <c:v>52.602636429069811</c:v>
                </c:pt>
                <c:pt idx="296">
                  <c:v>51.054697442800361</c:v>
                </c:pt>
                <c:pt idx="297">
                  <c:v>47.197028588747173</c:v>
                </c:pt>
                <c:pt idx="298">
                  <c:v>48.297884388442327</c:v>
                </c:pt>
                <c:pt idx="299">
                  <c:v>44.361221456237182</c:v>
                </c:pt>
                <c:pt idx="300">
                  <c:v>39.621114962038519</c:v>
                </c:pt>
                <c:pt idx="301">
                  <c:v>56.911536931237634</c:v>
                </c:pt>
                <c:pt idx="302">
                  <c:v>53.031446014175891</c:v>
                </c:pt>
                <c:pt idx="303">
                  <c:v>47.051307883119151</c:v>
                </c:pt>
                <c:pt idx="304">
                  <c:v>35.041022961288704</c:v>
                </c:pt>
                <c:pt idx="305">
                  <c:v>39.636479146580662</c:v>
                </c:pt>
                <c:pt idx="306">
                  <c:v>42.340636645719911</c:v>
                </c:pt>
                <c:pt idx="307">
                  <c:v>45.386961072608067</c:v>
                </c:pt>
                <c:pt idx="308">
                  <c:v>46.503093973156211</c:v>
                </c:pt>
                <c:pt idx="309">
                  <c:v>47.494353696426181</c:v>
                </c:pt>
                <c:pt idx="310">
                  <c:v>46.57245863212998</c:v>
                </c:pt>
                <c:pt idx="311">
                  <c:v>42.72230351391191</c:v>
                </c:pt>
                <c:pt idx="312">
                  <c:v>35.250443991455498</c:v>
                </c:pt>
                <c:pt idx="313">
                  <c:v>37.371018735231026</c:v>
                </c:pt>
                <c:pt idx="314">
                  <c:v>81.560538997994428</c:v>
                </c:pt>
                <c:pt idx="315">
                  <c:v>81.522970463457312</c:v>
                </c:pt>
                <c:pt idx="316">
                  <c:v>81.522970463457312</c:v>
                </c:pt>
                <c:pt idx="317">
                  <c:v>71.68540160556131</c:v>
                </c:pt>
                <c:pt idx="318">
                  <c:v>71.719051341991474</c:v>
                </c:pt>
                <c:pt idx="319">
                  <c:v>71.719051341991474</c:v>
                </c:pt>
                <c:pt idx="320">
                  <c:v>63.856116665041604</c:v>
                </c:pt>
                <c:pt idx="321">
                  <c:v>63.855586996066847</c:v>
                </c:pt>
                <c:pt idx="322">
                  <c:v>63.855586996066847</c:v>
                </c:pt>
                <c:pt idx="323">
                  <c:v>67.023488141043572</c:v>
                </c:pt>
                <c:pt idx="324">
                  <c:v>66.973174101859286</c:v>
                </c:pt>
                <c:pt idx="325">
                  <c:v>66.973174101859286</c:v>
                </c:pt>
                <c:pt idx="326">
                  <c:v>55.18033440000309</c:v>
                </c:pt>
                <c:pt idx="327">
                  <c:v>55.18033440000309</c:v>
                </c:pt>
                <c:pt idx="328">
                  <c:v>61.251609266363843</c:v>
                </c:pt>
                <c:pt idx="329">
                  <c:v>61.251609266363843</c:v>
                </c:pt>
                <c:pt idx="330">
                  <c:v>61.251609266363843</c:v>
                </c:pt>
                <c:pt idx="331">
                  <c:v>59.461605010955168</c:v>
                </c:pt>
                <c:pt idx="332">
                  <c:v>59.461605010955168</c:v>
                </c:pt>
                <c:pt idx="333">
                  <c:v>59.461605010955168</c:v>
                </c:pt>
                <c:pt idx="334">
                  <c:v>58.164697401951031</c:v>
                </c:pt>
                <c:pt idx="335">
                  <c:v>58.164697401951031</c:v>
                </c:pt>
                <c:pt idx="336">
                  <c:v>53.201410359880455</c:v>
                </c:pt>
                <c:pt idx="337">
                  <c:v>53.201410359880455</c:v>
                </c:pt>
                <c:pt idx="338">
                  <c:v>53.201410359880455</c:v>
                </c:pt>
                <c:pt idx="339">
                  <c:v>55.461845677303771</c:v>
                </c:pt>
                <c:pt idx="340">
                  <c:v>55.507305150265296</c:v>
                </c:pt>
                <c:pt idx="341">
                  <c:v>54.041935462135221</c:v>
                </c:pt>
                <c:pt idx="342">
                  <c:v>54.071746235485833</c:v>
                </c:pt>
                <c:pt idx="343">
                  <c:v>31.160934793979141</c:v>
                </c:pt>
                <c:pt idx="344">
                  <c:v>31.160934793979141</c:v>
                </c:pt>
                <c:pt idx="345">
                  <c:v>31.160934793979141</c:v>
                </c:pt>
                <c:pt idx="346">
                  <c:v>19.325232389505132</c:v>
                </c:pt>
                <c:pt idx="347">
                  <c:v>19.325232389505132</c:v>
                </c:pt>
                <c:pt idx="348">
                  <c:v>19.325232389505132</c:v>
                </c:pt>
                <c:pt idx="349">
                  <c:v>24.058615964091189</c:v>
                </c:pt>
                <c:pt idx="350">
                  <c:v>24.040166129574931</c:v>
                </c:pt>
                <c:pt idx="351">
                  <c:v>24.040166129574931</c:v>
                </c:pt>
                <c:pt idx="352">
                  <c:v>37.285595020873046</c:v>
                </c:pt>
                <c:pt idx="353">
                  <c:v>37.289234300538908</c:v>
                </c:pt>
                <c:pt idx="354">
                  <c:v>40.731136811483211</c:v>
                </c:pt>
                <c:pt idx="355">
                  <c:v>40.731136811483211</c:v>
                </c:pt>
                <c:pt idx="356">
                  <c:v>40.731136811483211</c:v>
                </c:pt>
                <c:pt idx="357">
                  <c:v>40.727617763026629</c:v>
                </c:pt>
                <c:pt idx="358">
                  <c:v>45.450272368680935</c:v>
                </c:pt>
                <c:pt idx="359">
                  <c:v>45.466613919817135</c:v>
                </c:pt>
                <c:pt idx="360">
                  <c:v>45.466613919817135</c:v>
                </c:pt>
                <c:pt idx="361">
                  <c:v>49.242016036366849</c:v>
                </c:pt>
                <c:pt idx="362">
                  <c:v>49.290626347308994</c:v>
                </c:pt>
                <c:pt idx="363">
                  <c:v>49.290626347308994</c:v>
                </c:pt>
                <c:pt idx="364">
                  <c:v>49.503515152424733</c:v>
                </c:pt>
                <c:pt idx="365">
                  <c:v>49.503515152424733</c:v>
                </c:pt>
                <c:pt idx="366">
                  <c:v>49.503515152424733</c:v>
                </c:pt>
                <c:pt idx="367">
                  <c:v>49.462432957898137</c:v>
                </c:pt>
                <c:pt idx="368">
                  <c:v>47.167580956518833</c:v>
                </c:pt>
                <c:pt idx="369">
                  <c:v>47.167580956518833</c:v>
                </c:pt>
                <c:pt idx="370">
                  <c:v>47.167580956518833</c:v>
                </c:pt>
                <c:pt idx="371">
                  <c:v>42.706886338489689</c:v>
                </c:pt>
                <c:pt idx="372">
                  <c:v>42.725769827675379</c:v>
                </c:pt>
                <c:pt idx="373">
                  <c:v>42.725769827675379</c:v>
                </c:pt>
                <c:pt idx="374">
                  <c:v>40.104972806210633</c:v>
                </c:pt>
                <c:pt idx="375">
                  <c:v>40.104972806210633</c:v>
                </c:pt>
                <c:pt idx="376">
                  <c:v>40.104972806210633</c:v>
                </c:pt>
                <c:pt idx="377">
                  <c:v>40.069494253248585</c:v>
                </c:pt>
                <c:pt idx="378">
                  <c:v>40.069494253248585</c:v>
                </c:pt>
                <c:pt idx="379">
                  <c:v>37.221754899789175</c:v>
                </c:pt>
                <c:pt idx="380">
                  <c:v>37.221754899789175</c:v>
                </c:pt>
                <c:pt idx="381">
                  <c:v>37.221754899789175</c:v>
                </c:pt>
                <c:pt idx="382">
                  <c:v>37.169712862015722</c:v>
                </c:pt>
                <c:pt idx="383">
                  <c:v>53.938907784907471</c:v>
                </c:pt>
                <c:pt idx="384">
                  <c:v>53.95103441327926</c:v>
                </c:pt>
                <c:pt idx="385">
                  <c:v>51.158119271489745</c:v>
                </c:pt>
                <c:pt idx="386">
                  <c:v>51.175829192488109</c:v>
                </c:pt>
                <c:pt idx="387">
                  <c:v>20.881688202861312</c:v>
                </c:pt>
                <c:pt idx="388">
                  <c:v>20.881688202861312</c:v>
                </c:pt>
                <c:pt idx="389">
                  <c:v>40.501484991865823</c:v>
                </c:pt>
                <c:pt idx="390">
                  <c:v>40.501484991865823</c:v>
                </c:pt>
                <c:pt idx="391">
                  <c:v>49.326479710568478</c:v>
                </c:pt>
                <c:pt idx="392">
                  <c:v>49.326479710568478</c:v>
                </c:pt>
                <c:pt idx="393">
                  <c:v>49.326479710568478</c:v>
                </c:pt>
                <c:pt idx="394">
                  <c:v>40.921698469848707</c:v>
                </c:pt>
                <c:pt idx="395">
                  <c:v>49.465213308341177</c:v>
                </c:pt>
                <c:pt idx="396">
                  <c:v>49.465213308341177</c:v>
                </c:pt>
                <c:pt idx="397">
                  <c:v>29.829940946822216</c:v>
                </c:pt>
                <c:pt idx="398">
                  <c:v>29.829940946822216</c:v>
                </c:pt>
                <c:pt idx="399">
                  <c:v>70.315792520309117</c:v>
                </c:pt>
                <c:pt idx="400">
                  <c:v>81.640857248270123</c:v>
                </c:pt>
                <c:pt idx="401">
                  <c:v>82.565462882536195</c:v>
                </c:pt>
                <c:pt idx="402">
                  <c:v>91.375897158313123</c:v>
                </c:pt>
                <c:pt idx="403">
                  <c:v>69.889826787568836</c:v>
                </c:pt>
                <c:pt idx="404">
                  <c:v>63.337387928998922</c:v>
                </c:pt>
                <c:pt idx="405">
                  <c:v>65.438218136145068</c:v>
                </c:pt>
                <c:pt idx="406">
                  <c:v>67.902229293858156</c:v>
                </c:pt>
                <c:pt idx="407">
                  <c:v>67.000675993586412</c:v>
                </c:pt>
                <c:pt idx="408">
                  <c:v>59.189996643226095</c:v>
                </c:pt>
                <c:pt idx="409">
                  <c:v>64.12939048830043</c:v>
                </c:pt>
                <c:pt idx="410">
                  <c:v>57.28726091863431</c:v>
                </c:pt>
                <c:pt idx="411">
                  <c:v>59.517832583491909</c:v>
                </c:pt>
                <c:pt idx="412">
                  <c:v>55.998652828190529</c:v>
                </c:pt>
                <c:pt idx="413">
                  <c:v>58.818519967751499</c:v>
                </c:pt>
                <c:pt idx="414">
                  <c:v>59.209317328126659</c:v>
                </c:pt>
                <c:pt idx="415">
                  <c:v>44.46374608901629</c:v>
                </c:pt>
                <c:pt idx="416">
                  <c:v>55.077322250992687</c:v>
                </c:pt>
                <c:pt idx="417">
                  <c:v>37.647562084298144</c:v>
                </c:pt>
                <c:pt idx="418">
                  <c:v>46.184875069642452</c:v>
                </c:pt>
                <c:pt idx="419">
                  <c:v>32.265368812074747</c:v>
                </c:pt>
                <c:pt idx="420">
                  <c:v>28.422156544907949</c:v>
                </c:pt>
                <c:pt idx="421">
                  <c:v>25.083706726629419</c:v>
                </c:pt>
                <c:pt idx="422">
                  <c:v>52.208238044700572</c:v>
                </c:pt>
                <c:pt idx="423">
                  <c:v>53.742074998735752</c:v>
                </c:pt>
                <c:pt idx="424">
                  <c:v>47.144277994156816</c:v>
                </c:pt>
                <c:pt idx="425">
                  <c:v>48.335077839283954</c:v>
                </c:pt>
                <c:pt idx="426">
                  <c:v>35.873811062650802</c:v>
                </c:pt>
                <c:pt idx="427">
                  <c:v>41.876059834152159</c:v>
                </c:pt>
                <c:pt idx="428">
                  <c:v>41.02168208349989</c:v>
                </c:pt>
                <c:pt idx="429">
                  <c:v>38.036745540658984</c:v>
                </c:pt>
                <c:pt idx="430">
                  <c:v>56.740503593547139</c:v>
                </c:pt>
                <c:pt idx="431">
                  <c:v>58.538981429018975</c:v>
                </c:pt>
                <c:pt idx="432">
                  <c:v>61.221002313850434</c:v>
                </c:pt>
                <c:pt idx="433">
                  <c:v>57.099829769268787</c:v>
                </c:pt>
                <c:pt idx="434">
                  <c:v>60.705685507891587</c:v>
                </c:pt>
                <c:pt idx="435">
                  <c:v>59.418467875768052</c:v>
                </c:pt>
                <c:pt idx="436">
                  <c:v>60.696348523504547</c:v>
                </c:pt>
                <c:pt idx="437">
                  <c:v>58.120514377317299</c:v>
                </c:pt>
                <c:pt idx="438">
                  <c:v>60.246100975000324</c:v>
                </c:pt>
                <c:pt idx="439">
                  <c:v>55.345245267466687</c:v>
                </c:pt>
                <c:pt idx="440">
                  <c:v>53.968328617372435</c:v>
                </c:pt>
                <c:pt idx="441">
                  <c:v>50.836728927070915</c:v>
                </c:pt>
                <c:pt idx="442">
                  <c:v>49.816129060918882</c:v>
                </c:pt>
                <c:pt idx="443">
                  <c:v>45.519571069221136</c:v>
                </c:pt>
                <c:pt idx="444">
                  <c:v>46.972369521147499</c:v>
                </c:pt>
                <c:pt idx="445">
                  <c:v>48.78207825406664</c:v>
                </c:pt>
                <c:pt idx="446">
                  <c:v>40.982674407250265</c:v>
                </c:pt>
                <c:pt idx="447">
                  <c:v>42.579392773818945</c:v>
                </c:pt>
                <c:pt idx="448">
                  <c:v>41.515669686110236</c:v>
                </c:pt>
                <c:pt idx="449">
                  <c:v>35.728774295256109</c:v>
                </c:pt>
                <c:pt idx="450">
                  <c:v>36.399379002894051</c:v>
                </c:pt>
                <c:pt idx="451">
                  <c:v>38.035870092915843</c:v>
                </c:pt>
                <c:pt idx="452">
                  <c:v>39.219409995715999</c:v>
                </c:pt>
                <c:pt idx="453">
                  <c:v>29.575993391881706</c:v>
                </c:pt>
                <c:pt idx="454">
                  <c:v>33.72664828845565</c:v>
                </c:pt>
                <c:pt idx="455">
                  <c:v>27.575502358605714</c:v>
                </c:pt>
                <c:pt idx="456">
                  <c:v>32.19142632060192</c:v>
                </c:pt>
                <c:pt idx="457">
                  <c:v>25.453394630759519</c:v>
                </c:pt>
                <c:pt idx="458">
                  <c:v>25.453394630759519</c:v>
                </c:pt>
                <c:pt idx="459">
                  <c:v>34.551619349486145</c:v>
                </c:pt>
                <c:pt idx="460">
                  <c:v>31.166794581004446</c:v>
                </c:pt>
                <c:pt idx="461">
                  <c:v>28.381811672881415</c:v>
                </c:pt>
                <c:pt idx="462">
                  <c:v>25.641618609612681</c:v>
                </c:pt>
                <c:pt idx="463">
                  <c:v>27.744968262419242</c:v>
                </c:pt>
                <c:pt idx="464">
                  <c:v>26.588849872538436</c:v>
                </c:pt>
                <c:pt idx="465">
                  <c:v>30.134869832999229</c:v>
                </c:pt>
                <c:pt idx="466">
                  <c:v>23.801033140476534</c:v>
                </c:pt>
                <c:pt idx="467">
                  <c:v>23.801033140476534</c:v>
                </c:pt>
                <c:pt idx="468">
                  <c:v>26.270675662579645</c:v>
                </c:pt>
                <c:pt idx="469">
                  <c:v>22.744356114522045</c:v>
                </c:pt>
                <c:pt idx="470">
                  <c:v>22.744356114522045</c:v>
                </c:pt>
                <c:pt idx="471">
                  <c:v>23.08303266782071</c:v>
                </c:pt>
                <c:pt idx="472">
                  <c:v>27.360194375126202</c:v>
                </c:pt>
                <c:pt idx="473">
                  <c:v>24.724410386149223</c:v>
                </c:pt>
                <c:pt idx="474">
                  <c:v>26.047510530857267</c:v>
                </c:pt>
                <c:pt idx="475">
                  <c:v>30.666394445665269</c:v>
                </c:pt>
                <c:pt idx="476">
                  <c:v>22.611476526738937</c:v>
                </c:pt>
                <c:pt idx="477">
                  <c:v>58.571681079906533</c:v>
                </c:pt>
                <c:pt idx="478">
                  <c:v>58.621758720256345</c:v>
                </c:pt>
                <c:pt idx="479">
                  <c:v>53.955834295599253</c:v>
                </c:pt>
                <c:pt idx="480">
                  <c:v>50.26682571858737</c:v>
                </c:pt>
                <c:pt idx="481">
                  <c:v>55.34745476860023</c:v>
                </c:pt>
                <c:pt idx="482">
                  <c:v>53.205177692375884</c:v>
                </c:pt>
                <c:pt idx="483">
                  <c:v>55.520919032798474</c:v>
                </c:pt>
                <c:pt idx="484">
                  <c:v>54.611410170675754</c:v>
                </c:pt>
                <c:pt idx="485">
                  <c:v>60.192618033668268</c:v>
                </c:pt>
                <c:pt idx="486">
                  <c:v>51.505778756629056</c:v>
                </c:pt>
                <c:pt idx="487">
                  <c:v>52.765352675159413</c:v>
                </c:pt>
                <c:pt idx="488">
                  <c:v>52.334821603165963</c:v>
                </c:pt>
                <c:pt idx="489">
                  <c:v>44.807866479233631</c:v>
                </c:pt>
                <c:pt idx="490">
                  <c:v>47.978299938791032</c:v>
                </c:pt>
                <c:pt idx="491">
                  <c:v>35.25356557002182</c:v>
                </c:pt>
                <c:pt idx="492">
                  <c:v>48.107158922290665</c:v>
                </c:pt>
                <c:pt idx="493">
                  <c:v>43.616568346776376</c:v>
                </c:pt>
                <c:pt idx="494">
                  <c:v>47.865927218539071</c:v>
                </c:pt>
                <c:pt idx="495">
                  <c:v>40.120065661824746</c:v>
                </c:pt>
                <c:pt idx="496">
                  <c:v>49.256949064844555</c:v>
                </c:pt>
                <c:pt idx="497">
                  <c:v>34.926163329308189</c:v>
                </c:pt>
                <c:pt idx="498">
                  <c:v>34.926163329308189</c:v>
                </c:pt>
                <c:pt idx="499">
                  <c:v>28.694938329197267</c:v>
                </c:pt>
                <c:pt idx="500">
                  <c:v>28.694938329197267</c:v>
                </c:pt>
                <c:pt idx="501">
                  <c:v>44.173303710878457</c:v>
                </c:pt>
                <c:pt idx="502">
                  <c:v>42.085421397644417</c:v>
                </c:pt>
                <c:pt idx="503">
                  <c:v>40.978074062589265</c:v>
                </c:pt>
                <c:pt idx="504">
                  <c:v>42.735748989220426</c:v>
                </c:pt>
                <c:pt idx="505">
                  <c:v>42.735748989220426</c:v>
                </c:pt>
                <c:pt idx="506">
                  <c:v>40.6938502543534</c:v>
                </c:pt>
                <c:pt idx="507">
                  <c:v>46.596334577238729</c:v>
                </c:pt>
                <c:pt idx="508">
                  <c:v>37.186632432708464</c:v>
                </c:pt>
                <c:pt idx="509">
                  <c:v>39.608206890811957</c:v>
                </c:pt>
                <c:pt idx="510">
                  <c:v>47.354063253823547</c:v>
                </c:pt>
                <c:pt idx="511">
                  <c:v>46.59683658770826</c:v>
                </c:pt>
                <c:pt idx="512">
                  <c:v>46.59683658770826</c:v>
                </c:pt>
                <c:pt idx="513">
                  <c:v>49.621376996888237</c:v>
                </c:pt>
                <c:pt idx="514">
                  <c:v>45.313577088100558</c:v>
                </c:pt>
                <c:pt idx="515">
                  <c:v>32.354081698087512</c:v>
                </c:pt>
                <c:pt idx="516">
                  <c:v>32.354081698087512</c:v>
                </c:pt>
                <c:pt idx="517">
                  <c:v>46.780080027261732</c:v>
                </c:pt>
                <c:pt idx="518">
                  <c:v>33.346781143418809</c:v>
                </c:pt>
                <c:pt idx="519">
                  <c:v>35.773373921845568</c:v>
                </c:pt>
                <c:pt idx="520">
                  <c:v>31.27874430050019</c:v>
                </c:pt>
                <c:pt idx="521">
                  <c:v>31.27874430050019</c:v>
                </c:pt>
                <c:pt idx="522">
                  <c:v>29.368612026791361</c:v>
                </c:pt>
                <c:pt idx="523">
                  <c:v>29.368612026791361</c:v>
                </c:pt>
                <c:pt idx="524">
                  <c:v>29.368612026791361</c:v>
                </c:pt>
                <c:pt idx="525">
                  <c:v>29.126359403299695</c:v>
                </c:pt>
                <c:pt idx="526">
                  <c:v>29.126359403299695</c:v>
                </c:pt>
                <c:pt idx="527">
                  <c:v>25.459155982557512</c:v>
                </c:pt>
                <c:pt idx="528">
                  <c:v>25.459155982557512</c:v>
                </c:pt>
                <c:pt idx="529">
                  <c:v>32.338350815888973</c:v>
                </c:pt>
                <c:pt idx="530">
                  <c:v>43.791657307756893</c:v>
                </c:pt>
                <c:pt idx="531">
                  <c:v>27.032834924105298</c:v>
                </c:pt>
                <c:pt idx="532">
                  <c:v>25.267019464954984</c:v>
                </c:pt>
                <c:pt idx="533">
                  <c:v>25.267019464954984</c:v>
                </c:pt>
                <c:pt idx="534">
                  <c:v>82.50652046428219</c:v>
                </c:pt>
                <c:pt idx="535">
                  <c:v>91.308793619053247</c:v>
                </c:pt>
                <c:pt idx="536">
                  <c:v>67.863411069862707</c:v>
                </c:pt>
                <c:pt idx="537">
                  <c:v>63.734821929152595</c:v>
                </c:pt>
                <c:pt idx="538">
                  <c:v>66.922926597328569</c:v>
                </c:pt>
                <c:pt idx="539">
                  <c:v>58.297036851633507</c:v>
                </c:pt>
                <c:pt idx="540">
                  <c:v>59.505306764939753</c:v>
                </c:pt>
                <c:pt idx="541">
                  <c:v>61.126671095566067</c:v>
                </c:pt>
                <c:pt idx="542">
                  <c:v>25.536058406797256</c:v>
                </c:pt>
                <c:pt idx="543">
                  <c:v>54.893860253357524</c:v>
                </c:pt>
                <c:pt idx="544">
                  <c:v>53.296581178963429</c:v>
                </c:pt>
                <c:pt idx="545">
                  <c:v>49.245549043877375</c:v>
                </c:pt>
                <c:pt idx="546">
                  <c:v>49.437913596121824</c:v>
                </c:pt>
                <c:pt idx="547">
                  <c:v>40.738409112668741</c:v>
                </c:pt>
                <c:pt idx="548">
                  <c:v>47.254455711583134</c:v>
                </c:pt>
                <c:pt idx="549">
                  <c:v>44.988885272785566</c:v>
                </c:pt>
                <c:pt idx="550">
                  <c:v>40.125096195223939</c:v>
                </c:pt>
                <c:pt idx="551">
                  <c:v>42.506760925472221</c:v>
                </c:pt>
                <c:pt idx="552">
                  <c:v>46.75062893951646</c:v>
                </c:pt>
                <c:pt idx="553">
                  <c:v>45.252000442272987</c:v>
                </c:pt>
                <c:pt idx="554">
                  <c:v>63.584530422487148</c:v>
                </c:pt>
                <c:pt idx="555">
                  <c:v>36.366941342628344</c:v>
                </c:pt>
                <c:pt idx="556">
                  <c:v>36.559225614342147</c:v>
                </c:pt>
                <c:pt idx="557">
                  <c:v>36.366941342628344</c:v>
                </c:pt>
                <c:pt idx="558">
                  <c:v>36.366941342628344</c:v>
                </c:pt>
                <c:pt idx="559">
                  <c:v>38.030388056892896</c:v>
                </c:pt>
                <c:pt idx="560">
                  <c:v>70.470803997578813</c:v>
                </c:pt>
                <c:pt idx="561">
                  <c:v>56.409834693895995</c:v>
                </c:pt>
                <c:pt idx="562">
                  <c:v>56.760232246242602</c:v>
                </c:pt>
                <c:pt idx="563">
                  <c:v>54.762380046966264</c:v>
                </c:pt>
                <c:pt idx="564">
                  <c:v>29.060154310379136</c:v>
                </c:pt>
                <c:pt idx="565">
                  <c:v>40.851805941338256</c:v>
                </c:pt>
                <c:pt idx="566">
                  <c:v>39.891581463611772</c:v>
                </c:pt>
                <c:pt idx="567">
                  <c:v>40.890336999060835</c:v>
                </c:pt>
                <c:pt idx="568">
                  <c:v>45.750612745729974</c:v>
                </c:pt>
                <c:pt idx="569">
                  <c:v>45.900726703569227</c:v>
                </c:pt>
                <c:pt idx="570">
                  <c:v>47.112690204875285</c:v>
                </c:pt>
                <c:pt idx="571">
                  <c:v>43.721265940708456</c:v>
                </c:pt>
                <c:pt idx="572">
                  <c:v>44.959966352956094</c:v>
                </c:pt>
                <c:pt idx="573">
                  <c:v>46.597964499474706</c:v>
                </c:pt>
                <c:pt idx="574">
                  <c:v>57.549993602801422</c:v>
                </c:pt>
                <c:pt idx="575">
                  <c:v>59.709293800229588</c:v>
                </c:pt>
                <c:pt idx="576">
                  <c:v>55.976465596962306</c:v>
                </c:pt>
                <c:pt idx="577">
                  <c:v>55.976465596962306</c:v>
                </c:pt>
                <c:pt idx="578">
                  <c:v>53.86654174462857</c:v>
                </c:pt>
                <c:pt idx="579">
                  <c:v>53.631834527377379</c:v>
                </c:pt>
                <c:pt idx="580">
                  <c:v>36.001081105978123</c:v>
                </c:pt>
                <c:pt idx="581">
                  <c:v>39.384913357426598</c:v>
                </c:pt>
                <c:pt idx="582">
                  <c:v>66.955246777780047</c:v>
                </c:pt>
                <c:pt idx="583">
                  <c:v>64.168085583372218</c:v>
                </c:pt>
                <c:pt idx="584">
                  <c:v>64.168085583372218</c:v>
                </c:pt>
                <c:pt idx="585">
                  <c:v>64.168085583372218</c:v>
                </c:pt>
                <c:pt idx="586">
                  <c:v>36.431387521939577</c:v>
                </c:pt>
                <c:pt idx="587">
                  <c:v>70.406586753075956</c:v>
                </c:pt>
                <c:pt idx="588">
                  <c:v>84.468983228617773</c:v>
                </c:pt>
                <c:pt idx="589">
                  <c:v>90.901108497412665</c:v>
                </c:pt>
                <c:pt idx="590">
                  <c:v>59.483374514588881</c:v>
                </c:pt>
                <c:pt idx="591">
                  <c:v>51.541106731519498</c:v>
                </c:pt>
                <c:pt idx="592">
                  <c:v>42.410688382096069</c:v>
                </c:pt>
                <c:pt idx="593">
                  <c:v>54.008675816428152</c:v>
                </c:pt>
                <c:pt idx="594">
                  <c:v>44.494203257089296</c:v>
                </c:pt>
                <c:pt idx="595">
                  <c:v>39.700547346746163</c:v>
                </c:pt>
                <c:pt idx="596">
                  <c:v>34.700579818153457</c:v>
                </c:pt>
                <c:pt idx="597">
                  <c:v>44.850945605887951</c:v>
                </c:pt>
                <c:pt idx="598">
                  <c:v>47.490437522069904</c:v>
                </c:pt>
                <c:pt idx="599">
                  <c:v>44.052476346494679</c:v>
                </c:pt>
                <c:pt idx="600">
                  <c:v>49.620819453834805</c:v>
                </c:pt>
                <c:pt idx="601">
                  <c:v>34.820388668661813</c:v>
                </c:pt>
                <c:pt idx="602">
                  <c:v>50.622841555459374</c:v>
                </c:pt>
                <c:pt idx="603">
                  <c:v>55.200222620964126</c:v>
                </c:pt>
                <c:pt idx="604">
                  <c:v>55.410868613386576</c:v>
                </c:pt>
                <c:pt idx="605">
                  <c:v>60.102592784458935</c:v>
                </c:pt>
                <c:pt idx="606">
                  <c:v>55.892417514825624</c:v>
                </c:pt>
                <c:pt idx="607">
                  <c:v>50.771511033291127</c:v>
                </c:pt>
                <c:pt idx="608">
                  <c:v>52.300743546179135</c:v>
                </c:pt>
                <c:pt idx="609">
                  <c:v>54.499879384560472</c:v>
                </c:pt>
                <c:pt idx="610">
                  <c:v>58.518464809986838</c:v>
                </c:pt>
                <c:pt idx="611">
                  <c:v>53.832269906908422</c:v>
                </c:pt>
                <c:pt idx="612">
                  <c:v>54.709055623439276</c:v>
                </c:pt>
                <c:pt idx="613">
                  <c:v>40.760525785670644</c:v>
                </c:pt>
                <c:pt idx="614">
                  <c:v>37.296107882728563</c:v>
                </c:pt>
                <c:pt idx="615">
                  <c:v>43.129565888270925</c:v>
                </c:pt>
                <c:pt idx="616">
                  <c:v>40.610791370537719</c:v>
                </c:pt>
                <c:pt idx="617">
                  <c:v>46.501195354489766</c:v>
                </c:pt>
                <c:pt idx="618">
                  <c:v>34.974305243357527</c:v>
                </c:pt>
                <c:pt idx="619">
                  <c:v>31.320452509778534</c:v>
                </c:pt>
                <c:pt idx="620">
                  <c:v>30.56036751947898</c:v>
                </c:pt>
                <c:pt idx="621">
                  <c:v>32.170465730391278</c:v>
                </c:pt>
                <c:pt idx="622">
                  <c:v>76.976421734403104</c:v>
                </c:pt>
                <c:pt idx="623">
                  <c:v>81.611270425778997</c:v>
                </c:pt>
                <c:pt idx="624">
                  <c:v>63.456996249598362</c:v>
                </c:pt>
                <c:pt idx="625">
                  <c:v>63.39044719229247</c:v>
                </c:pt>
                <c:pt idx="626">
                  <c:v>29.620517933818547</c:v>
                </c:pt>
                <c:pt idx="627">
                  <c:v>28.533009449525029</c:v>
                </c:pt>
                <c:pt idx="628">
                  <c:v>25.680326542354315</c:v>
                </c:pt>
                <c:pt idx="629">
                  <c:v>26.530349094770312</c:v>
                </c:pt>
                <c:pt idx="630">
                  <c:v>30.201306296083281</c:v>
                </c:pt>
                <c:pt idx="631">
                  <c:v>33.820632911722385</c:v>
                </c:pt>
                <c:pt idx="632">
                  <c:v>27.377373217756503</c:v>
                </c:pt>
                <c:pt idx="633">
                  <c:v>32.251608753199363</c:v>
                </c:pt>
                <c:pt idx="634">
                  <c:v>23.78021822212202</c:v>
                </c:pt>
                <c:pt idx="635">
                  <c:v>23.78021822212202</c:v>
                </c:pt>
                <c:pt idx="636">
                  <c:v>23.78021822212202</c:v>
                </c:pt>
                <c:pt idx="637">
                  <c:v>25.360054023323116</c:v>
                </c:pt>
                <c:pt idx="638">
                  <c:v>20.880020670521901</c:v>
                </c:pt>
                <c:pt idx="639">
                  <c:v>25.360054023323116</c:v>
                </c:pt>
                <c:pt idx="640">
                  <c:v>25.360054023323116</c:v>
                </c:pt>
                <c:pt idx="641">
                  <c:v>31.308326532777556</c:v>
                </c:pt>
                <c:pt idx="642">
                  <c:v>60.799585254363713</c:v>
                </c:pt>
                <c:pt idx="643">
                  <c:v>60.597533448271172</c:v>
                </c:pt>
                <c:pt idx="644">
                  <c:v>60.324359893938009</c:v>
                </c:pt>
                <c:pt idx="645">
                  <c:v>56.650781258938331</c:v>
                </c:pt>
                <c:pt idx="646">
                  <c:v>56.650781258938331</c:v>
                </c:pt>
                <c:pt idx="647">
                  <c:v>58.635024442530856</c:v>
                </c:pt>
                <c:pt idx="648">
                  <c:v>61.267524274526707</c:v>
                </c:pt>
                <c:pt idx="649">
                  <c:v>61.267524274526707</c:v>
                </c:pt>
                <c:pt idx="650">
                  <c:v>53.274324916746821</c:v>
                </c:pt>
                <c:pt idx="651">
                  <c:v>50.883532267493415</c:v>
                </c:pt>
                <c:pt idx="652">
                  <c:v>49.829763072219585</c:v>
                </c:pt>
                <c:pt idx="653">
                  <c:v>61.040864207302469</c:v>
                </c:pt>
                <c:pt idx="654">
                  <c:v>45.661308215488731</c:v>
                </c:pt>
                <c:pt idx="655">
                  <c:v>53.200694795411451</c:v>
                </c:pt>
                <c:pt idx="656">
                  <c:v>40.900433176512394</c:v>
                </c:pt>
                <c:pt idx="657">
                  <c:v>21.000280684909811</c:v>
                </c:pt>
                <c:pt idx="658">
                  <c:v>29.230358725358702</c:v>
                </c:pt>
                <c:pt idx="659">
                  <c:v>59.600767298893302</c:v>
                </c:pt>
                <c:pt idx="660">
                  <c:v>57.900664670843788</c:v>
                </c:pt>
                <c:pt idx="661">
                  <c:v>29.513190523285459</c:v>
                </c:pt>
                <c:pt idx="662">
                  <c:v>28.410564857953158</c:v>
                </c:pt>
                <c:pt idx="663">
                  <c:v>25.75696484139409</c:v>
                </c:pt>
                <c:pt idx="664">
                  <c:v>33.848661335831579</c:v>
                </c:pt>
                <c:pt idx="665">
                  <c:v>28.197214417569398</c:v>
                </c:pt>
                <c:pt idx="666">
                  <c:v>27.579849757466359</c:v>
                </c:pt>
                <c:pt idx="667">
                  <c:v>32.210250148558053</c:v>
                </c:pt>
                <c:pt idx="668">
                  <c:v>26.077143168940751</c:v>
                </c:pt>
                <c:pt idx="669">
                  <c:v>23.825885858538548</c:v>
                </c:pt>
                <c:pt idx="670">
                  <c:v>23.825885858538548</c:v>
                </c:pt>
                <c:pt idx="671">
                  <c:v>25.43233941261164</c:v>
                </c:pt>
                <c:pt idx="672">
                  <c:v>25.271577719396987</c:v>
                </c:pt>
                <c:pt idx="673">
                  <c:v>25.43233941261164</c:v>
                </c:pt>
                <c:pt idx="674">
                  <c:v>50.200503504428781</c:v>
                </c:pt>
                <c:pt idx="675">
                  <c:v>64.168085583372218</c:v>
                </c:pt>
                <c:pt idx="676">
                  <c:v>21.439625191789059</c:v>
                </c:pt>
                <c:pt idx="677">
                  <c:v>29.138851914893376</c:v>
                </c:pt>
                <c:pt idx="678">
                  <c:v>65.769433998975458</c:v>
                </c:pt>
                <c:pt idx="679">
                  <c:v>46.636975538389684</c:v>
                </c:pt>
                <c:pt idx="680">
                  <c:v>48.44652953724858</c:v>
                </c:pt>
                <c:pt idx="681">
                  <c:v>44.494203257089296</c:v>
                </c:pt>
                <c:pt idx="682">
                  <c:v>63.481193841210477</c:v>
                </c:pt>
                <c:pt idx="683">
                  <c:v>56.983049889774023</c:v>
                </c:pt>
                <c:pt idx="684">
                  <c:v>58.019922363920053</c:v>
                </c:pt>
                <c:pt idx="685">
                  <c:v>39.627815506475059</c:v>
                </c:pt>
                <c:pt idx="686">
                  <c:v>33.122151095712567</c:v>
                </c:pt>
                <c:pt idx="687">
                  <c:v>36.289985383491029</c:v>
                </c:pt>
                <c:pt idx="688">
                  <c:v>30.231990188544657</c:v>
                </c:pt>
                <c:pt idx="689">
                  <c:v>47.961702182977454</c:v>
                </c:pt>
                <c:pt idx="690">
                  <c:v>52.271384711621728</c:v>
                </c:pt>
                <c:pt idx="691">
                  <c:v>26.095639243165415</c:v>
                </c:pt>
                <c:pt idx="692">
                  <c:v>42.368588298936928</c:v>
                </c:pt>
                <c:pt idx="693">
                  <c:v>34.974305243357527</c:v>
                </c:pt>
                <c:pt idx="694">
                  <c:v>25.394220177587147</c:v>
                </c:pt>
                <c:pt idx="695">
                  <c:v>23.622935394743621</c:v>
                </c:pt>
                <c:pt idx="696">
                  <c:v>23.825885858538548</c:v>
                </c:pt>
                <c:pt idx="697">
                  <c:v>32.170465730391278</c:v>
                </c:pt>
                <c:pt idx="698">
                  <c:v>31.320369107293526</c:v>
                </c:pt>
                <c:pt idx="699">
                  <c:v>61.188505411350576</c:v>
                </c:pt>
                <c:pt idx="700">
                  <c:v>60.40691255611619</c:v>
                </c:pt>
                <c:pt idx="701">
                  <c:v>64.060768161562351</c:v>
                </c:pt>
                <c:pt idx="702">
                  <c:v>40.460981814405685</c:v>
                </c:pt>
                <c:pt idx="703">
                  <c:v>40.925512135536735</c:v>
                </c:pt>
                <c:pt idx="704">
                  <c:v>31.250539092870103</c:v>
                </c:pt>
                <c:pt idx="705">
                  <c:v>61.150500324776743</c:v>
                </c:pt>
                <c:pt idx="706">
                  <c:v>66.220736957821046</c:v>
                </c:pt>
                <c:pt idx="707">
                  <c:v>59.500727914651264</c:v>
                </c:pt>
                <c:pt idx="708">
                  <c:v>21.400271320498678</c:v>
                </c:pt>
                <c:pt idx="709">
                  <c:v>34.951002911482824</c:v>
                </c:pt>
                <c:pt idx="710">
                  <c:v>40.833745559670909</c:v>
                </c:pt>
                <c:pt idx="711">
                  <c:v>49.399960005801525</c:v>
                </c:pt>
                <c:pt idx="712">
                  <c:v>75.225567370140425</c:v>
                </c:pt>
                <c:pt idx="713">
                  <c:v>81.613796852856439</c:v>
                </c:pt>
                <c:pt idx="714">
                  <c:v>81.606377610571656</c:v>
                </c:pt>
                <c:pt idx="715">
                  <c:v>90.274877406338916</c:v>
                </c:pt>
                <c:pt idx="716">
                  <c:v>94.524492254681022</c:v>
                </c:pt>
                <c:pt idx="717">
                  <c:v>66.876810329140213</c:v>
                </c:pt>
                <c:pt idx="718">
                  <c:v>70.441303586187928</c:v>
                </c:pt>
                <c:pt idx="719">
                  <c:v>62.072709609412655</c:v>
                </c:pt>
                <c:pt idx="720">
                  <c:v>66.021542209517932</c:v>
                </c:pt>
                <c:pt idx="721">
                  <c:v>64.721471498647247</c:v>
                </c:pt>
                <c:pt idx="722">
                  <c:v>61.05361356109541</c:v>
                </c:pt>
                <c:pt idx="723">
                  <c:v>63.365267761724155</c:v>
                </c:pt>
                <c:pt idx="724">
                  <c:v>60.479619144315386</c:v>
                </c:pt>
                <c:pt idx="725">
                  <c:v>60.635611861324172</c:v>
                </c:pt>
                <c:pt idx="726">
                  <c:v>56.795498963836501</c:v>
                </c:pt>
                <c:pt idx="727">
                  <c:v>64.199482486382365</c:v>
                </c:pt>
                <c:pt idx="728">
                  <c:v>64.199482486382365</c:v>
                </c:pt>
                <c:pt idx="729">
                  <c:v>64.199482486382365</c:v>
                </c:pt>
                <c:pt idx="730">
                  <c:v>64.199445184724127</c:v>
                </c:pt>
                <c:pt idx="731">
                  <c:v>58.950029025149057</c:v>
                </c:pt>
                <c:pt idx="732">
                  <c:v>60.158081427473434</c:v>
                </c:pt>
                <c:pt idx="733">
                  <c:v>55.470643058725599</c:v>
                </c:pt>
                <c:pt idx="734">
                  <c:v>59.481456737562389</c:v>
                </c:pt>
                <c:pt idx="735">
                  <c:v>58.640486831603241</c:v>
                </c:pt>
                <c:pt idx="736">
                  <c:v>63.393451529567201</c:v>
                </c:pt>
                <c:pt idx="737">
                  <c:v>65.460390720603641</c:v>
                </c:pt>
                <c:pt idx="738">
                  <c:v>67.28616018739865</c:v>
                </c:pt>
                <c:pt idx="739">
                  <c:v>68.342833679957408</c:v>
                </c:pt>
                <c:pt idx="740">
                  <c:v>71.305098964156883</c:v>
                </c:pt>
                <c:pt idx="741">
                  <c:v>60.466853189790513</c:v>
                </c:pt>
                <c:pt idx="742">
                  <c:v>59.724888726322433</c:v>
                </c:pt>
                <c:pt idx="743">
                  <c:v>62.776812829619104</c:v>
                </c:pt>
                <c:pt idx="744">
                  <c:v>63.366231969969846</c:v>
                </c:pt>
                <c:pt idx="745">
                  <c:v>58.345422251510094</c:v>
                </c:pt>
                <c:pt idx="746">
                  <c:v>60.765463601624923</c:v>
                </c:pt>
                <c:pt idx="747">
                  <c:v>56.041975026147874</c:v>
                </c:pt>
                <c:pt idx="748">
                  <c:v>56.041975026147874</c:v>
                </c:pt>
                <c:pt idx="749">
                  <c:v>56.128471091623048</c:v>
                </c:pt>
                <c:pt idx="750">
                  <c:v>57.487479132419757</c:v>
                </c:pt>
                <c:pt idx="751">
                  <c:v>62.957727560042699</c:v>
                </c:pt>
                <c:pt idx="752">
                  <c:v>59.460784217960175</c:v>
                </c:pt>
                <c:pt idx="753">
                  <c:v>61.254291494631744</c:v>
                </c:pt>
                <c:pt idx="754">
                  <c:v>61.253820967365165</c:v>
                </c:pt>
                <c:pt idx="755">
                  <c:v>58.856687400697226</c:v>
                </c:pt>
                <c:pt idx="756">
                  <c:v>55.773102032913933</c:v>
                </c:pt>
                <c:pt idx="757">
                  <c:v>58.577776368233188</c:v>
                </c:pt>
                <c:pt idx="758">
                  <c:v>60.356572455323871</c:v>
                </c:pt>
                <c:pt idx="759">
                  <c:v>60.61509610294771</c:v>
                </c:pt>
                <c:pt idx="760">
                  <c:v>55.116941860308572</c:v>
                </c:pt>
                <c:pt idx="761">
                  <c:v>60.340054002979691</c:v>
                </c:pt>
                <c:pt idx="762">
                  <c:v>60.368952115145049</c:v>
                </c:pt>
                <c:pt idx="763">
                  <c:v>56.710504335076195</c:v>
                </c:pt>
                <c:pt idx="764">
                  <c:v>56.914167836487358</c:v>
                </c:pt>
                <c:pt idx="765">
                  <c:v>55.44721358764788</c:v>
                </c:pt>
                <c:pt idx="766">
                  <c:v>60.604501022045746</c:v>
                </c:pt>
                <c:pt idx="767">
                  <c:v>53.914388119625379</c:v>
                </c:pt>
                <c:pt idx="768">
                  <c:v>58.12135427754734</c:v>
                </c:pt>
                <c:pt idx="769">
                  <c:v>56.655185200838389</c:v>
                </c:pt>
                <c:pt idx="770">
                  <c:v>56.655185200838389</c:v>
                </c:pt>
                <c:pt idx="771">
                  <c:v>57.347939598287212</c:v>
                </c:pt>
                <c:pt idx="772">
                  <c:v>54.539846809661974</c:v>
                </c:pt>
                <c:pt idx="773">
                  <c:v>50.950691971673628</c:v>
                </c:pt>
                <c:pt idx="774">
                  <c:v>60.203473597162642</c:v>
                </c:pt>
                <c:pt idx="775">
                  <c:v>55.515628249285001</c:v>
                </c:pt>
                <c:pt idx="776">
                  <c:v>53.381073593690644</c:v>
                </c:pt>
                <c:pt idx="777">
                  <c:v>53.833611171915322</c:v>
                </c:pt>
                <c:pt idx="778">
                  <c:v>50.281337420574935</c:v>
                </c:pt>
                <c:pt idx="779">
                  <c:v>50.344457517232037</c:v>
                </c:pt>
                <c:pt idx="780">
                  <c:v>55.891536084701691</c:v>
                </c:pt>
                <c:pt idx="781">
                  <c:v>54.612890056650166</c:v>
                </c:pt>
                <c:pt idx="782">
                  <c:v>56.175967807810864</c:v>
                </c:pt>
                <c:pt idx="783">
                  <c:v>58.403744825414293</c:v>
                </c:pt>
                <c:pt idx="784">
                  <c:v>55.5270133365795</c:v>
                </c:pt>
                <c:pt idx="785">
                  <c:v>54.685384260502794</c:v>
                </c:pt>
                <c:pt idx="786">
                  <c:v>52.322679329397644</c:v>
                </c:pt>
                <c:pt idx="787">
                  <c:v>52.321195552437651</c:v>
                </c:pt>
                <c:pt idx="788">
                  <c:v>51.486442384183903</c:v>
                </c:pt>
                <c:pt idx="789">
                  <c:v>54.815959534937519</c:v>
                </c:pt>
                <c:pt idx="790">
                  <c:v>52.676821308925724</c:v>
                </c:pt>
                <c:pt idx="791">
                  <c:v>51.739100760557186</c:v>
                </c:pt>
                <c:pt idx="792">
                  <c:v>52.407358080316008</c:v>
                </c:pt>
                <c:pt idx="793">
                  <c:v>51.807269865294082</c:v>
                </c:pt>
                <c:pt idx="794">
                  <c:v>60.301636688685939</c:v>
                </c:pt>
                <c:pt idx="795">
                  <c:v>52.149875160776055</c:v>
                </c:pt>
                <c:pt idx="796">
                  <c:v>45.820568735941848</c:v>
                </c:pt>
                <c:pt idx="797">
                  <c:v>45.886791965372666</c:v>
                </c:pt>
                <c:pt idx="798">
                  <c:v>41.50522534329636</c:v>
                </c:pt>
                <c:pt idx="799">
                  <c:v>41.297425432427431</c:v>
                </c:pt>
                <c:pt idx="800">
                  <c:v>42.040148407043979</c:v>
                </c:pt>
                <c:pt idx="801">
                  <c:v>48.840425531258347</c:v>
                </c:pt>
                <c:pt idx="802">
                  <c:v>48.756171779097919</c:v>
                </c:pt>
                <c:pt idx="803">
                  <c:v>47.230579994682621</c:v>
                </c:pt>
                <c:pt idx="804">
                  <c:v>47.19881367387881</c:v>
                </c:pt>
                <c:pt idx="805">
                  <c:v>39.223232250502363</c:v>
                </c:pt>
                <c:pt idx="806">
                  <c:v>40.889474204765534</c:v>
                </c:pt>
                <c:pt idx="807">
                  <c:v>40.746924742044655</c:v>
                </c:pt>
                <c:pt idx="808">
                  <c:v>40.886455343878211</c:v>
                </c:pt>
                <c:pt idx="809">
                  <c:v>42.810642259348114</c:v>
                </c:pt>
                <c:pt idx="810">
                  <c:v>38.011347444047978</c:v>
                </c:pt>
                <c:pt idx="811">
                  <c:v>38.015338585723363</c:v>
                </c:pt>
                <c:pt idx="812">
                  <c:v>37.004900324150398</c:v>
                </c:pt>
                <c:pt idx="813">
                  <c:v>36.986459565030152</c:v>
                </c:pt>
                <c:pt idx="814">
                  <c:v>36.652142792282071</c:v>
                </c:pt>
                <c:pt idx="815">
                  <c:v>36.627846897287249</c:v>
                </c:pt>
                <c:pt idx="816">
                  <c:v>36.346337894505986</c:v>
                </c:pt>
                <c:pt idx="817">
                  <c:v>36.357180686348251</c:v>
                </c:pt>
                <c:pt idx="818">
                  <c:v>35.923890993650815</c:v>
                </c:pt>
                <c:pt idx="819">
                  <c:v>35.938855648932311</c:v>
                </c:pt>
                <c:pt idx="820">
                  <c:v>35.585615933131585</c:v>
                </c:pt>
                <c:pt idx="821">
                  <c:v>35.578257003384756</c:v>
                </c:pt>
                <c:pt idx="822">
                  <c:v>35.386642741040887</c:v>
                </c:pt>
                <c:pt idx="823">
                  <c:v>35.699415035642467</c:v>
                </c:pt>
                <c:pt idx="824">
                  <c:v>35.714122160353327</c:v>
                </c:pt>
                <c:pt idx="825">
                  <c:v>34.465000875416315</c:v>
                </c:pt>
                <c:pt idx="826">
                  <c:v>34.605136720821569</c:v>
                </c:pt>
                <c:pt idx="827">
                  <c:v>49.453242924266391</c:v>
                </c:pt>
                <c:pt idx="828">
                  <c:v>53.712279084968273</c:v>
                </c:pt>
                <c:pt idx="829">
                  <c:v>46.598351935544422</c:v>
                </c:pt>
                <c:pt idx="830">
                  <c:v>46.506451216003761</c:v>
                </c:pt>
                <c:pt idx="831">
                  <c:v>43.876156591588817</c:v>
                </c:pt>
                <c:pt idx="832">
                  <c:v>46.202980074511522</c:v>
                </c:pt>
                <c:pt idx="833">
                  <c:v>39.985811342603419</c:v>
                </c:pt>
                <c:pt idx="834">
                  <c:v>40.026222577733513</c:v>
                </c:pt>
                <c:pt idx="835">
                  <c:v>39.072113230555388</c:v>
                </c:pt>
                <c:pt idx="836">
                  <c:v>53.171505478383878</c:v>
                </c:pt>
                <c:pt idx="837">
                  <c:v>48.231036402957983</c:v>
                </c:pt>
                <c:pt idx="838">
                  <c:v>51.12199491205115</c:v>
                </c:pt>
                <c:pt idx="839">
                  <c:v>35.484693024891385</c:v>
                </c:pt>
                <c:pt idx="840">
                  <c:v>47.289535791071614</c:v>
                </c:pt>
                <c:pt idx="841">
                  <c:v>48.422315360293751</c:v>
                </c:pt>
                <c:pt idx="842">
                  <c:v>41.957725039663011</c:v>
                </c:pt>
                <c:pt idx="843">
                  <c:v>41.148972849934459</c:v>
                </c:pt>
                <c:pt idx="844">
                  <c:v>37.992034519786742</c:v>
                </c:pt>
                <c:pt idx="845">
                  <c:v>50.852876642036556</c:v>
                </c:pt>
                <c:pt idx="846">
                  <c:v>44.529086242929303</c:v>
                </c:pt>
                <c:pt idx="847">
                  <c:v>47.195631184126462</c:v>
                </c:pt>
                <c:pt idx="848">
                  <c:v>33.840739517250093</c:v>
                </c:pt>
                <c:pt idx="849">
                  <c:v>33.888416445296009</c:v>
                </c:pt>
                <c:pt idx="850">
                  <c:v>33.837293836651178</c:v>
                </c:pt>
                <c:pt idx="851">
                  <c:v>32.171590197271478</c:v>
                </c:pt>
                <c:pt idx="852">
                  <c:v>32.181387164755449</c:v>
                </c:pt>
                <c:pt idx="853">
                  <c:v>29.499483433528585</c:v>
                </c:pt>
                <c:pt idx="854">
                  <c:v>29.510755927833067</c:v>
                </c:pt>
                <c:pt idx="855">
                  <c:v>28.319156631026004</c:v>
                </c:pt>
                <c:pt idx="856">
                  <c:v>28.319156631026004</c:v>
                </c:pt>
                <c:pt idx="857">
                  <c:v>28.324258370218043</c:v>
                </c:pt>
                <c:pt idx="858">
                  <c:v>28.296008270581446</c:v>
                </c:pt>
                <c:pt idx="859">
                  <c:v>28.245405316330402</c:v>
                </c:pt>
                <c:pt idx="860">
                  <c:v>27.530397095949059</c:v>
                </c:pt>
                <c:pt idx="861">
                  <c:v>27.546586938839869</c:v>
                </c:pt>
                <c:pt idx="862">
                  <c:v>25.456581541643594</c:v>
                </c:pt>
                <c:pt idx="863">
                  <c:v>25.456581541643594</c:v>
                </c:pt>
                <c:pt idx="864">
                  <c:v>25.380467065201003</c:v>
                </c:pt>
                <c:pt idx="865">
                  <c:v>25.47155677390553</c:v>
                </c:pt>
                <c:pt idx="866">
                  <c:v>25.47155677390553</c:v>
                </c:pt>
                <c:pt idx="867">
                  <c:v>25.47155677390553</c:v>
                </c:pt>
                <c:pt idx="868">
                  <c:v>33.651620024250477</c:v>
                </c:pt>
                <c:pt idx="869">
                  <c:v>31.160962674640945</c:v>
                </c:pt>
                <c:pt idx="870">
                  <c:v>31.185143590974342</c:v>
                </c:pt>
                <c:pt idx="871">
                  <c:v>30.050829717213329</c:v>
                </c:pt>
                <c:pt idx="872">
                  <c:v>30.066065077109702</c:v>
                </c:pt>
                <c:pt idx="873">
                  <c:v>26.608325459542723</c:v>
                </c:pt>
                <c:pt idx="874">
                  <c:v>26.556023337898456</c:v>
                </c:pt>
                <c:pt idx="875">
                  <c:v>25.720374244891278</c:v>
                </c:pt>
                <c:pt idx="876">
                  <c:v>25.720374244891278</c:v>
                </c:pt>
                <c:pt idx="877">
                  <c:v>25.754378711834189</c:v>
                </c:pt>
                <c:pt idx="878">
                  <c:v>33.054142256210575</c:v>
                </c:pt>
                <c:pt idx="879">
                  <c:v>27.760416027376824</c:v>
                </c:pt>
                <c:pt idx="880">
                  <c:v>27.768231140913496</c:v>
                </c:pt>
                <c:pt idx="881">
                  <c:v>26.076201859298102</c:v>
                </c:pt>
                <c:pt idx="882">
                  <c:v>23.784802667885067</c:v>
                </c:pt>
                <c:pt idx="883">
                  <c:v>23.784802667885067</c:v>
                </c:pt>
                <c:pt idx="884">
                  <c:v>23.784802667885067</c:v>
                </c:pt>
                <c:pt idx="885">
                  <c:v>23.791541739860943</c:v>
                </c:pt>
                <c:pt idx="886">
                  <c:v>23.827855032224107</c:v>
                </c:pt>
                <c:pt idx="887">
                  <c:v>20.880188839269053</c:v>
                </c:pt>
                <c:pt idx="888">
                  <c:v>20.880188839269053</c:v>
                </c:pt>
                <c:pt idx="889">
                  <c:v>22.69838108901121</c:v>
                </c:pt>
                <c:pt idx="890">
                  <c:v>22.69838108901121</c:v>
                </c:pt>
                <c:pt idx="891">
                  <c:v>18.896137261663497</c:v>
                </c:pt>
                <c:pt idx="892">
                  <c:v>18.896137261663497</c:v>
                </c:pt>
                <c:pt idx="893">
                  <c:v>17.472667294648275</c:v>
                </c:pt>
                <c:pt idx="894">
                  <c:v>17.472667294648275</c:v>
                </c:pt>
                <c:pt idx="895">
                  <c:v>17.942201958334596</c:v>
                </c:pt>
                <c:pt idx="896">
                  <c:v>17.942201958334596</c:v>
                </c:pt>
                <c:pt idx="897">
                  <c:v>49.194429251079171</c:v>
                </c:pt>
                <c:pt idx="898">
                  <c:v>47.889187031770895</c:v>
                </c:pt>
                <c:pt idx="899">
                  <c:v>44.90057223094955</c:v>
                </c:pt>
                <c:pt idx="900">
                  <c:v>34.989701462244291</c:v>
                </c:pt>
                <c:pt idx="901">
                  <c:v>34.989701462244291</c:v>
                </c:pt>
                <c:pt idx="902">
                  <c:v>37.49212784829195</c:v>
                </c:pt>
                <c:pt idx="903">
                  <c:v>47.712388962168809</c:v>
                </c:pt>
                <c:pt idx="904">
                  <c:v>37.092565038894087</c:v>
                </c:pt>
                <c:pt idx="905">
                  <c:v>47.492300627672222</c:v>
                </c:pt>
                <c:pt idx="906">
                  <c:v>49.599588511694726</c:v>
                </c:pt>
                <c:pt idx="907">
                  <c:v>48.080419752760385</c:v>
                </c:pt>
                <c:pt idx="908">
                  <c:v>44.187693450792096</c:v>
                </c:pt>
                <c:pt idx="909">
                  <c:v>49.222397030633033</c:v>
                </c:pt>
                <c:pt idx="910">
                  <c:v>42.253807545578738</c:v>
                </c:pt>
                <c:pt idx="911">
                  <c:v>40.105964455708708</c:v>
                </c:pt>
                <c:pt idx="912">
                  <c:v>43.681270793102591</c:v>
                </c:pt>
                <c:pt idx="913">
                  <c:v>44.263993991547522</c:v>
                </c:pt>
                <c:pt idx="914">
                  <c:v>46.761868762886486</c:v>
                </c:pt>
                <c:pt idx="915">
                  <c:v>36.598500887174524</c:v>
                </c:pt>
                <c:pt idx="916">
                  <c:v>35.250776389936902</c:v>
                </c:pt>
                <c:pt idx="917">
                  <c:v>35.282826222686914</c:v>
                </c:pt>
                <c:pt idx="918">
                  <c:v>46.575046933607439</c:v>
                </c:pt>
                <c:pt idx="919">
                  <c:v>46.575576022986347</c:v>
                </c:pt>
                <c:pt idx="920">
                  <c:v>39.635733556301652</c:v>
                </c:pt>
                <c:pt idx="921">
                  <c:v>41.017387025044044</c:v>
                </c:pt>
                <c:pt idx="922">
                  <c:v>40.945889071967372</c:v>
                </c:pt>
                <c:pt idx="923">
                  <c:v>37.211013549309882</c:v>
                </c:pt>
                <c:pt idx="924">
                  <c:v>37.211013549309882</c:v>
                </c:pt>
                <c:pt idx="925">
                  <c:v>42.725695039787766</c:v>
                </c:pt>
                <c:pt idx="926">
                  <c:v>42.71209291449815</c:v>
                </c:pt>
                <c:pt idx="927">
                  <c:v>33.268739200289154</c:v>
                </c:pt>
                <c:pt idx="928">
                  <c:v>34.967354083411379</c:v>
                </c:pt>
                <c:pt idx="929">
                  <c:v>34.967354083411379</c:v>
                </c:pt>
                <c:pt idx="930">
                  <c:v>40.847962841995908</c:v>
                </c:pt>
                <c:pt idx="931">
                  <c:v>39.218680680600627</c:v>
                </c:pt>
                <c:pt idx="932">
                  <c:v>39.235953955185344</c:v>
                </c:pt>
                <c:pt idx="933">
                  <c:v>40.807372370114862</c:v>
                </c:pt>
                <c:pt idx="934">
                  <c:v>46.549859339084364</c:v>
                </c:pt>
                <c:pt idx="935">
                  <c:v>46.556626422748216</c:v>
                </c:pt>
                <c:pt idx="936">
                  <c:v>32.297691420525524</c:v>
                </c:pt>
                <c:pt idx="937">
                  <c:v>32.217204769038176</c:v>
                </c:pt>
                <c:pt idx="938">
                  <c:v>40.161821205141109</c:v>
                </c:pt>
                <c:pt idx="939">
                  <c:v>31.315362783480243</c:v>
                </c:pt>
                <c:pt idx="940">
                  <c:v>31.418804476316371</c:v>
                </c:pt>
                <c:pt idx="941">
                  <c:v>31.357519667501656</c:v>
                </c:pt>
                <c:pt idx="942">
                  <c:v>30.055895624277909</c:v>
                </c:pt>
                <c:pt idx="943">
                  <c:v>30.012697184861803</c:v>
                </c:pt>
                <c:pt idx="944">
                  <c:v>37.05098744430078</c:v>
                </c:pt>
                <c:pt idx="945">
                  <c:v>32.309193376312713</c:v>
                </c:pt>
                <c:pt idx="946">
                  <c:v>32.27663830681395</c:v>
                </c:pt>
                <c:pt idx="947">
                  <c:v>25.426077324248979</c:v>
                </c:pt>
                <c:pt idx="948">
                  <c:v>25.458381573681443</c:v>
                </c:pt>
                <c:pt idx="949">
                  <c:v>29.151714234627729</c:v>
                </c:pt>
                <c:pt idx="950">
                  <c:v>28.316663395235132</c:v>
                </c:pt>
                <c:pt idx="951">
                  <c:v>28.276263423290285</c:v>
                </c:pt>
                <c:pt idx="952">
                  <c:v>26.986200163359555</c:v>
                </c:pt>
                <c:pt idx="953">
                  <c:v>44.107556838551652</c:v>
                </c:pt>
                <c:pt idx="954">
                  <c:v>44.094018232055305</c:v>
                </c:pt>
                <c:pt idx="955">
                  <c:v>39.539907103373793</c:v>
                </c:pt>
                <c:pt idx="956">
                  <c:v>29.80638820563739</c:v>
                </c:pt>
                <c:pt idx="957">
                  <c:v>81.612575230687156</c:v>
                </c:pt>
                <c:pt idx="958">
                  <c:v>81.532731215768919</c:v>
                </c:pt>
                <c:pt idx="959">
                  <c:v>81.606377610571656</c:v>
                </c:pt>
                <c:pt idx="960">
                  <c:v>81.550073951285768</c:v>
                </c:pt>
                <c:pt idx="961">
                  <c:v>94.524492254681022</c:v>
                </c:pt>
                <c:pt idx="962">
                  <c:v>94.439943776989423</c:v>
                </c:pt>
                <c:pt idx="963">
                  <c:v>70.441303586187928</c:v>
                </c:pt>
                <c:pt idx="964">
                  <c:v>70.41790158468703</c:v>
                </c:pt>
                <c:pt idx="965">
                  <c:v>64.059698568013673</c:v>
                </c:pt>
                <c:pt idx="966">
                  <c:v>63.990382945304894</c:v>
                </c:pt>
                <c:pt idx="967">
                  <c:v>64.059698568013673</c:v>
                </c:pt>
                <c:pt idx="968">
                  <c:v>63.990382945304894</c:v>
                </c:pt>
                <c:pt idx="969">
                  <c:v>63.500731932604836</c:v>
                </c:pt>
                <c:pt idx="970">
                  <c:v>63.409240618895886</c:v>
                </c:pt>
                <c:pt idx="971">
                  <c:v>70.371395083946837</c:v>
                </c:pt>
                <c:pt idx="972">
                  <c:v>70.275655671136192</c:v>
                </c:pt>
                <c:pt idx="973">
                  <c:v>63.829286265823086</c:v>
                </c:pt>
                <c:pt idx="974">
                  <c:v>63.764585131022066</c:v>
                </c:pt>
                <c:pt idx="975">
                  <c:v>67.296173289659464</c:v>
                </c:pt>
                <c:pt idx="976">
                  <c:v>67.227207792306373</c:v>
                </c:pt>
                <c:pt idx="977">
                  <c:v>68.342833679957408</c:v>
                </c:pt>
                <c:pt idx="978">
                  <c:v>68.282320028913944</c:v>
                </c:pt>
                <c:pt idx="979">
                  <c:v>71.305098964156883</c:v>
                </c:pt>
                <c:pt idx="980">
                  <c:v>71.236210906350991</c:v>
                </c:pt>
                <c:pt idx="981">
                  <c:v>59.382385900611688</c:v>
                </c:pt>
                <c:pt idx="982">
                  <c:v>59.308953466678332</c:v>
                </c:pt>
                <c:pt idx="983">
                  <c:v>59.540453298417894</c:v>
                </c:pt>
                <c:pt idx="984">
                  <c:v>59.454332187448415</c:v>
                </c:pt>
                <c:pt idx="985">
                  <c:v>59.601022790653943</c:v>
                </c:pt>
                <c:pt idx="986">
                  <c:v>59.525569382495775</c:v>
                </c:pt>
                <c:pt idx="987">
                  <c:v>61.153616798613854</c:v>
                </c:pt>
                <c:pt idx="988">
                  <c:v>61.285079632022523</c:v>
                </c:pt>
                <c:pt idx="989">
                  <c:v>61.102288856503925</c:v>
                </c:pt>
                <c:pt idx="990">
                  <c:v>61.013198334758897</c:v>
                </c:pt>
                <c:pt idx="991">
                  <c:v>60.701859097617962</c:v>
                </c:pt>
                <c:pt idx="992">
                  <c:v>60.619227604232385</c:v>
                </c:pt>
                <c:pt idx="993">
                  <c:v>58.208608544632874</c:v>
                </c:pt>
                <c:pt idx="994">
                  <c:v>58.115761410190359</c:v>
                </c:pt>
                <c:pt idx="995">
                  <c:v>57.896581762335984</c:v>
                </c:pt>
                <c:pt idx="996">
                  <c:v>57.82153505196581</c:v>
                </c:pt>
                <c:pt idx="997">
                  <c:v>54.890314856979337</c:v>
                </c:pt>
                <c:pt idx="998">
                  <c:v>54.806075092584287</c:v>
                </c:pt>
                <c:pt idx="999">
                  <c:v>53.128875570099787</c:v>
                </c:pt>
                <c:pt idx="1000">
                  <c:v>53.049844132913805</c:v>
                </c:pt>
                <c:pt idx="1001">
                  <c:v>53.944907348544973</c:v>
                </c:pt>
                <c:pt idx="1002">
                  <c:v>53.851857238605227</c:v>
                </c:pt>
                <c:pt idx="1003">
                  <c:v>55.390344846782064</c:v>
                </c:pt>
                <c:pt idx="1004">
                  <c:v>55.296406716245237</c:v>
                </c:pt>
                <c:pt idx="1005">
                  <c:v>31.07806834088391</c:v>
                </c:pt>
                <c:pt idx="1006">
                  <c:v>31.184196698404406</c:v>
                </c:pt>
                <c:pt idx="1007">
                  <c:v>20.700466718485373</c:v>
                </c:pt>
                <c:pt idx="1008">
                  <c:v>20.686714888203309</c:v>
                </c:pt>
                <c:pt idx="1009">
                  <c:v>49.590956709899714</c:v>
                </c:pt>
                <c:pt idx="1010">
                  <c:v>49.519931964764893</c:v>
                </c:pt>
                <c:pt idx="1011">
                  <c:v>49.282749490214421</c:v>
                </c:pt>
                <c:pt idx="1012">
                  <c:v>49.198079087896346</c:v>
                </c:pt>
                <c:pt idx="1013">
                  <c:v>49.326538791186096</c:v>
                </c:pt>
                <c:pt idx="1014">
                  <c:v>49.246612807155834</c:v>
                </c:pt>
                <c:pt idx="1015">
                  <c:v>40.508515801675287</c:v>
                </c:pt>
                <c:pt idx="1016">
                  <c:v>40.498060435367584</c:v>
                </c:pt>
                <c:pt idx="1017">
                  <c:v>45.492104946464956</c:v>
                </c:pt>
                <c:pt idx="1018">
                  <c:v>45.453293478106851</c:v>
                </c:pt>
                <c:pt idx="1019">
                  <c:v>40.993363536187239</c:v>
                </c:pt>
                <c:pt idx="1020">
                  <c:v>40.970813006970076</c:v>
                </c:pt>
                <c:pt idx="1021">
                  <c:v>42.715059781845241</c:v>
                </c:pt>
                <c:pt idx="1022">
                  <c:v>42.675413861300527</c:v>
                </c:pt>
                <c:pt idx="1023">
                  <c:v>37.199356514748644</c:v>
                </c:pt>
                <c:pt idx="1024">
                  <c:v>37.185949342059331</c:v>
                </c:pt>
                <c:pt idx="1025">
                  <c:v>40.999941611069609</c:v>
                </c:pt>
                <c:pt idx="1026">
                  <c:v>40.973839472072399</c:v>
                </c:pt>
                <c:pt idx="1027">
                  <c:v>40.108679102239073</c:v>
                </c:pt>
                <c:pt idx="1028">
                  <c:v>40.056098042537371</c:v>
                </c:pt>
                <c:pt idx="1029">
                  <c:v>40.094812505797847</c:v>
                </c:pt>
                <c:pt idx="1030">
                  <c:v>40.068462734128026</c:v>
                </c:pt>
                <c:pt idx="1031">
                  <c:v>40.579905275643654</c:v>
                </c:pt>
                <c:pt idx="1032">
                  <c:v>40.534564682215937</c:v>
                </c:pt>
                <c:pt idx="1033">
                  <c:v>40.594040523791662</c:v>
                </c:pt>
                <c:pt idx="1034">
                  <c:v>40.558411701443433</c:v>
                </c:pt>
                <c:pt idx="1035">
                  <c:v>95</c:v>
                </c:pt>
                <c:pt idx="1036">
                  <c:v>81.5</c:v>
                </c:pt>
                <c:pt idx="1037">
                  <c:v>85.2</c:v>
                </c:pt>
                <c:pt idx="1038">
                  <c:v>90</c:v>
                </c:pt>
                <c:pt idx="1039">
                  <c:v>68.3</c:v>
                </c:pt>
                <c:pt idx="1040">
                  <c:v>71.3</c:v>
                </c:pt>
                <c:pt idx="1041">
                  <c:v>62.217726495132609</c:v>
                </c:pt>
                <c:pt idx="1042">
                  <c:v>62.29063493465528</c:v>
                </c:pt>
                <c:pt idx="1043">
                  <c:v>70.33104504819589</c:v>
                </c:pt>
                <c:pt idx="1044">
                  <c:v>68.227515111600809</c:v>
                </c:pt>
                <c:pt idx="1045">
                  <c:v>60.621233342000771</c:v>
                </c:pt>
                <c:pt idx="1046">
                  <c:v>58.983884566968634</c:v>
                </c:pt>
                <c:pt idx="1047">
                  <c:v>65.574102976441424</c:v>
                </c:pt>
                <c:pt idx="1048">
                  <c:v>67.843412235655606</c:v>
                </c:pt>
                <c:pt idx="1049">
                  <c:v>71.992415979072518</c:v>
                </c:pt>
                <c:pt idx="1050">
                  <c:v>59.479535679913205</c:v>
                </c:pt>
                <c:pt idx="1051">
                  <c:v>56.854256140831779</c:v>
                </c:pt>
                <c:pt idx="1052">
                  <c:v>61.235000447260802</c:v>
                </c:pt>
                <c:pt idx="1053">
                  <c:v>60.702915661934476</c:v>
                </c:pt>
                <c:pt idx="1054">
                  <c:v>59.748615294962256</c:v>
                </c:pt>
                <c:pt idx="1055">
                  <c:v>59.014559544654517</c:v>
                </c:pt>
                <c:pt idx="1056">
                  <c:v>60.409971788152831</c:v>
                </c:pt>
                <c:pt idx="1057">
                  <c:v>48.88245719139551</c:v>
                </c:pt>
                <c:pt idx="1058">
                  <c:v>49.983483708209214</c:v>
                </c:pt>
                <c:pt idx="1059">
                  <c:v>49.799418912952248</c:v>
                </c:pt>
                <c:pt idx="1060">
                  <c:v>56.287752579626734</c:v>
                </c:pt>
                <c:pt idx="1061">
                  <c:v>59.05237621231548</c:v>
                </c:pt>
                <c:pt idx="1062">
                  <c:v>63.767314549719124</c:v>
                </c:pt>
                <c:pt idx="1063">
                  <c:v>63.433699969899202</c:v>
                </c:pt>
                <c:pt idx="1064">
                  <c:v>62.280944420214468</c:v>
                </c:pt>
                <c:pt idx="1065">
                  <c:v>55.427598368560233</c:v>
                </c:pt>
                <c:pt idx="1066">
                  <c:v>57.928829575640194</c:v>
                </c:pt>
                <c:pt idx="1067">
                  <c:v>53.115514575676379</c:v>
                </c:pt>
                <c:pt idx="1068">
                  <c:v>45.595454806127186</c:v>
                </c:pt>
                <c:pt idx="1069">
                  <c:v>40.948691127894762</c:v>
                </c:pt>
                <c:pt idx="1070">
                  <c:v>38.997675858149051</c:v>
                </c:pt>
                <c:pt idx="1071">
                  <c:v>34.954004225057936</c:v>
                </c:pt>
                <c:pt idx="1072">
                  <c:v>41.622197941501923</c:v>
                </c:pt>
                <c:pt idx="1073">
                  <c:v>43.602093423378683</c:v>
                </c:pt>
                <c:pt idx="1074">
                  <c:v>45.282898018762495</c:v>
                </c:pt>
                <c:pt idx="1075">
                  <c:v>41.850461912875787</c:v>
                </c:pt>
                <c:pt idx="1076">
                  <c:v>41.13977841817691</c:v>
                </c:pt>
                <c:pt idx="1077">
                  <c:v>40.593943995208413</c:v>
                </c:pt>
                <c:pt idx="1078">
                  <c:v>33.742418927894697</c:v>
                </c:pt>
                <c:pt idx="1079">
                  <c:v>29.237016759793622</c:v>
                </c:pt>
                <c:pt idx="1080">
                  <c:v>24.40706194831202</c:v>
                </c:pt>
                <c:pt idx="1081">
                  <c:v>29.637378868968412</c:v>
                </c:pt>
                <c:pt idx="1082">
                  <c:v>47.31222674371346</c:v>
                </c:pt>
                <c:pt idx="1083">
                  <c:v>45.316552876410064</c:v>
                </c:pt>
                <c:pt idx="1084">
                  <c:v>38.852696206802051</c:v>
                </c:pt>
                <c:pt idx="1085">
                  <c:v>21.171694463214322</c:v>
                </c:pt>
                <c:pt idx="1086">
                  <c:v>20.656086035795454</c:v>
                </c:pt>
                <c:pt idx="1087">
                  <c:v>23.860636207978605</c:v>
                </c:pt>
                <c:pt idx="1088">
                  <c:v>34.423131785465706</c:v>
                </c:pt>
                <c:pt idx="1089">
                  <c:v>26.912576849355109</c:v>
                </c:pt>
                <c:pt idx="1090">
                  <c:v>21.493622167346011</c:v>
                </c:pt>
                <c:pt idx="1091">
                  <c:v>17.755534250441624</c:v>
                </c:pt>
                <c:pt idx="1092">
                  <c:v>70.537441001283426</c:v>
                </c:pt>
                <c:pt idx="1093">
                  <c:v>62.897431070654889</c:v>
                </c:pt>
                <c:pt idx="1094">
                  <c:v>70.402228555085628</c:v>
                </c:pt>
                <c:pt idx="1095">
                  <c:v>64.062655645340172</c:v>
                </c:pt>
                <c:pt idx="1096">
                  <c:v>53.903349663304695</c:v>
                </c:pt>
                <c:pt idx="1097">
                  <c:v>63.390660550153747</c:v>
                </c:pt>
                <c:pt idx="1098">
                  <c:v>58.555850235356573</c:v>
                </c:pt>
                <c:pt idx="1099">
                  <c:v>61.264803355766553</c:v>
                </c:pt>
                <c:pt idx="1100">
                  <c:v>59.46647115103395</c:v>
                </c:pt>
                <c:pt idx="1101">
                  <c:v>60.693861200152561</c:v>
                </c:pt>
                <c:pt idx="1102">
                  <c:v>58.151106979175708</c:v>
                </c:pt>
                <c:pt idx="1103">
                  <c:v>60.273354982998633</c:v>
                </c:pt>
                <c:pt idx="1104">
                  <c:v>55.501543431755003</c:v>
                </c:pt>
                <c:pt idx="1105">
                  <c:v>55.481055030325045</c:v>
                </c:pt>
                <c:pt idx="1106">
                  <c:v>54.073685615567221</c:v>
                </c:pt>
                <c:pt idx="1107">
                  <c:v>51.107583684820291</c:v>
                </c:pt>
                <c:pt idx="1108">
                  <c:v>55.081855044538266</c:v>
                </c:pt>
                <c:pt idx="1109">
                  <c:v>49.813610980344215</c:v>
                </c:pt>
                <c:pt idx="1110">
                  <c:v>47.063374715048987</c:v>
                </c:pt>
                <c:pt idx="1111">
                  <c:v>47.761079695464538</c:v>
                </c:pt>
                <c:pt idx="1112">
                  <c:v>44.465321859881399</c:v>
                </c:pt>
                <c:pt idx="1113">
                  <c:v>49.189329460337518</c:v>
                </c:pt>
                <c:pt idx="1114">
                  <c:v>38.366344663869114</c:v>
                </c:pt>
                <c:pt idx="1115">
                  <c:v>42.579694659658756</c:v>
                </c:pt>
                <c:pt idx="1116">
                  <c:v>58.106262631101167</c:v>
                </c:pt>
                <c:pt idx="1117">
                  <c:v>58.269093183902378</c:v>
                </c:pt>
                <c:pt idx="1118">
                  <c:v>53.903652025427519</c:v>
                </c:pt>
                <c:pt idx="1119">
                  <c:v>54.760939384469324</c:v>
                </c:pt>
                <c:pt idx="1120">
                  <c:v>50.303811920812663</c:v>
                </c:pt>
                <c:pt idx="1121">
                  <c:v>57.28574428294889</c:v>
                </c:pt>
                <c:pt idx="1122">
                  <c:v>55.48041642179458</c:v>
                </c:pt>
                <c:pt idx="1123">
                  <c:v>55.657732020158562</c:v>
                </c:pt>
                <c:pt idx="1124">
                  <c:v>54.65939354730142</c:v>
                </c:pt>
                <c:pt idx="1125">
                  <c:v>60.197886221865318</c:v>
                </c:pt>
                <c:pt idx="1126">
                  <c:v>51.721182574006733</c:v>
                </c:pt>
                <c:pt idx="1127">
                  <c:v>52.67395451095696</c:v>
                </c:pt>
                <c:pt idx="1128">
                  <c:v>44.844383937522409</c:v>
                </c:pt>
                <c:pt idx="1129">
                  <c:v>48.010881456016072</c:v>
                </c:pt>
                <c:pt idx="1130">
                  <c:v>49.230996792145262</c:v>
                </c:pt>
                <c:pt idx="1131">
                  <c:v>46.021413107207358</c:v>
                </c:pt>
                <c:pt idx="1132">
                  <c:v>52.360464312737172</c:v>
                </c:pt>
                <c:pt idx="1133">
                  <c:v>40.733945015618119</c:v>
                </c:pt>
                <c:pt idx="1134">
                  <c:v>39.593385786636127</c:v>
                </c:pt>
                <c:pt idx="1135">
                  <c:v>42.295460307997352</c:v>
                </c:pt>
                <c:pt idx="1136">
                  <c:v>43.654848696763679</c:v>
                </c:pt>
                <c:pt idx="1137">
                  <c:v>46.595453578337541</c:v>
                </c:pt>
                <c:pt idx="1138">
                  <c:v>49.590153197417891</c:v>
                </c:pt>
                <c:pt idx="1139">
                  <c:v>42.742397633553942</c:v>
                </c:pt>
                <c:pt idx="1140">
                  <c:v>42.688871707332567</c:v>
                </c:pt>
                <c:pt idx="1141">
                  <c:v>46.669543498793381</c:v>
                </c:pt>
                <c:pt idx="1142">
                  <c:v>44.404555366607759</c:v>
                </c:pt>
                <c:pt idx="1143">
                  <c:v>37.360803892158394</c:v>
                </c:pt>
                <c:pt idx="1144">
                  <c:v>47.416559893800382</c:v>
                </c:pt>
                <c:pt idx="1145">
                  <c:v>40.785723889403847</c:v>
                </c:pt>
                <c:pt idx="1146">
                  <c:v>32.506780992293336</c:v>
                </c:pt>
                <c:pt idx="1147">
                  <c:v>34.002602713869194</c:v>
                </c:pt>
                <c:pt idx="1148">
                  <c:v>35.219482068203391</c:v>
                </c:pt>
                <c:pt idx="1149">
                  <c:v>29.503538375647715</c:v>
                </c:pt>
                <c:pt idx="1150">
                  <c:v>27.497363469824094</c:v>
                </c:pt>
                <c:pt idx="1151">
                  <c:v>25.405269899067459</c:v>
                </c:pt>
                <c:pt idx="1152">
                  <c:v>31.121790452233022</c:v>
                </c:pt>
                <c:pt idx="1153">
                  <c:v>31.169584847313246</c:v>
                </c:pt>
                <c:pt idx="1154">
                  <c:v>25.912019491789454</c:v>
                </c:pt>
                <c:pt idx="1155">
                  <c:v>26.512944333543491</c:v>
                </c:pt>
                <c:pt idx="1156">
                  <c:v>23.832407991003492</c:v>
                </c:pt>
                <c:pt idx="1157">
                  <c:v>23.836731251015294</c:v>
                </c:pt>
                <c:pt idx="1158">
                  <c:v>26.186964324635262</c:v>
                </c:pt>
                <c:pt idx="1159">
                  <c:v>33.025056794493985</c:v>
                </c:pt>
                <c:pt idx="1160">
                  <c:v>43.079827992157483</c:v>
                </c:pt>
                <c:pt idx="1161">
                  <c:v>97.752914177040921</c:v>
                </c:pt>
                <c:pt idx="1162">
                  <c:v>100.82502453911427</c:v>
                </c:pt>
                <c:pt idx="1163">
                  <c:v>55.987668972431152</c:v>
                </c:pt>
                <c:pt idx="1164">
                  <c:v>56.003956199488144</c:v>
                </c:pt>
                <c:pt idx="1165">
                  <c:v>55.93061811597169</c:v>
                </c:pt>
                <c:pt idx="1166">
                  <c:v>55.93061811597169</c:v>
                </c:pt>
                <c:pt idx="1167">
                  <c:v>23.330159534617806</c:v>
                </c:pt>
                <c:pt idx="1168">
                  <c:v>20.401500451475538</c:v>
                </c:pt>
                <c:pt idx="1169">
                  <c:v>23.255488206461205</c:v>
                </c:pt>
                <c:pt idx="1170">
                  <c:v>21.45118408528915</c:v>
                </c:pt>
                <c:pt idx="1171">
                  <c:v>26.904497383096992</c:v>
                </c:pt>
                <c:pt idx="1172">
                  <c:v>22.409143214922349</c:v>
                </c:pt>
                <c:pt idx="1173">
                  <c:v>56.151173782756551</c:v>
                </c:pt>
                <c:pt idx="1174">
                  <c:v>56.142226458214303</c:v>
                </c:pt>
                <c:pt idx="1175">
                  <c:v>54.976202558715215</c:v>
                </c:pt>
                <c:pt idx="1176">
                  <c:v>56.475152318505231</c:v>
                </c:pt>
                <c:pt idx="1177">
                  <c:v>56.318023504023962</c:v>
                </c:pt>
                <c:pt idx="1178">
                  <c:v>56.282246160454903</c:v>
                </c:pt>
                <c:pt idx="1179">
                  <c:v>55.754534215180797</c:v>
                </c:pt>
                <c:pt idx="1180">
                  <c:v>56.072822758737104</c:v>
                </c:pt>
                <c:pt idx="1181">
                  <c:v>55.711377644816231</c:v>
                </c:pt>
                <c:pt idx="1182">
                  <c:v>55.711377644816231</c:v>
                </c:pt>
                <c:pt idx="1183">
                  <c:v>55.981367519343223</c:v>
                </c:pt>
                <c:pt idx="1184">
                  <c:v>60.486507898120884</c:v>
                </c:pt>
                <c:pt idx="1185">
                  <c:v>36.257106442327824</c:v>
                </c:pt>
                <c:pt idx="1186">
                  <c:v>60.40691255611619</c:v>
                </c:pt>
                <c:pt idx="1187">
                  <c:v>36.366941342628344</c:v>
                </c:pt>
                <c:pt idx="1188">
                  <c:v>67.838028290999688</c:v>
                </c:pt>
                <c:pt idx="1189">
                  <c:v>67.83</c:v>
                </c:pt>
                <c:pt idx="1190">
                  <c:v>67.87</c:v>
                </c:pt>
                <c:pt idx="1191">
                  <c:v>95.23</c:v>
                </c:pt>
                <c:pt idx="1192">
                  <c:v>95.26</c:v>
                </c:pt>
                <c:pt idx="1193">
                  <c:v>95.17</c:v>
                </c:pt>
              </c:numCache>
            </c:numRef>
          </c:xVal>
          <c:yVal>
            <c:numRef>
              <c:f>'Typecode Reference'!$Q$3:$Q$1196</c:f>
              <c:numCache>
                <c:formatCode>0.000000</c:formatCode>
                <c:ptCount val="1194"/>
                <c:pt idx="0">
                  <c:v>0.53749652435981254</c:v>
                </c:pt>
                <c:pt idx="1">
                  <c:v>0.53434190524549952</c:v>
                </c:pt>
                <c:pt idx="2">
                  <c:v>0.5340360683523494</c:v>
                </c:pt>
                <c:pt idx="3">
                  <c:v>0.54427342588851946</c:v>
                </c:pt>
                <c:pt idx="4">
                  <c:v>0.53937415627385532</c:v>
                </c:pt>
                <c:pt idx="5">
                  <c:v>0.5395505883535463</c:v>
                </c:pt>
                <c:pt idx="6">
                  <c:v>0.54220316758878484</c:v>
                </c:pt>
                <c:pt idx="7">
                  <c:v>0.53008773807661369</c:v>
                </c:pt>
                <c:pt idx="8">
                  <c:v>0.53532154923218811</c:v>
                </c:pt>
                <c:pt idx="9">
                  <c:v>0.54841957697293575</c:v>
                </c:pt>
                <c:pt idx="10">
                  <c:v>0.54641236559697459</c:v>
                </c:pt>
                <c:pt idx="11">
                  <c:v>0.54149676191747576</c:v>
                </c:pt>
                <c:pt idx="12">
                  <c:v>0.54590037029714933</c:v>
                </c:pt>
                <c:pt idx="13">
                  <c:v>0.54267569687740014</c:v>
                </c:pt>
                <c:pt idx="14">
                  <c:v>0.54859110158732671</c:v>
                </c:pt>
                <c:pt idx="15">
                  <c:v>0.55613331617631345</c:v>
                </c:pt>
                <c:pt idx="16">
                  <c:v>0.56036066865840473</c:v>
                </c:pt>
                <c:pt idx="17">
                  <c:v>0.55488151324647539</c:v>
                </c:pt>
                <c:pt idx="18">
                  <c:v>0.53705338690410154</c:v>
                </c:pt>
                <c:pt idx="19">
                  <c:v>0.54568433414502249</c:v>
                </c:pt>
                <c:pt idx="20">
                  <c:v>0.55650202548377148</c:v>
                </c:pt>
                <c:pt idx="21">
                  <c:v>0.55545984111508417</c:v>
                </c:pt>
                <c:pt idx="22">
                  <c:v>0.54419284795090084</c:v>
                </c:pt>
                <c:pt idx="23">
                  <c:v>0.54891200179343214</c:v>
                </c:pt>
                <c:pt idx="24">
                  <c:v>0.5406819264849263</c:v>
                </c:pt>
                <c:pt idx="25">
                  <c:v>0.54346715529367762</c:v>
                </c:pt>
                <c:pt idx="26">
                  <c:v>0.572150948703819</c:v>
                </c:pt>
                <c:pt idx="27">
                  <c:v>0.56844438946109799</c:v>
                </c:pt>
                <c:pt idx="28">
                  <c:v>0.56102257754481311</c:v>
                </c:pt>
                <c:pt idx="29">
                  <c:v>0.57665134717249478</c:v>
                </c:pt>
                <c:pt idx="30">
                  <c:v>0.58371984154033596</c:v>
                </c:pt>
                <c:pt idx="31">
                  <c:v>0.54415604392768435</c:v>
                </c:pt>
                <c:pt idx="32">
                  <c:v>0.54272265088738836</c:v>
                </c:pt>
                <c:pt idx="33">
                  <c:v>0.54023034848765128</c:v>
                </c:pt>
                <c:pt idx="34">
                  <c:v>0.56860734029278082</c:v>
                </c:pt>
                <c:pt idx="35">
                  <c:v>0.56512909595990757</c:v>
                </c:pt>
                <c:pt idx="36">
                  <c:v>0.56310605509766731</c:v>
                </c:pt>
                <c:pt idx="37">
                  <c:v>0.57758104252959797</c:v>
                </c:pt>
                <c:pt idx="38">
                  <c:v>0.57310455117136616</c:v>
                </c:pt>
                <c:pt idx="39">
                  <c:v>0.57673121405286321</c:v>
                </c:pt>
                <c:pt idx="40">
                  <c:v>0.58801485144379684</c:v>
                </c:pt>
                <c:pt idx="41">
                  <c:v>0.58357698501236444</c:v>
                </c:pt>
                <c:pt idx="42">
                  <c:v>0.58044506211017877</c:v>
                </c:pt>
                <c:pt idx="43">
                  <c:v>0.59892485915802762</c:v>
                </c:pt>
                <c:pt idx="44">
                  <c:v>0.59234493509609987</c:v>
                </c:pt>
                <c:pt idx="45">
                  <c:v>0.60042163048063613</c:v>
                </c:pt>
                <c:pt idx="46">
                  <c:v>0.60299956668637911</c:v>
                </c:pt>
                <c:pt idx="47">
                  <c:v>0.60484325942122408</c:v>
                </c:pt>
                <c:pt idx="48">
                  <c:v>0.6079117729281418</c:v>
                </c:pt>
                <c:pt idx="49">
                  <c:v>0.61034868954891441</c:v>
                </c:pt>
                <c:pt idx="50">
                  <c:v>0.61617438945616643</c:v>
                </c:pt>
                <c:pt idx="51">
                  <c:v>0.60773725631957554</c:v>
                </c:pt>
                <c:pt idx="52">
                  <c:v>0.61622589902769698</c:v>
                </c:pt>
                <c:pt idx="53">
                  <c:v>0.60962328874458338</c:v>
                </c:pt>
                <c:pt idx="54">
                  <c:v>0.61362706620844609</c:v>
                </c:pt>
                <c:pt idx="55">
                  <c:v>0.60542975076006422</c:v>
                </c:pt>
                <c:pt idx="56">
                  <c:v>0.62055484657493387</c:v>
                </c:pt>
                <c:pt idx="57">
                  <c:v>0.62055484657493387</c:v>
                </c:pt>
                <c:pt idx="58">
                  <c:v>0.62094948521017912</c:v>
                </c:pt>
                <c:pt idx="59">
                  <c:v>0.62127193440089745</c:v>
                </c:pt>
                <c:pt idx="60">
                  <c:v>0.53902113989627232</c:v>
                </c:pt>
                <c:pt idx="61">
                  <c:v>0.54588098765063131</c:v>
                </c:pt>
                <c:pt idx="62">
                  <c:v>0.54500822507077828</c:v>
                </c:pt>
                <c:pt idx="63">
                  <c:v>0.55215529117484896</c:v>
                </c:pt>
                <c:pt idx="64">
                  <c:v>0.54727433368013811</c:v>
                </c:pt>
                <c:pt idx="65">
                  <c:v>0.5434079319007723</c:v>
                </c:pt>
                <c:pt idx="66">
                  <c:v>0.54342143443533764</c:v>
                </c:pt>
                <c:pt idx="67">
                  <c:v>0.54452592010957535</c:v>
                </c:pt>
                <c:pt idx="68">
                  <c:v>0.54427246934176499</c:v>
                </c:pt>
                <c:pt idx="69">
                  <c:v>0.54491798258478685</c:v>
                </c:pt>
                <c:pt idx="70">
                  <c:v>0.55524443772829801</c:v>
                </c:pt>
                <c:pt idx="71">
                  <c:v>0.5507137004432302</c:v>
                </c:pt>
                <c:pt idx="72">
                  <c:v>0.54211420360242601</c:v>
                </c:pt>
                <c:pt idx="73">
                  <c:v>0.55472133145890945</c:v>
                </c:pt>
                <c:pt idx="74">
                  <c:v>0.54875632474010316</c:v>
                </c:pt>
                <c:pt idx="75">
                  <c:v>0.54677420800891741</c:v>
                </c:pt>
                <c:pt idx="76">
                  <c:v>0.5479326453669936</c:v>
                </c:pt>
                <c:pt idx="77">
                  <c:v>0.56561260948365388</c:v>
                </c:pt>
                <c:pt idx="78">
                  <c:v>0.56063181563598119</c:v>
                </c:pt>
                <c:pt idx="79">
                  <c:v>0.587059946450744</c:v>
                </c:pt>
                <c:pt idx="80">
                  <c:v>0.57656469458697635</c:v>
                </c:pt>
                <c:pt idx="81">
                  <c:v>0.55313461598631852</c:v>
                </c:pt>
                <c:pt idx="82">
                  <c:v>0.58643740350050688</c:v>
                </c:pt>
                <c:pt idx="83">
                  <c:v>0.58285680341882307</c:v>
                </c:pt>
                <c:pt idx="84">
                  <c:v>0.56318592623188324</c:v>
                </c:pt>
                <c:pt idx="85">
                  <c:v>0.5672809387306389</c:v>
                </c:pt>
                <c:pt idx="86">
                  <c:v>0.56759275030292466</c:v>
                </c:pt>
                <c:pt idx="87">
                  <c:v>0.57020819049747351</c:v>
                </c:pt>
                <c:pt idx="88">
                  <c:v>0.57142880539909413</c:v>
                </c:pt>
                <c:pt idx="89">
                  <c:v>0.56487434848984575</c:v>
                </c:pt>
                <c:pt idx="90">
                  <c:v>0.56491376109336433</c:v>
                </c:pt>
                <c:pt idx="91">
                  <c:v>0.56680327703835487</c:v>
                </c:pt>
                <c:pt idx="92">
                  <c:v>0.55683211026968271</c:v>
                </c:pt>
                <c:pt idx="93">
                  <c:v>0.57760074384993187</c:v>
                </c:pt>
                <c:pt idx="94">
                  <c:v>0.57867428651879382</c:v>
                </c:pt>
                <c:pt idx="95">
                  <c:v>0.58083439929445813</c:v>
                </c:pt>
                <c:pt idx="96">
                  <c:v>0.57624455262003893</c:v>
                </c:pt>
                <c:pt idx="97">
                  <c:v>0.55599948139932198</c:v>
                </c:pt>
                <c:pt idx="98">
                  <c:v>0.55731366300018315</c:v>
                </c:pt>
                <c:pt idx="99">
                  <c:v>0.55777026469275226</c:v>
                </c:pt>
                <c:pt idx="100">
                  <c:v>0.55213113049152462</c:v>
                </c:pt>
                <c:pt idx="101">
                  <c:v>0.55190412095598329</c:v>
                </c:pt>
                <c:pt idx="102">
                  <c:v>0.59300992254702223</c:v>
                </c:pt>
                <c:pt idx="103">
                  <c:v>0.59803858917593566</c:v>
                </c:pt>
                <c:pt idx="104">
                  <c:v>0.59118733122289735</c:v>
                </c:pt>
                <c:pt idx="105">
                  <c:v>0.56959639306781595</c:v>
                </c:pt>
                <c:pt idx="106">
                  <c:v>0.57814561350564442</c:v>
                </c:pt>
                <c:pt idx="107">
                  <c:v>0.5848798204360891</c:v>
                </c:pt>
                <c:pt idx="108">
                  <c:v>0.59637234909449321</c:v>
                </c:pt>
                <c:pt idx="109">
                  <c:v>0.55899367030646141</c:v>
                </c:pt>
                <c:pt idx="110">
                  <c:v>0.54758116093163078</c:v>
                </c:pt>
                <c:pt idx="111">
                  <c:v>0.59057994250043944</c:v>
                </c:pt>
                <c:pt idx="112">
                  <c:v>0.59975973551930517</c:v>
                </c:pt>
                <c:pt idx="113">
                  <c:v>0.59975973551930517</c:v>
                </c:pt>
                <c:pt idx="114">
                  <c:v>0.59337785072881388</c:v>
                </c:pt>
                <c:pt idx="115">
                  <c:v>0.56341092444456387</c:v>
                </c:pt>
                <c:pt idx="116">
                  <c:v>0.5691820643311436</c:v>
                </c:pt>
                <c:pt idx="117">
                  <c:v>0.57379664709458955</c:v>
                </c:pt>
                <c:pt idx="118">
                  <c:v>0.58351393039723454</c:v>
                </c:pt>
                <c:pt idx="119">
                  <c:v>0.58190237262907818</c:v>
                </c:pt>
                <c:pt idx="120">
                  <c:v>0.57581146919655168</c:v>
                </c:pt>
                <c:pt idx="121">
                  <c:v>0.59006393956839154</c:v>
                </c:pt>
                <c:pt idx="122">
                  <c:v>0.60179596401440916</c:v>
                </c:pt>
                <c:pt idx="123">
                  <c:v>0.61233293885249906</c:v>
                </c:pt>
                <c:pt idx="124">
                  <c:v>0.59798400584886147</c:v>
                </c:pt>
                <c:pt idx="125">
                  <c:v>0.60093600523024804</c:v>
                </c:pt>
                <c:pt idx="126">
                  <c:v>0.57932592692989104</c:v>
                </c:pt>
                <c:pt idx="127">
                  <c:v>0.6307482954379291</c:v>
                </c:pt>
                <c:pt idx="128">
                  <c:v>0.6307482954379291</c:v>
                </c:pt>
                <c:pt idx="129">
                  <c:v>0.64961800846927764</c:v>
                </c:pt>
                <c:pt idx="130">
                  <c:v>0.6599503160443515</c:v>
                </c:pt>
                <c:pt idx="131">
                  <c:v>0.6394587086359268</c:v>
                </c:pt>
                <c:pt idx="132">
                  <c:v>0.62845297640595943</c:v>
                </c:pt>
                <c:pt idx="133">
                  <c:v>0.62491305446274337</c:v>
                </c:pt>
                <c:pt idx="134">
                  <c:v>0.53346213541677634</c:v>
                </c:pt>
                <c:pt idx="135">
                  <c:v>0.53825477645442421</c:v>
                </c:pt>
                <c:pt idx="136">
                  <c:v>0.53823395966202292</c:v>
                </c:pt>
                <c:pt idx="137">
                  <c:v>0.54238390539641879</c:v>
                </c:pt>
                <c:pt idx="138">
                  <c:v>0.54263758828551689</c:v>
                </c:pt>
                <c:pt idx="139">
                  <c:v>0.54159833459319107</c:v>
                </c:pt>
                <c:pt idx="140">
                  <c:v>0.59875547263464068</c:v>
                </c:pt>
                <c:pt idx="141">
                  <c:v>0.54832944792506022</c:v>
                </c:pt>
                <c:pt idx="142">
                  <c:v>0.54674253484388213</c:v>
                </c:pt>
                <c:pt idx="143">
                  <c:v>0.55304070003302974</c:v>
                </c:pt>
                <c:pt idx="144">
                  <c:v>0.57280827282477331</c:v>
                </c:pt>
                <c:pt idx="145">
                  <c:v>0.56921871434644788</c:v>
                </c:pt>
                <c:pt idx="146">
                  <c:v>0.56932273738819517</c:v>
                </c:pt>
                <c:pt idx="147">
                  <c:v>0.56891764700213676</c:v>
                </c:pt>
                <c:pt idx="148">
                  <c:v>0.57152745285566575</c:v>
                </c:pt>
                <c:pt idx="149">
                  <c:v>0.55290849622586302</c:v>
                </c:pt>
                <c:pt idx="150">
                  <c:v>0.57858348562400941</c:v>
                </c:pt>
                <c:pt idx="151">
                  <c:v>0.5980218288556246</c:v>
                </c:pt>
                <c:pt idx="152">
                  <c:v>0.61275239604573994</c:v>
                </c:pt>
                <c:pt idx="153">
                  <c:v>0.54031946020557742</c:v>
                </c:pt>
                <c:pt idx="154">
                  <c:v>0.54268013047858621</c:v>
                </c:pt>
                <c:pt idx="155">
                  <c:v>0.54819022644166193</c:v>
                </c:pt>
                <c:pt idx="156">
                  <c:v>0.5635929671926958</c:v>
                </c:pt>
                <c:pt idx="157">
                  <c:v>0.55888981697184814</c:v>
                </c:pt>
                <c:pt idx="158">
                  <c:v>0.56277960152270545</c:v>
                </c:pt>
                <c:pt idx="159">
                  <c:v>0.5939415450075054</c:v>
                </c:pt>
                <c:pt idx="160">
                  <c:v>0.61361883635416414</c:v>
                </c:pt>
                <c:pt idx="161">
                  <c:v>0.54732342533267631</c:v>
                </c:pt>
                <c:pt idx="162">
                  <c:v>0.55663774643621433</c:v>
                </c:pt>
                <c:pt idx="163">
                  <c:v>0.57298853532891181</c:v>
                </c:pt>
                <c:pt idx="164">
                  <c:v>0.59931620496792948</c:v>
                </c:pt>
                <c:pt idx="165">
                  <c:v>0.53062998391693728</c:v>
                </c:pt>
                <c:pt idx="166">
                  <c:v>0.53888891614452306</c:v>
                </c:pt>
                <c:pt idx="167">
                  <c:v>0.53849319904170623</c:v>
                </c:pt>
                <c:pt idx="168">
                  <c:v>0.53517249852276172</c:v>
                </c:pt>
                <c:pt idx="169">
                  <c:v>0.53365573134654887</c:v>
                </c:pt>
                <c:pt idx="170">
                  <c:v>0.53933009108996077</c:v>
                </c:pt>
                <c:pt idx="171">
                  <c:v>0.54415286191626022</c:v>
                </c:pt>
                <c:pt idx="172">
                  <c:v>0.55517820823385777</c:v>
                </c:pt>
                <c:pt idx="173">
                  <c:v>0.54194544781564791</c:v>
                </c:pt>
                <c:pt idx="174">
                  <c:v>0.54002316715494281</c:v>
                </c:pt>
                <c:pt idx="175">
                  <c:v>0.5362463163645268</c:v>
                </c:pt>
                <c:pt idx="176">
                  <c:v>0.5401640486034669</c:v>
                </c:pt>
                <c:pt idx="177">
                  <c:v>0.5425385753747628</c:v>
                </c:pt>
                <c:pt idx="178">
                  <c:v>0.53668219852543719</c:v>
                </c:pt>
                <c:pt idx="179">
                  <c:v>0.53431751819253859</c:v>
                </c:pt>
                <c:pt idx="180">
                  <c:v>0.54421463937175785</c:v>
                </c:pt>
                <c:pt idx="181">
                  <c:v>0.54854648656472382</c:v>
                </c:pt>
                <c:pt idx="182">
                  <c:v>0.54039018792441096</c:v>
                </c:pt>
                <c:pt idx="183">
                  <c:v>0.5394770675863676</c:v>
                </c:pt>
                <c:pt idx="184">
                  <c:v>0.5575686609572631</c:v>
                </c:pt>
                <c:pt idx="185">
                  <c:v>0.54425728954396602</c:v>
                </c:pt>
                <c:pt idx="186">
                  <c:v>0.54261154943674517</c:v>
                </c:pt>
                <c:pt idx="187">
                  <c:v>0.54745122895627674</c:v>
                </c:pt>
                <c:pt idx="188">
                  <c:v>0.54738618758713464</c:v>
                </c:pt>
                <c:pt idx="189">
                  <c:v>0.54536636344981426</c:v>
                </c:pt>
                <c:pt idx="190">
                  <c:v>0.54535594416688249</c:v>
                </c:pt>
                <c:pt idx="191">
                  <c:v>0.55897753819808216</c:v>
                </c:pt>
                <c:pt idx="192">
                  <c:v>0.57005081262152135</c:v>
                </c:pt>
                <c:pt idx="193">
                  <c:v>0.56785577585883018</c:v>
                </c:pt>
                <c:pt idx="194">
                  <c:v>0.57681998574031734</c:v>
                </c:pt>
                <c:pt idx="195">
                  <c:v>0.57437898681415123</c:v>
                </c:pt>
                <c:pt idx="196">
                  <c:v>0.58730942005861364</c:v>
                </c:pt>
                <c:pt idx="197">
                  <c:v>0.58284231677029041</c:v>
                </c:pt>
                <c:pt idx="198">
                  <c:v>0.6040544365464704</c:v>
                </c:pt>
                <c:pt idx="199">
                  <c:v>0.5924483010890782</c:v>
                </c:pt>
                <c:pt idx="200">
                  <c:v>0.60988121963449071</c:v>
                </c:pt>
                <c:pt idx="201">
                  <c:v>0.59634160183036289</c:v>
                </c:pt>
                <c:pt idx="202">
                  <c:v>0.59902032589652687</c:v>
                </c:pt>
                <c:pt idx="203">
                  <c:v>0.60320707354917114</c:v>
                </c:pt>
                <c:pt idx="204">
                  <c:v>0.60756887010114669</c:v>
                </c:pt>
                <c:pt idx="205">
                  <c:v>0.60778655073655208</c:v>
                </c:pt>
                <c:pt idx="206">
                  <c:v>0.60283233909442113</c:v>
                </c:pt>
                <c:pt idx="207">
                  <c:v>0.61573757033363641</c:v>
                </c:pt>
                <c:pt idx="208">
                  <c:v>0.61573757033363641</c:v>
                </c:pt>
                <c:pt idx="209">
                  <c:v>0.61586086445274968</c:v>
                </c:pt>
                <c:pt idx="210">
                  <c:v>0.61234702195420043</c:v>
                </c:pt>
                <c:pt idx="211">
                  <c:v>0.62869690053673166</c:v>
                </c:pt>
                <c:pt idx="212">
                  <c:v>0.62320167014154693</c:v>
                </c:pt>
                <c:pt idx="213">
                  <c:v>0.62284920394280774</c:v>
                </c:pt>
                <c:pt idx="214">
                  <c:v>0.6390155757567636</c:v>
                </c:pt>
                <c:pt idx="215">
                  <c:v>0.6390155757567636</c:v>
                </c:pt>
                <c:pt idx="216">
                  <c:v>0.64515770420351148</c:v>
                </c:pt>
                <c:pt idx="217">
                  <c:v>0.66312516173643798</c:v>
                </c:pt>
                <c:pt idx="218">
                  <c:v>0.66559544599270359</c:v>
                </c:pt>
                <c:pt idx="219">
                  <c:v>0.6604140640703825</c:v>
                </c:pt>
                <c:pt idx="220">
                  <c:v>0.65461374107963533</c:v>
                </c:pt>
                <c:pt idx="221">
                  <c:v>0.65461374107963533</c:v>
                </c:pt>
                <c:pt idx="222">
                  <c:v>0.6435096203478744</c:v>
                </c:pt>
                <c:pt idx="223">
                  <c:v>0.62026738592251751</c:v>
                </c:pt>
                <c:pt idx="224">
                  <c:v>0.62026738592251751</c:v>
                </c:pt>
                <c:pt idx="225">
                  <c:v>0.62013134188040719</c:v>
                </c:pt>
                <c:pt idx="226">
                  <c:v>0.61924672168337458</c:v>
                </c:pt>
                <c:pt idx="227">
                  <c:v>0.59272922828426999</c:v>
                </c:pt>
                <c:pt idx="228">
                  <c:v>0.61925609930265868</c:v>
                </c:pt>
                <c:pt idx="229">
                  <c:v>0.57705117098042913</c:v>
                </c:pt>
                <c:pt idx="230">
                  <c:v>0.58204039540645602</c:v>
                </c:pt>
                <c:pt idx="231">
                  <c:v>0.56309713358439417</c:v>
                </c:pt>
                <c:pt idx="232">
                  <c:v>0.55576446276865843</c:v>
                </c:pt>
                <c:pt idx="233">
                  <c:v>0.56321658777789374</c:v>
                </c:pt>
                <c:pt idx="234">
                  <c:v>0.54947539842919624</c:v>
                </c:pt>
                <c:pt idx="235">
                  <c:v>0.57909656148813249</c:v>
                </c:pt>
                <c:pt idx="236">
                  <c:v>0.56119041273743908</c:v>
                </c:pt>
                <c:pt idx="237">
                  <c:v>0.56720566839598952</c:v>
                </c:pt>
                <c:pt idx="238">
                  <c:v>0.58846798695085745</c:v>
                </c:pt>
                <c:pt idx="239">
                  <c:v>0.58846798695085745</c:v>
                </c:pt>
                <c:pt idx="240">
                  <c:v>0.6103255068859208</c:v>
                </c:pt>
                <c:pt idx="241">
                  <c:v>0.60768287289205014</c:v>
                </c:pt>
                <c:pt idx="242">
                  <c:v>0.6101261580125027</c:v>
                </c:pt>
                <c:pt idx="243">
                  <c:v>0.60719857237301267</c:v>
                </c:pt>
                <c:pt idx="244">
                  <c:v>0.59515704645362111</c:v>
                </c:pt>
                <c:pt idx="245">
                  <c:v>0.59794955020652651</c:v>
                </c:pt>
                <c:pt idx="246">
                  <c:v>0.58997825535414727</c:v>
                </c:pt>
                <c:pt idx="247">
                  <c:v>0.57319493864338922</c:v>
                </c:pt>
                <c:pt idx="248">
                  <c:v>0.55039615472489156</c:v>
                </c:pt>
                <c:pt idx="249">
                  <c:v>0.55728302148579667</c:v>
                </c:pt>
                <c:pt idx="250">
                  <c:v>0.55439802988556863</c:v>
                </c:pt>
                <c:pt idx="251">
                  <c:v>0.56478700910719426</c:v>
                </c:pt>
                <c:pt idx="252">
                  <c:v>0.59593786198025922</c:v>
                </c:pt>
                <c:pt idx="253">
                  <c:v>0.59482707732838358</c:v>
                </c:pt>
                <c:pt idx="254">
                  <c:v>0.56558428715488718</c:v>
                </c:pt>
                <c:pt idx="255">
                  <c:v>0.56826829160239523</c:v>
                </c:pt>
                <c:pt idx="256">
                  <c:v>0.57012028187823782</c:v>
                </c:pt>
                <c:pt idx="257">
                  <c:v>0.56459737925553533</c:v>
                </c:pt>
                <c:pt idx="258">
                  <c:v>0.58336371042862378</c:v>
                </c:pt>
                <c:pt idx="259">
                  <c:v>0.57669649829998204</c:v>
                </c:pt>
                <c:pt idx="260">
                  <c:v>0.61365884356319489</c:v>
                </c:pt>
                <c:pt idx="261">
                  <c:v>0.61365884356319489</c:v>
                </c:pt>
                <c:pt idx="262">
                  <c:v>0.58999814014817742</c:v>
                </c:pt>
                <c:pt idx="263">
                  <c:v>0.59016096509188265</c:v>
                </c:pt>
                <c:pt idx="264">
                  <c:v>0.59953524123006063</c:v>
                </c:pt>
                <c:pt idx="265">
                  <c:v>0.59953524123006063</c:v>
                </c:pt>
                <c:pt idx="266">
                  <c:v>0.60520841741916775</c:v>
                </c:pt>
                <c:pt idx="267">
                  <c:v>0.62029821138530683</c:v>
                </c:pt>
                <c:pt idx="268">
                  <c:v>0.53478708781114848</c:v>
                </c:pt>
                <c:pt idx="269">
                  <c:v>0.54415286191626022</c:v>
                </c:pt>
                <c:pt idx="270">
                  <c:v>0.54448891157175527</c:v>
                </c:pt>
                <c:pt idx="271">
                  <c:v>0.54818741074580479</c:v>
                </c:pt>
                <c:pt idx="272">
                  <c:v>0.54485747364180126</c:v>
                </c:pt>
                <c:pt idx="273">
                  <c:v>0.54083768850973313</c:v>
                </c:pt>
                <c:pt idx="274">
                  <c:v>0.54107321924297591</c:v>
                </c:pt>
                <c:pt idx="275">
                  <c:v>0.54456802442043273</c:v>
                </c:pt>
                <c:pt idx="276">
                  <c:v>0.54747888952745449</c:v>
                </c:pt>
                <c:pt idx="277">
                  <c:v>0.53974487533892868</c:v>
                </c:pt>
                <c:pt idx="278">
                  <c:v>0.54196932495229189</c:v>
                </c:pt>
                <c:pt idx="279">
                  <c:v>0.55027741354985416</c:v>
                </c:pt>
                <c:pt idx="280">
                  <c:v>0.54525743362966039</c:v>
                </c:pt>
                <c:pt idx="281">
                  <c:v>0.54569338336672368</c:v>
                </c:pt>
                <c:pt idx="282">
                  <c:v>0.53611652182432878</c:v>
                </c:pt>
                <c:pt idx="283">
                  <c:v>0.56559862870603317</c:v>
                </c:pt>
                <c:pt idx="284">
                  <c:v>0.58781257498383588</c:v>
                </c:pt>
                <c:pt idx="285">
                  <c:v>0.58508483130346722</c:v>
                </c:pt>
                <c:pt idx="286">
                  <c:v>0.5804320555189757</c:v>
                </c:pt>
                <c:pt idx="287">
                  <c:v>0.60354425208776974</c:v>
                </c:pt>
                <c:pt idx="288">
                  <c:v>0.60914104165899896</c:v>
                </c:pt>
                <c:pt idx="289">
                  <c:v>0.59175424548555211</c:v>
                </c:pt>
                <c:pt idx="290">
                  <c:v>0.6059144648129513</c:v>
                </c:pt>
                <c:pt idx="291">
                  <c:v>0.60291381812588118</c:v>
                </c:pt>
                <c:pt idx="292">
                  <c:v>0.66312516173643798</c:v>
                </c:pt>
                <c:pt idx="293">
                  <c:v>0.62026738592251751</c:v>
                </c:pt>
                <c:pt idx="294">
                  <c:v>0.61924672168337458</c:v>
                </c:pt>
                <c:pt idx="295">
                  <c:v>0.54450559117628006</c:v>
                </c:pt>
                <c:pt idx="296">
                  <c:v>0.55011351850648238</c:v>
                </c:pt>
                <c:pt idx="297">
                  <c:v>0.56412851973019995</c:v>
                </c:pt>
                <c:pt idx="298">
                  <c:v>0.56355247536823094</c:v>
                </c:pt>
                <c:pt idx="299">
                  <c:v>0.56054211593637238</c:v>
                </c:pt>
                <c:pt idx="300">
                  <c:v>0.57375184421643699</c:v>
                </c:pt>
                <c:pt idx="301">
                  <c:v>0.5469863613480852</c:v>
                </c:pt>
                <c:pt idx="302">
                  <c:v>0.5521450056712196</c:v>
                </c:pt>
                <c:pt idx="303">
                  <c:v>0.5626729230673333</c:v>
                </c:pt>
                <c:pt idx="304">
                  <c:v>0.59068581834357947</c:v>
                </c:pt>
                <c:pt idx="305">
                  <c:v>0.57147953722224909</c:v>
                </c:pt>
                <c:pt idx="306">
                  <c:v>0.56499870451869239</c:v>
                </c:pt>
                <c:pt idx="307">
                  <c:v>0.55730003536658179</c:v>
                </c:pt>
                <c:pt idx="308">
                  <c:v>0.5580004096848139</c:v>
                </c:pt>
                <c:pt idx="309">
                  <c:v>0.55388710332471092</c:v>
                </c:pt>
                <c:pt idx="310">
                  <c:v>0.55626616983937538</c:v>
                </c:pt>
                <c:pt idx="311">
                  <c:v>0.56515864115173087</c:v>
                </c:pt>
                <c:pt idx="312">
                  <c:v>0.58226051995475947</c:v>
                </c:pt>
                <c:pt idx="313">
                  <c:v>0.577211783962162</c:v>
                </c:pt>
                <c:pt idx="314">
                  <c:v>0.53849319904170623</c:v>
                </c:pt>
                <c:pt idx="315">
                  <c:v>0.53600585854102301</c:v>
                </c:pt>
                <c:pt idx="316">
                  <c:v>0.53600585854102301</c:v>
                </c:pt>
                <c:pt idx="317">
                  <c:v>0.54030952244091957</c:v>
                </c:pt>
                <c:pt idx="318">
                  <c:v>0.53982297758014253</c:v>
                </c:pt>
                <c:pt idx="319">
                  <c:v>0.53982297758014253</c:v>
                </c:pt>
                <c:pt idx="320">
                  <c:v>0.54183420899244039</c:v>
                </c:pt>
                <c:pt idx="321">
                  <c:v>0.54184395463255053</c:v>
                </c:pt>
                <c:pt idx="322">
                  <c:v>0.54184395463255053</c:v>
                </c:pt>
                <c:pt idx="323">
                  <c:v>0.53590597076006186</c:v>
                </c:pt>
                <c:pt idx="324">
                  <c:v>0.53676896272068653</c:v>
                </c:pt>
                <c:pt idx="325">
                  <c:v>0.53676896272068653</c:v>
                </c:pt>
                <c:pt idx="326">
                  <c:v>0.55321800746951477</c:v>
                </c:pt>
                <c:pt idx="327">
                  <c:v>0.55321800746951477</c:v>
                </c:pt>
                <c:pt idx="328">
                  <c:v>0.5374276723390996</c:v>
                </c:pt>
                <c:pt idx="329">
                  <c:v>0.5374276723390996</c:v>
                </c:pt>
                <c:pt idx="330">
                  <c:v>0.5374276723390996</c:v>
                </c:pt>
                <c:pt idx="331">
                  <c:v>0.54057010444628617</c:v>
                </c:pt>
                <c:pt idx="332">
                  <c:v>0.54057010444628617</c:v>
                </c:pt>
                <c:pt idx="333">
                  <c:v>0.54057010444628617</c:v>
                </c:pt>
                <c:pt idx="334">
                  <c:v>0.53914629415759552</c:v>
                </c:pt>
                <c:pt idx="335">
                  <c:v>0.53914629415759552</c:v>
                </c:pt>
                <c:pt idx="336">
                  <c:v>0.54662852911600357</c:v>
                </c:pt>
                <c:pt idx="337">
                  <c:v>0.54662852911600357</c:v>
                </c:pt>
                <c:pt idx="338">
                  <c:v>0.54662852911600357</c:v>
                </c:pt>
                <c:pt idx="339">
                  <c:v>0.5426355617803853</c:v>
                </c:pt>
                <c:pt idx="340">
                  <c:v>0.54251622776333575</c:v>
                </c:pt>
                <c:pt idx="341">
                  <c:v>0.5447538055761163</c:v>
                </c:pt>
                <c:pt idx="342">
                  <c:v>0.54445610776901676</c:v>
                </c:pt>
                <c:pt idx="343">
                  <c:v>0.60383836903383259</c:v>
                </c:pt>
                <c:pt idx="344">
                  <c:v>0.60383836903383259</c:v>
                </c:pt>
                <c:pt idx="345">
                  <c:v>0.60383836903383259</c:v>
                </c:pt>
                <c:pt idx="346">
                  <c:v>0.64481984485004729</c:v>
                </c:pt>
                <c:pt idx="347">
                  <c:v>0.64481984485004729</c:v>
                </c:pt>
                <c:pt idx="348">
                  <c:v>0.64481984485004729</c:v>
                </c:pt>
                <c:pt idx="349">
                  <c:v>0.62376351857854095</c:v>
                </c:pt>
                <c:pt idx="350">
                  <c:v>0.62381210872618809</c:v>
                </c:pt>
                <c:pt idx="351">
                  <c:v>0.62381210872618809</c:v>
                </c:pt>
                <c:pt idx="352">
                  <c:v>0.57733738673436319</c:v>
                </c:pt>
                <c:pt idx="353">
                  <c:v>0.5764058293789649</c:v>
                </c:pt>
                <c:pt idx="354">
                  <c:v>0.56941560646773115</c:v>
                </c:pt>
                <c:pt idx="355">
                  <c:v>0.56941560646773115</c:v>
                </c:pt>
                <c:pt idx="356">
                  <c:v>0.56941560646773115</c:v>
                </c:pt>
                <c:pt idx="357">
                  <c:v>0.56957586835120322</c:v>
                </c:pt>
                <c:pt idx="358">
                  <c:v>0.55815163424912928</c:v>
                </c:pt>
                <c:pt idx="359">
                  <c:v>0.55803459350063023</c:v>
                </c:pt>
                <c:pt idx="360">
                  <c:v>0.55803459350063023</c:v>
                </c:pt>
                <c:pt idx="361">
                  <c:v>0.55165301386568322</c:v>
                </c:pt>
                <c:pt idx="362">
                  <c:v>0.55161326758971174</c:v>
                </c:pt>
                <c:pt idx="363">
                  <c:v>0.55161326758971174</c:v>
                </c:pt>
                <c:pt idx="364">
                  <c:v>0.55194996459878498</c:v>
                </c:pt>
                <c:pt idx="365">
                  <c:v>0.55194996459878498</c:v>
                </c:pt>
                <c:pt idx="366">
                  <c:v>0.55194996459878498</c:v>
                </c:pt>
                <c:pt idx="367">
                  <c:v>0.55205211161480694</c:v>
                </c:pt>
                <c:pt idx="368">
                  <c:v>0.55575937579472034</c:v>
                </c:pt>
                <c:pt idx="369">
                  <c:v>0.55575937579472034</c:v>
                </c:pt>
                <c:pt idx="370">
                  <c:v>0.55575937579472034</c:v>
                </c:pt>
                <c:pt idx="371">
                  <c:v>0.56429790995829587</c:v>
                </c:pt>
                <c:pt idx="372">
                  <c:v>0.56489102810555258</c:v>
                </c:pt>
                <c:pt idx="373">
                  <c:v>0.56489102810555258</c:v>
                </c:pt>
                <c:pt idx="374">
                  <c:v>0.56955813579627745</c:v>
                </c:pt>
                <c:pt idx="375">
                  <c:v>0.56955813579627745</c:v>
                </c:pt>
                <c:pt idx="376">
                  <c:v>0.56955813579627745</c:v>
                </c:pt>
                <c:pt idx="377">
                  <c:v>0.5688071197293183</c:v>
                </c:pt>
                <c:pt idx="378">
                  <c:v>0.5688071197293183</c:v>
                </c:pt>
                <c:pt idx="379">
                  <c:v>0.57700250202533454</c:v>
                </c:pt>
                <c:pt idx="380">
                  <c:v>0.57700250202533454</c:v>
                </c:pt>
                <c:pt idx="381">
                  <c:v>0.57700250202533454</c:v>
                </c:pt>
                <c:pt idx="382">
                  <c:v>0.57682246365449885</c:v>
                </c:pt>
                <c:pt idx="383">
                  <c:v>0.54474343346634813</c:v>
                </c:pt>
                <c:pt idx="384">
                  <c:v>0.54477057295221176</c:v>
                </c:pt>
                <c:pt idx="385">
                  <c:v>0.54857573358587852</c:v>
                </c:pt>
                <c:pt idx="386">
                  <c:v>0.54831376227116491</c:v>
                </c:pt>
                <c:pt idx="387">
                  <c:v>0.63703332280796865</c:v>
                </c:pt>
                <c:pt idx="388">
                  <c:v>0.63703332280796865</c:v>
                </c:pt>
                <c:pt idx="389">
                  <c:v>0.5715092371395053</c:v>
                </c:pt>
                <c:pt idx="390">
                  <c:v>0.5715092371395053</c:v>
                </c:pt>
                <c:pt idx="391">
                  <c:v>0.55275050109377077</c:v>
                </c:pt>
                <c:pt idx="392">
                  <c:v>0.55275050109377077</c:v>
                </c:pt>
                <c:pt idx="393">
                  <c:v>0.55275050109377077</c:v>
                </c:pt>
                <c:pt idx="394">
                  <c:v>0.56858897310138923</c:v>
                </c:pt>
                <c:pt idx="395">
                  <c:v>0.55400759629182283</c:v>
                </c:pt>
                <c:pt idx="396">
                  <c:v>0.55400759629182283</c:v>
                </c:pt>
                <c:pt idx="397">
                  <c:v>0.59561347448624558</c:v>
                </c:pt>
                <c:pt idx="398">
                  <c:v>0.59561347448624558</c:v>
                </c:pt>
                <c:pt idx="399">
                  <c:v>0.52916220499818856</c:v>
                </c:pt>
                <c:pt idx="400">
                  <c:v>0.53716308158035764</c:v>
                </c:pt>
                <c:pt idx="401">
                  <c:v>0.53862507729791742</c:v>
                </c:pt>
                <c:pt idx="402">
                  <c:v>0.53440207036874499</c:v>
                </c:pt>
                <c:pt idx="403">
                  <c:v>0.53184739568499906</c:v>
                </c:pt>
                <c:pt idx="404">
                  <c:v>0.54111151184285844</c:v>
                </c:pt>
                <c:pt idx="405">
                  <c:v>0.53896677447987063</c:v>
                </c:pt>
                <c:pt idx="406">
                  <c:v>0.54405021145436994</c:v>
                </c:pt>
                <c:pt idx="407">
                  <c:v>0.53580893528226148</c:v>
                </c:pt>
                <c:pt idx="408">
                  <c:v>0.55583512715185301</c:v>
                </c:pt>
                <c:pt idx="409">
                  <c:v>0.53567181989404111</c:v>
                </c:pt>
                <c:pt idx="410">
                  <c:v>0.5470998710328947</c:v>
                </c:pt>
                <c:pt idx="411">
                  <c:v>0.54366777000194522</c:v>
                </c:pt>
                <c:pt idx="412">
                  <c:v>0.54853698708076648</c:v>
                </c:pt>
                <c:pt idx="413">
                  <c:v>0.54498914910536478</c:v>
                </c:pt>
                <c:pt idx="414">
                  <c:v>0.54401041989589083</c:v>
                </c:pt>
                <c:pt idx="415">
                  <c:v>0.56414214748188241</c:v>
                </c:pt>
                <c:pt idx="416">
                  <c:v>0.54475357463426521</c:v>
                </c:pt>
                <c:pt idx="417">
                  <c:v>0.57834760042992051</c:v>
                </c:pt>
                <c:pt idx="418">
                  <c:v>0.55779517609571994</c:v>
                </c:pt>
                <c:pt idx="419">
                  <c:v>0.58957681447797761</c:v>
                </c:pt>
                <c:pt idx="420">
                  <c:v>0.60060429015384131</c:v>
                </c:pt>
                <c:pt idx="421">
                  <c:v>0.61192875703664873</c:v>
                </c:pt>
                <c:pt idx="422">
                  <c:v>0.55812743879903726</c:v>
                </c:pt>
                <c:pt idx="423">
                  <c:v>0.55197065736942874</c:v>
                </c:pt>
                <c:pt idx="424">
                  <c:v>0.56269078064063194</c:v>
                </c:pt>
                <c:pt idx="425">
                  <c:v>0.56043969856715425</c:v>
                </c:pt>
                <c:pt idx="426">
                  <c:v>0.58889581546035696</c:v>
                </c:pt>
                <c:pt idx="427">
                  <c:v>0.57504365086989129</c:v>
                </c:pt>
                <c:pt idx="428">
                  <c:v>0.5758784292429453</c:v>
                </c:pt>
                <c:pt idx="429">
                  <c:v>0.58295043309429251</c:v>
                </c:pt>
                <c:pt idx="430">
                  <c:v>0.54756236373773315</c:v>
                </c:pt>
                <c:pt idx="431">
                  <c:v>0.54470615032711567</c:v>
                </c:pt>
                <c:pt idx="432">
                  <c:v>0.54017509040256917</c:v>
                </c:pt>
                <c:pt idx="433">
                  <c:v>0.5463469445538941</c:v>
                </c:pt>
                <c:pt idx="434">
                  <c:v>0.54120477047527127</c:v>
                </c:pt>
                <c:pt idx="435">
                  <c:v>0.54278113963621211</c:v>
                </c:pt>
                <c:pt idx="436">
                  <c:v>0.54119672000767727</c:v>
                </c:pt>
                <c:pt idx="437">
                  <c:v>0.54389748193560228</c:v>
                </c:pt>
                <c:pt idx="438">
                  <c:v>0.54026948276845999</c:v>
                </c:pt>
                <c:pt idx="439">
                  <c:v>0.55038241842995206</c:v>
                </c:pt>
                <c:pt idx="440">
                  <c:v>0.55036194464051114</c:v>
                </c:pt>
                <c:pt idx="441">
                  <c:v>0.55778560663313215</c:v>
                </c:pt>
                <c:pt idx="442">
                  <c:v>0.55974406291858969</c:v>
                </c:pt>
                <c:pt idx="443">
                  <c:v>0.56863813353655157</c:v>
                </c:pt>
                <c:pt idx="444">
                  <c:v>0.56567875605344831</c:v>
                </c:pt>
                <c:pt idx="445">
                  <c:v>0.56229992979976362</c:v>
                </c:pt>
                <c:pt idx="446">
                  <c:v>0.57637714301465404</c:v>
                </c:pt>
                <c:pt idx="447">
                  <c:v>0.57522349351131352</c:v>
                </c:pt>
                <c:pt idx="448">
                  <c:v>0.57637163266558911</c:v>
                </c:pt>
                <c:pt idx="449">
                  <c:v>0.58894376057797737</c:v>
                </c:pt>
                <c:pt idx="450">
                  <c:v>0.58763754405681712</c:v>
                </c:pt>
                <c:pt idx="451">
                  <c:v>0.58296092968923663</c:v>
                </c:pt>
                <c:pt idx="452">
                  <c:v>0.58079592377808154</c:v>
                </c:pt>
                <c:pt idx="453">
                  <c:v>0.60367532361871912</c:v>
                </c:pt>
                <c:pt idx="454">
                  <c:v>0.59305924320963077</c:v>
                </c:pt>
                <c:pt idx="455">
                  <c:v>0.60934222556035111</c:v>
                </c:pt>
                <c:pt idx="456">
                  <c:v>0.59752390606324857</c:v>
                </c:pt>
                <c:pt idx="457">
                  <c:v>0.61580598755576044</c:v>
                </c:pt>
                <c:pt idx="458">
                  <c:v>0.61580598755576044</c:v>
                </c:pt>
                <c:pt idx="459">
                  <c:v>0.59162099584402494</c:v>
                </c:pt>
                <c:pt idx="460">
                  <c:v>0.59937064106685689</c:v>
                </c:pt>
                <c:pt idx="461">
                  <c:v>0.60693350086755482</c:v>
                </c:pt>
                <c:pt idx="462">
                  <c:v>0.61580213437604958</c:v>
                </c:pt>
                <c:pt idx="463">
                  <c:v>0.60886236315681641</c:v>
                </c:pt>
                <c:pt idx="464">
                  <c:v>0.61282562814105057</c:v>
                </c:pt>
                <c:pt idx="465">
                  <c:v>0.6022156717950613</c:v>
                </c:pt>
                <c:pt idx="466">
                  <c:v>0.62172971237531105</c:v>
                </c:pt>
                <c:pt idx="467">
                  <c:v>0.62172971237531105</c:v>
                </c:pt>
                <c:pt idx="468">
                  <c:v>0.61319035117436238</c:v>
                </c:pt>
                <c:pt idx="469">
                  <c:v>0.62891152113556148</c:v>
                </c:pt>
                <c:pt idx="470">
                  <c:v>0.62891152113556148</c:v>
                </c:pt>
                <c:pt idx="471">
                  <c:v>0.62599032678886757</c:v>
                </c:pt>
                <c:pt idx="472">
                  <c:v>0.63247563456706035</c:v>
                </c:pt>
                <c:pt idx="473">
                  <c:v>0.62954540440547346</c:v>
                </c:pt>
                <c:pt idx="474">
                  <c:v>0.62991426370752579</c:v>
                </c:pt>
                <c:pt idx="475">
                  <c:v>0.62489998089783927</c:v>
                </c:pt>
                <c:pt idx="476">
                  <c:v>0.64145617940193422</c:v>
                </c:pt>
                <c:pt idx="477">
                  <c:v>0.54168160942748622</c:v>
                </c:pt>
                <c:pt idx="478">
                  <c:v>0.54105740986998041</c:v>
                </c:pt>
                <c:pt idx="479">
                  <c:v>0.54520793636607257</c:v>
                </c:pt>
                <c:pt idx="480">
                  <c:v>0.55267253219087353</c:v>
                </c:pt>
                <c:pt idx="481">
                  <c:v>0.54704863524524405</c:v>
                </c:pt>
                <c:pt idx="482">
                  <c:v>0.54794731416787301</c:v>
                </c:pt>
                <c:pt idx="483">
                  <c:v>0.54305128648671031</c:v>
                </c:pt>
                <c:pt idx="484">
                  <c:v>0.54429318674992933</c:v>
                </c:pt>
                <c:pt idx="485">
                  <c:v>0.5377269544404305</c:v>
                </c:pt>
                <c:pt idx="486">
                  <c:v>0.54802244182690329</c:v>
                </c:pt>
                <c:pt idx="487">
                  <c:v>0.54715201989561135</c:v>
                </c:pt>
                <c:pt idx="488">
                  <c:v>0.54761195602691615</c:v>
                </c:pt>
                <c:pt idx="489">
                  <c:v>0.56371574223442822</c:v>
                </c:pt>
                <c:pt idx="490">
                  <c:v>0.5585831769759414</c:v>
                </c:pt>
                <c:pt idx="491">
                  <c:v>0.58830503304738435</c:v>
                </c:pt>
                <c:pt idx="492">
                  <c:v>0.56045605051109615</c:v>
                </c:pt>
                <c:pt idx="493">
                  <c:v>0.5684498143791874</c:v>
                </c:pt>
                <c:pt idx="494">
                  <c:v>0.55578924349855185</c:v>
                </c:pt>
                <c:pt idx="495">
                  <c:v>0.57258247803102502</c:v>
                </c:pt>
                <c:pt idx="496">
                  <c:v>0.55258522614330041</c:v>
                </c:pt>
                <c:pt idx="497">
                  <c:v>0.58546196133861395</c:v>
                </c:pt>
                <c:pt idx="498">
                  <c:v>0.58546196133861395</c:v>
                </c:pt>
                <c:pt idx="499">
                  <c:v>0.60664957361895067</c:v>
                </c:pt>
                <c:pt idx="500">
                  <c:v>0.60664957361895067</c:v>
                </c:pt>
                <c:pt idx="501">
                  <c:v>0.56261011499618041</c:v>
                </c:pt>
                <c:pt idx="502">
                  <c:v>0.56673590368945148</c:v>
                </c:pt>
                <c:pt idx="503">
                  <c:v>0.56890756814921717</c:v>
                </c:pt>
                <c:pt idx="504">
                  <c:v>0.56486522276811701</c:v>
                </c:pt>
                <c:pt idx="505">
                  <c:v>0.56486522276811701</c:v>
                </c:pt>
                <c:pt idx="506">
                  <c:v>0.56737979312101916</c:v>
                </c:pt>
                <c:pt idx="507">
                  <c:v>0.55665094121672298</c:v>
                </c:pt>
                <c:pt idx="508">
                  <c:v>0.57777124265740165</c:v>
                </c:pt>
                <c:pt idx="509">
                  <c:v>0.57202009913840213</c:v>
                </c:pt>
                <c:pt idx="510">
                  <c:v>0.55598725455606446</c:v>
                </c:pt>
                <c:pt idx="511">
                  <c:v>0.55755836317075558</c:v>
                </c:pt>
                <c:pt idx="512">
                  <c:v>0.55755836317075558</c:v>
                </c:pt>
                <c:pt idx="513">
                  <c:v>0.55191145024444233</c:v>
                </c:pt>
                <c:pt idx="514">
                  <c:v>0.55984884461304718</c:v>
                </c:pt>
                <c:pt idx="515">
                  <c:v>0.59472542037733211</c:v>
                </c:pt>
                <c:pt idx="516">
                  <c:v>0.59472542037733211</c:v>
                </c:pt>
                <c:pt idx="517">
                  <c:v>0.55770632106016116</c:v>
                </c:pt>
                <c:pt idx="518">
                  <c:v>0.59037048462836261</c:v>
                </c:pt>
                <c:pt idx="519">
                  <c:v>0.58148391472446093</c:v>
                </c:pt>
                <c:pt idx="520">
                  <c:v>0.59507528962282485</c:v>
                </c:pt>
                <c:pt idx="521">
                  <c:v>0.59507528962282485</c:v>
                </c:pt>
                <c:pt idx="522">
                  <c:v>0.60026444109242927</c:v>
                </c:pt>
                <c:pt idx="523">
                  <c:v>0.60026444109242927</c:v>
                </c:pt>
                <c:pt idx="524">
                  <c:v>0.60026444109242927</c:v>
                </c:pt>
                <c:pt idx="525">
                  <c:v>0.59967098077664216</c:v>
                </c:pt>
                <c:pt idx="526">
                  <c:v>0.59967098077664216</c:v>
                </c:pt>
                <c:pt idx="527">
                  <c:v>0.61416302096136077</c:v>
                </c:pt>
                <c:pt idx="528">
                  <c:v>0.61416302096136077</c:v>
                </c:pt>
                <c:pt idx="529">
                  <c:v>0.59065657039761732</c:v>
                </c:pt>
                <c:pt idx="530">
                  <c:v>0.5620030624844562</c:v>
                </c:pt>
                <c:pt idx="531">
                  <c:v>0.60953859618656503</c:v>
                </c:pt>
                <c:pt idx="532">
                  <c:v>0.61674759954993419</c:v>
                </c:pt>
                <c:pt idx="533">
                  <c:v>0.61674759954993419</c:v>
                </c:pt>
                <c:pt idx="534">
                  <c:v>0.53861766787453136</c:v>
                </c:pt>
                <c:pt idx="535">
                  <c:v>0.53430911670027015</c:v>
                </c:pt>
                <c:pt idx="536">
                  <c:v>0.54406930382040575</c:v>
                </c:pt>
                <c:pt idx="537">
                  <c:v>0.54119488568164442</c:v>
                </c:pt>
                <c:pt idx="538">
                  <c:v>0.53588561004145063</c:v>
                </c:pt>
                <c:pt idx="539">
                  <c:v>0.54390276239407009</c:v>
                </c:pt>
                <c:pt idx="540">
                  <c:v>0.54085130999786679</c:v>
                </c:pt>
                <c:pt idx="541">
                  <c:v>0.53837902482028166</c:v>
                </c:pt>
                <c:pt idx="542">
                  <c:v>0.61537233690881965</c:v>
                </c:pt>
                <c:pt idx="543">
                  <c:v>0.54486230253258061</c:v>
                </c:pt>
                <c:pt idx="544">
                  <c:v>0.54753973789992993</c:v>
                </c:pt>
                <c:pt idx="545">
                  <c:v>0.55348353561811103</c:v>
                </c:pt>
                <c:pt idx="546">
                  <c:v>0.55310380265929915</c:v>
                </c:pt>
                <c:pt idx="547">
                  <c:v>0.56904271402881856</c:v>
                </c:pt>
                <c:pt idx="548">
                  <c:v>0.5557613638115616</c:v>
                </c:pt>
                <c:pt idx="549">
                  <c:v>0.55981315803518894</c:v>
                </c:pt>
                <c:pt idx="550">
                  <c:v>0.56857745070813237</c:v>
                </c:pt>
                <c:pt idx="551">
                  <c:v>0.56505292457103129</c:v>
                </c:pt>
                <c:pt idx="552">
                  <c:v>0.55655949163495577</c:v>
                </c:pt>
                <c:pt idx="553">
                  <c:v>0.55895507425047153</c:v>
                </c:pt>
                <c:pt idx="554">
                  <c:v>0.53763421239035014</c:v>
                </c:pt>
                <c:pt idx="555">
                  <c:v>0.58283240108016177</c:v>
                </c:pt>
                <c:pt idx="556">
                  <c:v>0.58318615117445805</c:v>
                </c:pt>
                <c:pt idx="557">
                  <c:v>0.58283240108016177</c:v>
                </c:pt>
                <c:pt idx="558">
                  <c:v>0.58283240108016177</c:v>
                </c:pt>
                <c:pt idx="559">
                  <c:v>0.57953434351915312</c:v>
                </c:pt>
                <c:pt idx="560">
                  <c:v>0.52885620052546045</c:v>
                </c:pt>
                <c:pt idx="561">
                  <c:v>0.54748818770769025</c:v>
                </c:pt>
                <c:pt idx="562">
                  <c:v>0.55005462537148586</c:v>
                </c:pt>
                <c:pt idx="563">
                  <c:v>0.54623037889977855</c:v>
                </c:pt>
                <c:pt idx="564">
                  <c:v>0.59823994313851447</c:v>
                </c:pt>
                <c:pt idx="565">
                  <c:v>0.5747942859975369</c:v>
                </c:pt>
                <c:pt idx="566">
                  <c:v>0.58037299775896056</c:v>
                </c:pt>
                <c:pt idx="567">
                  <c:v>0.57461938838996374</c:v>
                </c:pt>
                <c:pt idx="568">
                  <c:v>0.56601284154780707</c:v>
                </c:pt>
                <c:pt idx="569">
                  <c:v>0.56564817028121273</c:v>
                </c:pt>
                <c:pt idx="570">
                  <c:v>0.562971234754302</c:v>
                </c:pt>
                <c:pt idx="571">
                  <c:v>0.5733301950662022</c:v>
                </c:pt>
                <c:pt idx="572">
                  <c:v>0.56699295298379582</c:v>
                </c:pt>
                <c:pt idx="573">
                  <c:v>0.56788929807393218</c:v>
                </c:pt>
                <c:pt idx="574">
                  <c:v>0.54723447811534009</c:v>
                </c:pt>
                <c:pt idx="575">
                  <c:v>0.54376445212670554</c:v>
                </c:pt>
                <c:pt idx="576">
                  <c:v>0.5487108882901901</c:v>
                </c:pt>
                <c:pt idx="577">
                  <c:v>0.5487108882901901</c:v>
                </c:pt>
                <c:pt idx="578">
                  <c:v>0.55203260382321562</c:v>
                </c:pt>
                <c:pt idx="579">
                  <c:v>0.55321043465485076</c:v>
                </c:pt>
                <c:pt idx="580">
                  <c:v>0.58899476455940569</c:v>
                </c:pt>
                <c:pt idx="581">
                  <c:v>0.57695767483761207</c:v>
                </c:pt>
                <c:pt idx="582">
                  <c:v>0.53038526676473263</c:v>
                </c:pt>
                <c:pt idx="583">
                  <c:v>0.53496701284012582</c:v>
                </c:pt>
                <c:pt idx="584">
                  <c:v>0.53496701284012582</c:v>
                </c:pt>
                <c:pt idx="585">
                  <c:v>0.53496701284012582</c:v>
                </c:pt>
                <c:pt idx="586">
                  <c:v>0.58814049199884533</c:v>
                </c:pt>
                <c:pt idx="587">
                  <c:v>0.52900593962852116</c:v>
                </c:pt>
                <c:pt idx="588">
                  <c:v>0.5359372332996567</c:v>
                </c:pt>
                <c:pt idx="589">
                  <c:v>0.53470473228064708</c:v>
                </c:pt>
                <c:pt idx="590">
                  <c:v>0.54382814601195251</c:v>
                </c:pt>
                <c:pt idx="591">
                  <c:v>0.55579319951009842</c:v>
                </c:pt>
                <c:pt idx="592">
                  <c:v>0.56055262020224539</c:v>
                </c:pt>
                <c:pt idx="593">
                  <c:v>0.5418933745982325</c:v>
                </c:pt>
                <c:pt idx="594">
                  <c:v>0.55903392568901067</c:v>
                </c:pt>
                <c:pt idx="595">
                  <c:v>0.57102673149230077</c:v>
                </c:pt>
                <c:pt idx="596">
                  <c:v>0.58333252309267869</c:v>
                </c:pt>
                <c:pt idx="597">
                  <c:v>0.56566544658969686</c:v>
                </c:pt>
                <c:pt idx="598">
                  <c:v>0.55553489324360317</c:v>
                </c:pt>
                <c:pt idx="599">
                  <c:v>0.56266254520578984</c:v>
                </c:pt>
                <c:pt idx="600">
                  <c:v>0.55187584717407512</c:v>
                </c:pt>
                <c:pt idx="601">
                  <c:v>0.58948421673059115</c:v>
                </c:pt>
                <c:pt idx="602">
                  <c:v>0.55151624551856826</c:v>
                </c:pt>
                <c:pt idx="603">
                  <c:v>0.54858639568221568</c:v>
                </c:pt>
                <c:pt idx="604">
                  <c:v>0.54278552690515436</c:v>
                </c:pt>
                <c:pt idx="605">
                  <c:v>0.54109250064332748</c:v>
                </c:pt>
                <c:pt idx="606">
                  <c:v>0.54673299486250293</c:v>
                </c:pt>
                <c:pt idx="607">
                  <c:v>0.54989589587644139</c:v>
                </c:pt>
                <c:pt idx="608">
                  <c:v>0.54732100661426786</c:v>
                </c:pt>
                <c:pt idx="609">
                  <c:v>0.54431834888531738</c:v>
                </c:pt>
                <c:pt idx="610">
                  <c:v>0.54329480836113497</c:v>
                </c:pt>
                <c:pt idx="611">
                  <c:v>0.54500996143822278</c:v>
                </c:pt>
                <c:pt idx="612">
                  <c:v>0.54469685437107196</c:v>
                </c:pt>
                <c:pt idx="613">
                  <c:v>0.56677469930516278</c:v>
                </c:pt>
                <c:pt idx="614">
                  <c:v>0.5786855913514718</c:v>
                </c:pt>
                <c:pt idx="615">
                  <c:v>0.56294945233122162</c:v>
                </c:pt>
                <c:pt idx="616">
                  <c:v>0.57030659648462489</c:v>
                </c:pt>
                <c:pt idx="617">
                  <c:v>0.55724592289023211</c:v>
                </c:pt>
                <c:pt idx="618">
                  <c:v>0.58590312979830395</c:v>
                </c:pt>
                <c:pt idx="619">
                  <c:v>0.59567110412872804</c:v>
                </c:pt>
                <c:pt idx="620">
                  <c:v>0.59618161566733741</c:v>
                </c:pt>
                <c:pt idx="621">
                  <c:v>0.593472036626845</c:v>
                </c:pt>
                <c:pt idx="622">
                  <c:v>0.54016526467345538</c:v>
                </c:pt>
                <c:pt idx="623">
                  <c:v>0.53769362305471313</c:v>
                </c:pt>
                <c:pt idx="624">
                  <c:v>0.53657777275806928</c:v>
                </c:pt>
                <c:pt idx="625">
                  <c:v>0.54241881033074035</c:v>
                </c:pt>
                <c:pt idx="626">
                  <c:v>0.60371720293629816</c:v>
                </c:pt>
                <c:pt idx="627">
                  <c:v>0.60666802960045929</c:v>
                </c:pt>
                <c:pt idx="628">
                  <c:v>0.61568933358790123</c:v>
                </c:pt>
                <c:pt idx="629">
                  <c:v>0.61225585796420334</c:v>
                </c:pt>
                <c:pt idx="630">
                  <c:v>0.60381470831345962</c:v>
                </c:pt>
                <c:pt idx="631">
                  <c:v>0.59507580703238083</c:v>
                </c:pt>
                <c:pt idx="632">
                  <c:v>0.60960437878894613</c:v>
                </c:pt>
                <c:pt idx="633">
                  <c:v>0.59840093116965642</c:v>
                </c:pt>
                <c:pt idx="634">
                  <c:v>0.62167125867285333</c:v>
                </c:pt>
                <c:pt idx="635">
                  <c:v>0.62167125867285333</c:v>
                </c:pt>
                <c:pt idx="636">
                  <c:v>0.62167125867285333</c:v>
                </c:pt>
                <c:pt idx="637">
                  <c:v>0.61580098497552715</c:v>
                </c:pt>
                <c:pt idx="638">
                  <c:v>0.63946367876769528</c:v>
                </c:pt>
                <c:pt idx="639">
                  <c:v>0.61580098497552715</c:v>
                </c:pt>
                <c:pt idx="640">
                  <c:v>0.61580098497552715</c:v>
                </c:pt>
                <c:pt idx="641">
                  <c:v>0.59990361450792173</c:v>
                </c:pt>
                <c:pt idx="642">
                  <c:v>0.54117799867569372</c:v>
                </c:pt>
                <c:pt idx="643">
                  <c:v>0.5415850760841584</c:v>
                </c:pt>
                <c:pt idx="644">
                  <c:v>0.5412337871216486</c:v>
                </c:pt>
                <c:pt idx="645">
                  <c:v>0.54776766061904592</c:v>
                </c:pt>
                <c:pt idx="646">
                  <c:v>0.54776766061904592</c:v>
                </c:pt>
                <c:pt idx="647">
                  <c:v>0.5447952785274347</c:v>
                </c:pt>
                <c:pt idx="648">
                  <c:v>0.54007979025235342</c:v>
                </c:pt>
                <c:pt idx="649">
                  <c:v>0.54007979025235342</c:v>
                </c:pt>
                <c:pt idx="650">
                  <c:v>0.55262048152789611</c:v>
                </c:pt>
                <c:pt idx="651">
                  <c:v>0.55755448448795253</c:v>
                </c:pt>
                <c:pt idx="652">
                  <c:v>0.56020218256914922</c:v>
                </c:pt>
                <c:pt idx="653">
                  <c:v>0.53684958170402908</c:v>
                </c:pt>
                <c:pt idx="654">
                  <c:v>0.55907532685262362</c:v>
                </c:pt>
                <c:pt idx="655">
                  <c:v>0.54826188563886924</c:v>
                </c:pt>
                <c:pt idx="656">
                  <c:v>0.56712207479472931</c:v>
                </c:pt>
                <c:pt idx="657">
                  <c:v>0.6392909803593918</c:v>
                </c:pt>
                <c:pt idx="658">
                  <c:v>0.60508863070417396</c:v>
                </c:pt>
                <c:pt idx="659">
                  <c:v>0.5412202505968905</c:v>
                </c:pt>
                <c:pt idx="660">
                  <c:v>0.54277279141545587</c:v>
                </c:pt>
                <c:pt idx="661">
                  <c:v>0.59837344628277078</c:v>
                </c:pt>
                <c:pt idx="662">
                  <c:v>0.60459510276835016</c:v>
                </c:pt>
                <c:pt idx="663">
                  <c:v>0.61472149222051142</c:v>
                </c:pt>
                <c:pt idx="664">
                  <c:v>0.58861840449584246</c:v>
                </c:pt>
                <c:pt idx="665">
                  <c:v>0.60202549264598904</c:v>
                </c:pt>
                <c:pt idx="666">
                  <c:v>0.60366975991439986</c:v>
                </c:pt>
                <c:pt idx="667">
                  <c:v>0.59191811177015508</c:v>
                </c:pt>
                <c:pt idx="668">
                  <c:v>0.60979676228273083</c:v>
                </c:pt>
                <c:pt idx="669">
                  <c:v>0.6160427900759099</c:v>
                </c:pt>
                <c:pt idx="670">
                  <c:v>0.6160427900759099</c:v>
                </c:pt>
                <c:pt idx="671">
                  <c:v>0.61028890910564793</c:v>
                </c:pt>
                <c:pt idx="672">
                  <c:v>0.61210686905878997</c:v>
                </c:pt>
                <c:pt idx="673">
                  <c:v>0.61028890910564793</c:v>
                </c:pt>
                <c:pt idx="674">
                  <c:v>0.55529173522775255</c:v>
                </c:pt>
                <c:pt idx="675">
                  <c:v>0.53496701284012582</c:v>
                </c:pt>
                <c:pt idx="676">
                  <c:v>0.62956182622436729</c:v>
                </c:pt>
                <c:pt idx="677">
                  <c:v>0.59986407049076274</c:v>
                </c:pt>
                <c:pt idx="678">
                  <c:v>0.53290399468291327</c:v>
                </c:pt>
                <c:pt idx="679">
                  <c:v>0.56689102197580488</c:v>
                </c:pt>
                <c:pt idx="680">
                  <c:v>0.5625242813872029</c:v>
                </c:pt>
                <c:pt idx="681">
                  <c:v>0.55903392568901067</c:v>
                </c:pt>
                <c:pt idx="682">
                  <c:v>0.54235952753897587</c:v>
                </c:pt>
                <c:pt idx="683">
                  <c:v>0.54747837798144972</c:v>
                </c:pt>
                <c:pt idx="684">
                  <c:v>0.54535622881482704</c:v>
                </c:pt>
                <c:pt idx="685">
                  <c:v>0.57004705274645584</c:v>
                </c:pt>
                <c:pt idx="686">
                  <c:v>0.59764300053457675</c:v>
                </c:pt>
                <c:pt idx="687">
                  <c:v>0.57780099262101137</c:v>
                </c:pt>
                <c:pt idx="688">
                  <c:v>0.6028437589090081</c:v>
                </c:pt>
                <c:pt idx="689">
                  <c:v>0.56034879619459166</c:v>
                </c:pt>
                <c:pt idx="690">
                  <c:v>0.54732839254455923</c:v>
                </c:pt>
                <c:pt idx="691">
                  <c:v>0.61390670354088317</c:v>
                </c:pt>
                <c:pt idx="692">
                  <c:v>0.5659003415430427</c:v>
                </c:pt>
                <c:pt idx="693">
                  <c:v>0.58590312979830395</c:v>
                </c:pt>
                <c:pt idx="694">
                  <c:v>0.61589388851474025</c:v>
                </c:pt>
                <c:pt idx="695">
                  <c:v>0.62184360095213964</c:v>
                </c:pt>
                <c:pt idx="696">
                  <c:v>0.6160427900759099</c:v>
                </c:pt>
                <c:pt idx="697">
                  <c:v>0.593472036626845</c:v>
                </c:pt>
                <c:pt idx="698">
                  <c:v>0.59539166566827839</c:v>
                </c:pt>
                <c:pt idx="699">
                  <c:v>0.53702137795500526</c:v>
                </c:pt>
                <c:pt idx="700">
                  <c:v>0.54225882677912252</c:v>
                </c:pt>
                <c:pt idx="701">
                  <c:v>0.5335393054716272</c:v>
                </c:pt>
                <c:pt idx="702">
                  <c:v>0.56800398889479697</c:v>
                </c:pt>
                <c:pt idx="703">
                  <c:v>0.56701385561553685</c:v>
                </c:pt>
                <c:pt idx="704">
                  <c:v>0.59916332305102871</c:v>
                </c:pt>
                <c:pt idx="705">
                  <c:v>0.53864131817397654</c:v>
                </c:pt>
                <c:pt idx="706">
                  <c:v>0.54088260163135482</c:v>
                </c:pt>
                <c:pt idx="707">
                  <c:v>0.54140484102928044</c:v>
                </c:pt>
                <c:pt idx="708">
                  <c:v>0.63347161420382014</c:v>
                </c:pt>
                <c:pt idx="709">
                  <c:v>0.58257883204582017</c:v>
                </c:pt>
                <c:pt idx="710">
                  <c:v>0.57593394600566006</c:v>
                </c:pt>
                <c:pt idx="711">
                  <c:v>0.55235975141252125</c:v>
                </c:pt>
                <c:pt idx="712">
                  <c:v>0.54058598443326633</c:v>
                </c:pt>
                <c:pt idx="713">
                  <c:v>0.53805124902686619</c:v>
                </c:pt>
                <c:pt idx="714">
                  <c:v>0.53775669145408855</c:v>
                </c:pt>
                <c:pt idx="715">
                  <c:v>0.53502266985781266</c:v>
                </c:pt>
                <c:pt idx="716">
                  <c:v>0.53356461798967236</c:v>
                </c:pt>
                <c:pt idx="717">
                  <c:v>0.5323633512482645</c:v>
                </c:pt>
                <c:pt idx="718">
                  <c:v>0.52934568664933401</c:v>
                </c:pt>
                <c:pt idx="719">
                  <c:v>0.54062945379105698</c:v>
                </c:pt>
                <c:pt idx="720">
                  <c:v>0.53226305247682926</c:v>
                </c:pt>
                <c:pt idx="721">
                  <c:v>0.53294323307717528</c:v>
                </c:pt>
                <c:pt idx="722">
                  <c:v>0.53885585008807424</c:v>
                </c:pt>
                <c:pt idx="723">
                  <c:v>0.53820718926544886</c:v>
                </c:pt>
                <c:pt idx="724">
                  <c:v>0.54331638459202802</c:v>
                </c:pt>
                <c:pt idx="725">
                  <c:v>0.5425324486094607</c:v>
                </c:pt>
                <c:pt idx="726">
                  <c:v>0.54664299865143906</c:v>
                </c:pt>
                <c:pt idx="727">
                  <c:v>0.53586521432620215</c:v>
                </c:pt>
                <c:pt idx="728">
                  <c:v>0.53586521432620215</c:v>
                </c:pt>
                <c:pt idx="729">
                  <c:v>0.53586521432620215</c:v>
                </c:pt>
                <c:pt idx="730">
                  <c:v>0.5350212410464148</c:v>
                </c:pt>
                <c:pt idx="731">
                  <c:v>0.54525695375378969</c:v>
                </c:pt>
                <c:pt idx="732">
                  <c:v>0.54385528527720195</c:v>
                </c:pt>
                <c:pt idx="733">
                  <c:v>0.54899759680690918</c:v>
                </c:pt>
                <c:pt idx="734">
                  <c:v>0.54405032380337459</c:v>
                </c:pt>
                <c:pt idx="735">
                  <c:v>0.54513829844243822</c:v>
                </c:pt>
                <c:pt idx="736">
                  <c:v>0.54325735426801536</c:v>
                </c:pt>
                <c:pt idx="737">
                  <c:v>0.54069045114130942</c:v>
                </c:pt>
                <c:pt idx="738">
                  <c:v>0.5367903066297256</c:v>
                </c:pt>
                <c:pt idx="739">
                  <c:v>0.54474203803412879</c:v>
                </c:pt>
                <c:pt idx="740">
                  <c:v>0.54433335796089322</c:v>
                </c:pt>
                <c:pt idx="741">
                  <c:v>0.54282788929043735</c:v>
                </c:pt>
                <c:pt idx="742">
                  <c:v>0.54449579289367889</c:v>
                </c:pt>
                <c:pt idx="743">
                  <c:v>0.53742238051124414</c:v>
                </c:pt>
                <c:pt idx="744">
                  <c:v>0.53686050556395626</c:v>
                </c:pt>
                <c:pt idx="745">
                  <c:v>0.54568988505688776</c:v>
                </c:pt>
                <c:pt idx="746">
                  <c:v>0.54157646273355387</c:v>
                </c:pt>
                <c:pt idx="747">
                  <c:v>0.5496103749564043</c:v>
                </c:pt>
                <c:pt idx="748">
                  <c:v>0.5496103749564043</c:v>
                </c:pt>
                <c:pt idx="749">
                  <c:v>0.54823990971429104</c:v>
                </c:pt>
                <c:pt idx="750">
                  <c:v>0.54695870372000888</c:v>
                </c:pt>
                <c:pt idx="751">
                  <c:v>0.53743068930414806</c:v>
                </c:pt>
                <c:pt idx="752">
                  <c:v>0.5429151257203888</c:v>
                </c:pt>
                <c:pt idx="753">
                  <c:v>0.53982977828362677</c:v>
                </c:pt>
                <c:pt idx="754">
                  <c:v>0.54018622759245272</c:v>
                </c:pt>
                <c:pt idx="755">
                  <c:v>0.54447244682190288</c:v>
                </c:pt>
                <c:pt idx="756">
                  <c:v>0.54972659910412014</c:v>
                </c:pt>
                <c:pt idx="757">
                  <c:v>0.54507613988241799</c:v>
                </c:pt>
                <c:pt idx="758">
                  <c:v>0.54105088787521682</c:v>
                </c:pt>
                <c:pt idx="759">
                  <c:v>0.54009985098741853</c:v>
                </c:pt>
                <c:pt idx="760">
                  <c:v>0.55187185586711163</c:v>
                </c:pt>
                <c:pt idx="761">
                  <c:v>0.54137078239602732</c:v>
                </c:pt>
                <c:pt idx="762">
                  <c:v>0.54023286673775095</c:v>
                </c:pt>
                <c:pt idx="763">
                  <c:v>0.54736348481567643</c:v>
                </c:pt>
                <c:pt idx="764">
                  <c:v>0.54773653476395456</c:v>
                </c:pt>
                <c:pt idx="765">
                  <c:v>0.55005245740466846</c:v>
                </c:pt>
                <c:pt idx="766">
                  <c:v>0.54149810409434984</c:v>
                </c:pt>
                <c:pt idx="767">
                  <c:v>0.55313242596318801</c:v>
                </c:pt>
                <c:pt idx="768">
                  <c:v>0.54442766438335044</c:v>
                </c:pt>
                <c:pt idx="769">
                  <c:v>0.54822782846115614</c:v>
                </c:pt>
                <c:pt idx="770">
                  <c:v>0.54822782846115614</c:v>
                </c:pt>
                <c:pt idx="771">
                  <c:v>0.54593986836191533</c:v>
                </c:pt>
                <c:pt idx="772">
                  <c:v>0.54803488789314059</c:v>
                </c:pt>
                <c:pt idx="773">
                  <c:v>0.55041702551650329</c:v>
                </c:pt>
                <c:pt idx="774">
                  <c:v>0.53720496328797673</c:v>
                </c:pt>
                <c:pt idx="775">
                  <c:v>0.54624354911978201</c:v>
                </c:pt>
                <c:pt idx="776">
                  <c:v>0.54667604306921569</c:v>
                </c:pt>
                <c:pt idx="777">
                  <c:v>0.54521547261781422</c:v>
                </c:pt>
                <c:pt idx="778">
                  <c:v>0.55335502351622434</c:v>
                </c:pt>
                <c:pt idx="779">
                  <c:v>0.55145245632527917</c:v>
                </c:pt>
                <c:pt idx="780">
                  <c:v>0.54755258527233408</c:v>
                </c:pt>
                <c:pt idx="781">
                  <c:v>0.55024367172109778</c:v>
                </c:pt>
                <c:pt idx="782">
                  <c:v>0.54297108557490192</c:v>
                </c:pt>
                <c:pt idx="783">
                  <c:v>0.5412450187183685</c:v>
                </c:pt>
                <c:pt idx="784">
                  <c:v>0.54421461562072249</c:v>
                </c:pt>
                <c:pt idx="785">
                  <c:v>0.54485878171790314</c:v>
                </c:pt>
                <c:pt idx="786">
                  <c:v>0.54759744266584454</c:v>
                </c:pt>
                <c:pt idx="787">
                  <c:v>0.54786161981177051</c:v>
                </c:pt>
                <c:pt idx="788">
                  <c:v>0.54942353987383752</c:v>
                </c:pt>
                <c:pt idx="789">
                  <c:v>0.5471860117961338</c:v>
                </c:pt>
                <c:pt idx="790">
                  <c:v>0.54708757086991766</c:v>
                </c:pt>
                <c:pt idx="791">
                  <c:v>0.55308633867646972</c:v>
                </c:pt>
                <c:pt idx="792">
                  <c:v>0.54949405054181111</c:v>
                </c:pt>
                <c:pt idx="793">
                  <c:v>0.55303905891191363</c:v>
                </c:pt>
                <c:pt idx="794">
                  <c:v>0.55474944987513175</c:v>
                </c:pt>
                <c:pt idx="795">
                  <c:v>0.55912273856217454</c:v>
                </c:pt>
                <c:pt idx="796">
                  <c:v>0.56890139500658798</c:v>
                </c:pt>
                <c:pt idx="797">
                  <c:v>0.56966954952423388</c:v>
                </c:pt>
                <c:pt idx="798">
                  <c:v>0.5775431151742455</c:v>
                </c:pt>
                <c:pt idx="799">
                  <c:v>0.57357240779557783</c:v>
                </c:pt>
                <c:pt idx="800">
                  <c:v>0.57324149552781967</c:v>
                </c:pt>
                <c:pt idx="801">
                  <c:v>0.56624145453429275</c:v>
                </c:pt>
                <c:pt idx="802">
                  <c:v>0.56027118757787731</c:v>
                </c:pt>
                <c:pt idx="803">
                  <c:v>0.56557365859760034</c:v>
                </c:pt>
                <c:pt idx="804">
                  <c:v>0.5629657681365936</c:v>
                </c:pt>
                <c:pt idx="805">
                  <c:v>0.58111505312389</c:v>
                </c:pt>
                <c:pt idx="806">
                  <c:v>0.57738912404178788</c:v>
                </c:pt>
                <c:pt idx="807">
                  <c:v>0.57778500814944345</c:v>
                </c:pt>
                <c:pt idx="808">
                  <c:v>0.57430194382841904</c:v>
                </c:pt>
                <c:pt idx="809">
                  <c:v>0.57568222192973661</c:v>
                </c:pt>
                <c:pt idx="810">
                  <c:v>0.58362609402844112</c:v>
                </c:pt>
                <c:pt idx="811">
                  <c:v>0.57892504347483964</c:v>
                </c:pt>
                <c:pt idx="812">
                  <c:v>0.5867115790782963</c:v>
                </c:pt>
                <c:pt idx="813">
                  <c:v>0.58197442012088729</c:v>
                </c:pt>
                <c:pt idx="814">
                  <c:v>0.58767237655927851</c:v>
                </c:pt>
                <c:pt idx="815">
                  <c:v>0.581382868524982</c:v>
                </c:pt>
                <c:pt idx="816">
                  <c:v>0.58854553904688522</c:v>
                </c:pt>
                <c:pt idx="817">
                  <c:v>0.5837325566838476</c:v>
                </c:pt>
                <c:pt idx="818">
                  <c:v>0.58919879844002399</c:v>
                </c:pt>
                <c:pt idx="819">
                  <c:v>0.58233602787872563</c:v>
                </c:pt>
                <c:pt idx="820">
                  <c:v>0.58978944639281405</c:v>
                </c:pt>
                <c:pt idx="821">
                  <c:v>0.58477384191509496</c:v>
                </c:pt>
                <c:pt idx="822">
                  <c:v>0.58383678070916512</c:v>
                </c:pt>
                <c:pt idx="823">
                  <c:v>0.58949838888436956</c:v>
                </c:pt>
                <c:pt idx="824">
                  <c:v>0.58481967457055384</c:v>
                </c:pt>
                <c:pt idx="825">
                  <c:v>0.59246251692633445</c:v>
                </c:pt>
                <c:pt idx="826">
                  <c:v>0.59505754341722228</c:v>
                </c:pt>
                <c:pt idx="827">
                  <c:v>0.56163750167785542</c:v>
                </c:pt>
                <c:pt idx="828">
                  <c:v>0.55313492355040306</c:v>
                </c:pt>
                <c:pt idx="829">
                  <c:v>0.5668909599380062</c:v>
                </c:pt>
                <c:pt idx="830">
                  <c:v>0.56777381123286741</c:v>
                </c:pt>
                <c:pt idx="831">
                  <c:v>0.57229414460519779</c:v>
                </c:pt>
                <c:pt idx="832">
                  <c:v>0.56808394741466861</c:v>
                </c:pt>
                <c:pt idx="833">
                  <c:v>0.57916343401094139</c:v>
                </c:pt>
                <c:pt idx="834">
                  <c:v>0.57667312554615602</c:v>
                </c:pt>
                <c:pt idx="835">
                  <c:v>0.58114073816725764</c:v>
                </c:pt>
                <c:pt idx="836">
                  <c:v>0.55430383827017415</c:v>
                </c:pt>
                <c:pt idx="837">
                  <c:v>0.56161522294366573</c:v>
                </c:pt>
                <c:pt idx="838">
                  <c:v>0.55808171494760006</c:v>
                </c:pt>
                <c:pt idx="839">
                  <c:v>0.58953130970707068</c:v>
                </c:pt>
                <c:pt idx="840">
                  <c:v>0.56314445179195449</c:v>
                </c:pt>
                <c:pt idx="841">
                  <c:v>0.56075684063826903</c:v>
                </c:pt>
                <c:pt idx="842">
                  <c:v>0.5741867355887168</c:v>
                </c:pt>
                <c:pt idx="843">
                  <c:v>0.57606428631006035</c:v>
                </c:pt>
                <c:pt idx="844">
                  <c:v>0.58378775346757039</c:v>
                </c:pt>
                <c:pt idx="845">
                  <c:v>0.55783585045655892</c:v>
                </c:pt>
                <c:pt idx="846">
                  <c:v>0.57080065306712413</c:v>
                </c:pt>
                <c:pt idx="847">
                  <c:v>0.56332879362294364</c:v>
                </c:pt>
                <c:pt idx="848">
                  <c:v>0.59299641323570307</c:v>
                </c:pt>
                <c:pt idx="849">
                  <c:v>0.59391774803614938</c:v>
                </c:pt>
                <c:pt idx="850">
                  <c:v>0.58883947220701072</c:v>
                </c:pt>
                <c:pt idx="851">
                  <c:v>0.59826346828065535</c:v>
                </c:pt>
                <c:pt idx="852">
                  <c:v>0.59059612591569077</c:v>
                </c:pt>
                <c:pt idx="853">
                  <c:v>0.60476210546945119</c:v>
                </c:pt>
                <c:pt idx="854">
                  <c:v>0.59754405580567316</c:v>
                </c:pt>
                <c:pt idx="855">
                  <c:v>0.60816784311286698</c:v>
                </c:pt>
                <c:pt idx="856">
                  <c:v>0.60816784311286698</c:v>
                </c:pt>
                <c:pt idx="857">
                  <c:v>0.60371502804653721</c:v>
                </c:pt>
                <c:pt idx="858">
                  <c:v>0.60793076361254472</c:v>
                </c:pt>
                <c:pt idx="859">
                  <c:v>0.60170720345561524</c:v>
                </c:pt>
                <c:pt idx="860">
                  <c:v>0.6099564298024065</c:v>
                </c:pt>
                <c:pt idx="861">
                  <c:v>0.60222191235794464</c:v>
                </c:pt>
                <c:pt idx="862">
                  <c:v>0.61512226997015984</c:v>
                </c:pt>
                <c:pt idx="863">
                  <c:v>0.61512226997015984</c:v>
                </c:pt>
                <c:pt idx="864">
                  <c:v>0.61039547009478567</c:v>
                </c:pt>
                <c:pt idx="865">
                  <c:v>0.61014158763399173</c:v>
                </c:pt>
                <c:pt idx="866">
                  <c:v>0.61014158763399173</c:v>
                </c:pt>
                <c:pt idx="867">
                  <c:v>0.61014158763399173</c:v>
                </c:pt>
                <c:pt idx="868">
                  <c:v>0.58825856055429349</c:v>
                </c:pt>
                <c:pt idx="869">
                  <c:v>0.60006521258933376</c:v>
                </c:pt>
                <c:pt idx="870">
                  <c:v>0.59273967278611639</c:v>
                </c:pt>
                <c:pt idx="871">
                  <c:v>0.60295908500045547</c:v>
                </c:pt>
                <c:pt idx="872">
                  <c:v>0.59925653215087271</c:v>
                </c:pt>
                <c:pt idx="873">
                  <c:v>0.61325324403389914</c:v>
                </c:pt>
                <c:pt idx="874">
                  <c:v>0.60678746061957578</c:v>
                </c:pt>
                <c:pt idx="875">
                  <c:v>0.61576984230637422</c:v>
                </c:pt>
                <c:pt idx="876">
                  <c:v>0.61576984230637422</c:v>
                </c:pt>
                <c:pt idx="877">
                  <c:v>0.60951931913461899</c:v>
                </c:pt>
                <c:pt idx="878">
                  <c:v>0.59554127369162502</c:v>
                </c:pt>
                <c:pt idx="879">
                  <c:v>0.6094325095395019</c:v>
                </c:pt>
                <c:pt idx="880">
                  <c:v>0.60325311621886712</c:v>
                </c:pt>
                <c:pt idx="881">
                  <c:v>0.6060251326108107</c:v>
                </c:pt>
                <c:pt idx="882">
                  <c:v>0.62077597566418286</c:v>
                </c:pt>
                <c:pt idx="883">
                  <c:v>0.62077597566418286</c:v>
                </c:pt>
                <c:pt idx="884">
                  <c:v>0.62077597566418286</c:v>
                </c:pt>
                <c:pt idx="885">
                  <c:v>0.62051702658481911</c:v>
                </c:pt>
                <c:pt idx="886">
                  <c:v>0.61900144520490841</c:v>
                </c:pt>
                <c:pt idx="887">
                  <c:v>0.63993268827746852</c:v>
                </c:pt>
                <c:pt idx="888">
                  <c:v>0.63993268827746852</c:v>
                </c:pt>
                <c:pt idx="889">
                  <c:v>0.62952888646835203</c:v>
                </c:pt>
                <c:pt idx="890">
                  <c:v>0.62952888646835203</c:v>
                </c:pt>
                <c:pt idx="891">
                  <c:v>0.6499133664022213</c:v>
                </c:pt>
                <c:pt idx="892">
                  <c:v>0.6499133664022213</c:v>
                </c:pt>
                <c:pt idx="893">
                  <c:v>0.65863425784343599</c:v>
                </c:pt>
                <c:pt idx="894">
                  <c:v>0.65863425784343599</c:v>
                </c:pt>
                <c:pt idx="895">
                  <c:v>0.65523915010407185</c:v>
                </c:pt>
                <c:pt idx="896">
                  <c:v>0.65523915010407185</c:v>
                </c:pt>
                <c:pt idx="897">
                  <c:v>0.5591723961115399</c:v>
                </c:pt>
                <c:pt idx="898">
                  <c:v>0.5606382966040685</c:v>
                </c:pt>
                <c:pt idx="899">
                  <c:v>0.56514311508200199</c:v>
                </c:pt>
                <c:pt idx="900">
                  <c:v>0.58928908068825103</c:v>
                </c:pt>
                <c:pt idx="901">
                  <c:v>0.58928908068825103</c:v>
                </c:pt>
                <c:pt idx="902">
                  <c:v>0.58192352812336245</c:v>
                </c:pt>
                <c:pt idx="903">
                  <c:v>0.55568015581662589</c:v>
                </c:pt>
                <c:pt idx="904">
                  <c:v>0.58170038509064903</c:v>
                </c:pt>
                <c:pt idx="905">
                  <c:v>0.5551465940728979</c:v>
                </c:pt>
                <c:pt idx="906">
                  <c:v>0.55166172887570941</c:v>
                </c:pt>
                <c:pt idx="907">
                  <c:v>0.5613650913686109</c:v>
                </c:pt>
                <c:pt idx="908">
                  <c:v>0.56224502042175362</c:v>
                </c:pt>
                <c:pt idx="909">
                  <c:v>0.55294684750068357</c:v>
                </c:pt>
                <c:pt idx="910">
                  <c:v>0.56780363356054875</c:v>
                </c:pt>
                <c:pt idx="911">
                  <c:v>0.57476767074471258</c:v>
                </c:pt>
                <c:pt idx="912">
                  <c:v>0.56865568882835438</c:v>
                </c:pt>
                <c:pt idx="913">
                  <c:v>0.56258742384417215</c:v>
                </c:pt>
                <c:pt idx="914">
                  <c:v>0.55728229466339274</c:v>
                </c:pt>
                <c:pt idx="915">
                  <c:v>0.5792184595997073</c:v>
                </c:pt>
                <c:pt idx="916">
                  <c:v>0.58326842498870513</c:v>
                </c:pt>
                <c:pt idx="917">
                  <c:v>0.58343208823263171</c:v>
                </c:pt>
                <c:pt idx="918">
                  <c:v>0.55757444737241446</c:v>
                </c:pt>
                <c:pt idx="919">
                  <c:v>0.55737554238593867</c:v>
                </c:pt>
                <c:pt idx="920">
                  <c:v>0.57325333135090251</c:v>
                </c:pt>
                <c:pt idx="921">
                  <c:v>0.56922419919811218</c:v>
                </c:pt>
                <c:pt idx="922">
                  <c:v>0.57070242510604841</c:v>
                </c:pt>
                <c:pt idx="923">
                  <c:v>0.5783605177326705</c:v>
                </c:pt>
                <c:pt idx="924">
                  <c:v>0.5783605177326705</c:v>
                </c:pt>
                <c:pt idx="925">
                  <c:v>0.5643543841531633</c:v>
                </c:pt>
                <c:pt idx="926">
                  <c:v>0.5648597613665276</c:v>
                </c:pt>
                <c:pt idx="927">
                  <c:v>0.59245560302406242</c:v>
                </c:pt>
                <c:pt idx="928">
                  <c:v>0.58773737381595348</c:v>
                </c:pt>
                <c:pt idx="929">
                  <c:v>0.58773737381595348</c:v>
                </c:pt>
                <c:pt idx="930">
                  <c:v>0.56773290118809527</c:v>
                </c:pt>
                <c:pt idx="931">
                  <c:v>0.57289592554170543</c:v>
                </c:pt>
                <c:pt idx="932">
                  <c:v>0.57260012348729794</c:v>
                </c:pt>
                <c:pt idx="933">
                  <c:v>0.56949940154390377</c:v>
                </c:pt>
                <c:pt idx="934">
                  <c:v>0.5569856161475234</c:v>
                </c:pt>
                <c:pt idx="935">
                  <c:v>0.55749949682087152</c:v>
                </c:pt>
                <c:pt idx="936">
                  <c:v>0.59312258052040301</c:v>
                </c:pt>
                <c:pt idx="937">
                  <c:v>0.59379790579451464</c:v>
                </c:pt>
                <c:pt idx="938">
                  <c:v>0.56936090033639108</c:v>
                </c:pt>
                <c:pt idx="939">
                  <c:v>0.59530720183545027</c:v>
                </c:pt>
                <c:pt idx="940">
                  <c:v>0.59432541674350081</c:v>
                </c:pt>
                <c:pt idx="941">
                  <c:v>0.59568699126687208</c:v>
                </c:pt>
                <c:pt idx="942">
                  <c:v>0.60010214669952977</c:v>
                </c:pt>
                <c:pt idx="943">
                  <c:v>0.59984553099794136</c:v>
                </c:pt>
                <c:pt idx="944">
                  <c:v>0.57805863505395438</c:v>
                </c:pt>
                <c:pt idx="945">
                  <c:v>0.59068450889672508</c:v>
                </c:pt>
                <c:pt idx="946">
                  <c:v>0.59064843486855323</c:v>
                </c:pt>
                <c:pt idx="947">
                  <c:v>0.61418131503284812</c:v>
                </c:pt>
                <c:pt idx="948">
                  <c:v>0.61398021521793233</c:v>
                </c:pt>
                <c:pt idx="949">
                  <c:v>0.60004591396911022</c:v>
                </c:pt>
                <c:pt idx="950">
                  <c:v>0.60323929915024888</c:v>
                </c:pt>
                <c:pt idx="951">
                  <c:v>0.60324620409231533</c:v>
                </c:pt>
                <c:pt idx="952">
                  <c:v>0.60583502109826204</c:v>
                </c:pt>
                <c:pt idx="953">
                  <c:v>0.5656806048248505</c:v>
                </c:pt>
                <c:pt idx="954">
                  <c:v>0.56323227090797479</c:v>
                </c:pt>
                <c:pt idx="955">
                  <c:v>0.57252847220749858</c:v>
                </c:pt>
                <c:pt idx="956">
                  <c:v>0.59577141196584005</c:v>
                </c:pt>
                <c:pt idx="957">
                  <c:v>0.53895895502936075</c:v>
                </c:pt>
                <c:pt idx="958">
                  <c:v>0.53894557825600897</c:v>
                </c:pt>
                <c:pt idx="959">
                  <c:v>0.53775669145408855</c:v>
                </c:pt>
                <c:pt idx="960">
                  <c:v>0.53775560578884429</c:v>
                </c:pt>
                <c:pt idx="961">
                  <c:v>0.53356461798967236</c:v>
                </c:pt>
                <c:pt idx="962">
                  <c:v>0.53350960209955722</c:v>
                </c:pt>
                <c:pt idx="963">
                  <c:v>0.52934568664933401</c:v>
                </c:pt>
                <c:pt idx="964">
                  <c:v>0.52908112299398957</c:v>
                </c:pt>
                <c:pt idx="965">
                  <c:v>0.53379660715893551</c:v>
                </c:pt>
                <c:pt idx="966">
                  <c:v>0.53380522924482476</c:v>
                </c:pt>
                <c:pt idx="967">
                  <c:v>0.53379660715893551</c:v>
                </c:pt>
                <c:pt idx="968">
                  <c:v>0.53380522924482476</c:v>
                </c:pt>
                <c:pt idx="969">
                  <c:v>0.53502236121347058</c:v>
                </c:pt>
                <c:pt idx="970">
                  <c:v>0.53477976378710745</c:v>
                </c:pt>
                <c:pt idx="971">
                  <c:v>0.53074060885699714</c:v>
                </c:pt>
                <c:pt idx="972">
                  <c:v>0.5308361581845813</c:v>
                </c:pt>
                <c:pt idx="973">
                  <c:v>0.54331850132598858</c:v>
                </c:pt>
                <c:pt idx="974">
                  <c:v>0.54338197517162601</c:v>
                </c:pt>
                <c:pt idx="975">
                  <c:v>0.53668525677572676</c:v>
                </c:pt>
                <c:pt idx="976">
                  <c:v>0.53677262416985805</c:v>
                </c:pt>
                <c:pt idx="977">
                  <c:v>0.54474203803412879</c:v>
                </c:pt>
                <c:pt idx="978">
                  <c:v>0.54483937529244142</c:v>
                </c:pt>
                <c:pt idx="979">
                  <c:v>0.54433335796089322</c:v>
                </c:pt>
                <c:pt idx="980">
                  <c:v>0.54433814507312983</c:v>
                </c:pt>
                <c:pt idx="981">
                  <c:v>0.54126360689920339</c:v>
                </c:pt>
                <c:pt idx="982">
                  <c:v>0.54124170301932262</c:v>
                </c:pt>
                <c:pt idx="983">
                  <c:v>0.54205403685255704</c:v>
                </c:pt>
                <c:pt idx="984">
                  <c:v>0.54204014437804515</c:v>
                </c:pt>
                <c:pt idx="985">
                  <c:v>0.54088449401707805</c:v>
                </c:pt>
                <c:pt idx="986">
                  <c:v>0.54090116505064911</c:v>
                </c:pt>
                <c:pt idx="987">
                  <c:v>0.53626646301153991</c:v>
                </c:pt>
                <c:pt idx="988">
                  <c:v>0.53737655231067527</c:v>
                </c:pt>
                <c:pt idx="989">
                  <c:v>0.53735204669352088</c:v>
                </c:pt>
                <c:pt idx="990">
                  <c:v>0.53734763469560276</c:v>
                </c:pt>
                <c:pt idx="991">
                  <c:v>0.53792340289548946</c:v>
                </c:pt>
                <c:pt idx="992">
                  <c:v>0.537925006075051</c:v>
                </c:pt>
                <c:pt idx="993">
                  <c:v>0.54005560960754551</c:v>
                </c:pt>
                <c:pt idx="994">
                  <c:v>0.54006097464517078</c:v>
                </c:pt>
                <c:pt idx="995">
                  <c:v>0.54468883948823577</c:v>
                </c:pt>
                <c:pt idx="996">
                  <c:v>0.54468582301044199</c:v>
                </c:pt>
                <c:pt idx="997">
                  <c:v>0.54549791943985648</c:v>
                </c:pt>
                <c:pt idx="998">
                  <c:v>0.54549747561291184</c:v>
                </c:pt>
                <c:pt idx="999">
                  <c:v>0.54704021866045027</c:v>
                </c:pt>
                <c:pt idx="1000">
                  <c:v>0.5470337594854443</c:v>
                </c:pt>
                <c:pt idx="1001">
                  <c:v>0.54561904362572933</c:v>
                </c:pt>
                <c:pt idx="1002">
                  <c:v>0.54561642496453666</c:v>
                </c:pt>
                <c:pt idx="1003">
                  <c:v>0.54484980221484136</c:v>
                </c:pt>
                <c:pt idx="1004">
                  <c:v>0.54487411127176555</c:v>
                </c:pt>
                <c:pt idx="1005">
                  <c:v>0.59973573821626192</c:v>
                </c:pt>
                <c:pt idx="1006">
                  <c:v>0.59929021329671939</c:v>
                </c:pt>
                <c:pt idx="1007">
                  <c:v>0.63896875817278953</c:v>
                </c:pt>
                <c:pt idx="1008">
                  <c:v>0.63877106012514684</c:v>
                </c:pt>
                <c:pt idx="1009">
                  <c:v>0.55481871173318387</c:v>
                </c:pt>
                <c:pt idx="1010">
                  <c:v>0.55482494583587272</c:v>
                </c:pt>
                <c:pt idx="1011">
                  <c:v>0.55244765673476182</c:v>
                </c:pt>
                <c:pt idx="1012">
                  <c:v>0.55243532375715043</c:v>
                </c:pt>
                <c:pt idx="1013">
                  <c:v>0.55281906071143794</c:v>
                </c:pt>
                <c:pt idx="1014">
                  <c:v>0.55282209224990619</c:v>
                </c:pt>
                <c:pt idx="1015">
                  <c:v>0.5720186120975006</c:v>
                </c:pt>
                <c:pt idx="1016">
                  <c:v>0.57187602209156851</c:v>
                </c:pt>
                <c:pt idx="1017">
                  <c:v>0.55929639413355547</c:v>
                </c:pt>
                <c:pt idx="1018">
                  <c:v>0.5593828055669563</c:v>
                </c:pt>
                <c:pt idx="1019">
                  <c:v>0.56997629110872317</c:v>
                </c:pt>
                <c:pt idx="1020">
                  <c:v>0.57005953977885793</c:v>
                </c:pt>
                <c:pt idx="1021">
                  <c:v>0.56635321371259273</c:v>
                </c:pt>
                <c:pt idx="1022">
                  <c:v>0.56630615486477331</c:v>
                </c:pt>
                <c:pt idx="1023">
                  <c:v>0.57772400479766639</c:v>
                </c:pt>
                <c:pt idx="1024">
                  <c:v>0.5777692911557134</c:v>
                </c:pt>
                <c:pt idx="1025">
                  <c:v>0.56999507129606664</c:v>
                </c:pt>
                <c:pt idx="1026">
                  <c:v>0.56987412680500849</c:v>
                </c:pt>
                <c:pt idx="1027">
                  <c:v>0.56996421719317458</c:v>
                </c:pt>
                <c:pt idx="1028">
                  <c:v>0.5699546447908328</c:v>
                </c:pt>
                <c:pt idx="1029">
                  <c:v>0.57148004279975684</c:v>
                </c:pt>
                <c:pt idx="1030">
                  <c:v>0.57134605120623461</c:v>
                </c:pt>
                <c:pt idx="1031">
                  <c:v>0.56848496119547642</c:v>
                </c:pt>
                <c:pt idx="1032">
                  <c:v>0.56865863254391957</c:v>
                </c:pt>
                <c:pt idx="1033">
                  <c:v>0.56864710366358562</c:v>
                </c:pt>
                <c:pt idx="1034">
                  <c:v>0.56868396214964356</c:v>
                </c:pt>
                <c:pt idx="1035">
                  <c:v>0.53210404761432339</c:v>
                </c:pt>
                <c:pt idx="1036">
                  <c:v>0.53699628891421025</c:v>
                </c:pt>
                <c:pt idx="1037">
                  <c:v>0.53859940156851094</c:v>
                </c:pt>
                <c:pt idx="1038">
                  <c:v>0.54646400688188113</c:v>
                </c:pt>
                <c:pt idx="1039">
                  <c:v>0.54531484080510928</c:v>
                </c:pt>
                <c:pt idx="1040">
                  <c:v>0.53370678544225258</c:v>
                </c:pt>
                <c:pt idx="1041">
                  <c:v>0.53505274602558117</c:v>
                </c:pt>
                <c:pt idx="1042">
                  <c:v>0.5341197920650681</c:v>
                </c:pt>
                <c:pt idx="1043">
                  <c:v>0.53139219192898113</c:v>
                </c:pt>
                <c:pt idx="1044">
                  <c:v>0.53373837470847063</c:v>
                </c:pt>
                <c:pt idx="1045">
                  <c:v>0.54568162776552098</c:v>
                </c:pt>
                <c:pt idx="1046">
                  <c:v>0.54796640122278351</c:v>
                </c:pt>
                <c:pt idx="1047">
                  <c:v>0.54125301620549104</c:v>
                </c:pt>
                <c:pt idx="1048">
                  <c:v>0.54322868530570301</c:v>
                </c:pt>
                <c:pt idx="1049">
                  <c:v>0.54104391510669236</c:v>
                </c:pt>
                <c:pt idx="1050">
                  <c:v>0.54050691295592346</c:v>
                </c:pt>
                <c:pt idx="1051">
                  <c:v>0.54726835640065652</c:v>
                </c:pt>
                <c:pt idx="1052">
                  <c:v>0.53630744395291674</c:v>
                </c:pt>
                <c:pt idx="1053">
                  <c:v>0.53846793125108428</c:v>
                </c:pt>
                <c:pt idx="1054">
                  <c:v>0.53844941115916234</c:v>
                </c:pt>
                <c:pt idx="1055">
                  <c:v>0.5415303234983383</c:v>
                </c:pt>
                <c:pt idx="1056">
                  <c:v>0.53852234998655935</c:v>
                </c:pt>
                <c:pt idx="1057">
                  <c:v>0.55818945973584633</c:v>
                </c:pt>
                <c:pt idx="1058">
                  <c:v>0.55477014847786421</c:v>
                </c:pt>
                <c:pt idx="1059">
                  <c:v>0.55443526050891101</c:v>
                </c:pt>
                <c:pt idx="1060">
                  <c:v>0.54507054314470282</c:v>
                </c:pt>
                <c:pt idx="1061">
                  <c:v>0.54349625312676508</c:v>
                </c:pt>
                <c:pt idx="1062">
                  <c:v>0.54216226778555354</c:v>
                </c:pt>
                <c:pt idx="1063">
                  <c:v>0.54268230519143734</c:v>
                </c:pt>
                <c:pt idx="1064">
                  <c:v>0.54206577398886457</c:v>
                </c:pt>
                <c:pt idx="1065">
                  <c:v>0.54444202803421027</c:v>
                </c:pt>
                <c:pt idx="1066">
                  <c:v>0.5412848642833773</c:v>
                </c:pt>
                <c:pt idx="1067">
                  <c:v>0.54846819733634311</c:v>
                </c:pt>
                <c:pt idx="1068">
                  <c:v>0.55876033839308659</c:v>
                </c:pt>
                <c:pt idx="1069">
                  <c:v>0.56645241270506141</c:v>
                </c:pt>
                <c:pt idx="1070">
                  <c:v>0.57298361129850517</c:v>
                </c:pt>
                <c:pt idx="1071">
                  <c:v>0.58239392877463247</c:v>
                </c:pt>
                <c:pt idx="1072">
                  <c:v>0.56455111925239632</c:v>
                </c:pt>
                <c:pt idx="1073">
                  <c:v>0.56283096174132619</c:v>
                </c:pt>
                <c:pt idx="1074">
                  <c:v>0.56031670278967771</c:v>
                </c:pt>
                <c:pt idx="1075">
                  <c:v>0.56698628389155092</c:v>
                </c:pt>
                <c:pt idx="1076">
                  <c:v>0.56894795290776368</c:v>
                </c:pt>
                <c:pt idx="1077">
                  <c:v>0.56698573872797309</c:v>
                </c:pt>
                <c:pt idx="1078">
                  <c:v>0.59236592105571151</c:v>
                </c:pt>
                <c:pt idx="1079">
                  <c:v>0.6041342251552948</c:v>
                </c:pt>
                <c:pt idx="1080">
                  <c:v>0.61826009412980676</c:v>
                </c:pt>
                <c:pt idx="1081">
                  <c:v>0.6011796779866192</c:v>
                </c:pt>
                <c:pt idx="1082">
                  <c:v>0.55749838619496506</c:v>
                </c:pt>
                <c:pt idx="1083">
                  <c:v>0.56897649933900385</c:v>
                </c:pt>
                <c:pt idx="1084">
                  <c:v>0.5739893490875283</c:v>
                </c:pt>
                <c:pt idx="1085">
                  <c:v>0.633331348542298</c:v>
                </c:pt>
                <c:pt idx="1086">
                  <c:v>0.63473172824636581</c:v>
                </c:pt>
                <c:pt idx="1087">
                  <c:v>0.62237650121803179</c:v>
                </c:pt>
                <c:pt idx="1088">
                  <c:v>0.59105297113127286</c:v>
                </c:pt>
                <c:pt idx="1089">
                  <c:v>0.61311914535060463</c:v>
                </c:pt>
                <c:pt idx="1090">
                  <c:v>0.63239607824672839</c:v>
                </c:pt>
                <c:pt idx="1091">
                  <c:v>0.65906504652601794</c:v>
                </c:pt>
                <c:pt idx="1092">
                  <c:v>0.53891255223719137</c:v>
                </c:pt>
                <c:pt idx="1093">
                  <c:v>0.5432699422517091</c:v>
                </c:pt>
                <c:pt idx="1094">
                  <c:v>0.52894400341986902</c:v>
                </c:pt>
                <c:pt idx="1095">
                  <c:v>0.53480295596323413</c:v>
                </c:pt>
                <c:pt idx="1096">
                  <c:v>0.5516871008971248</c:v>
                </c:pt>
                <c:pt idx="1097">
                  <c:v>0.54223432165825736</c:v>
                </c:pt>
                <c:pt idx="1098">
                  <c:v>0.54483818438098008</c:v>
                </c:pt>
                <c:pt idx="1099">
                  <c:v>0.53989536302313157</c:v>
                </c:pt>
                <c:pt idx="1100">
                  <c:v>0.54314041769506072</c:v>
                </c:pt>
                <c:pt idx="1101">
                  <c:v>0.541931677707438</c:v>
                </c:pt>
                <c:pt idx="1102">
                  <c:v>0.54428817831518517</c:v>
                </c:pt>
                <c:pt idx="1103">
                  <c:v>0.54018149464660248</c:v>
                </c:pt>
                <c:pt idx="1104">
                  <c:v>0.5497149215482392</c:v>
                </c:pt>
                <c:pt idx="1105">
                  <c:v>0.55006409821007562</c:v>
                </c:pt>
                <c:pt idx="1106">
                  <c:v>0.54883085166624535</c:v>
                </c:pt>
                <c:pt idx="1107">
                  <c:v>0.55135372520362036</c:v>
                </c:pt>
                <c:pt idx="1108">
                  <c:v>0.54651727737610978</c:v>
                </c:pt>
                <c:pt idx="1109">
                  <c:v>0.56032291550699165</c:v>
                </c:pt>
                <c:pt idx="1110">
                  <c:v>0.56422691913247869</c:v>
                </c:pt>
                <c:pt idx="1111">
                  <c:v>0.56493215235758032</c:v>
                </c:pt>
                <c:pt idx="1112">
                  <c:v>0.5690964103324273</c:v>
                </c:pt>
                <c:pt idx="1113">
                  <c:v>0.55903602424075449</c:v>
                </c:pt>
                <c:pt idx="1114">
                  <c:v>0.57921740624715667</c:v>
                </c:pt>
                <c:pt idx="1115">
                  <c:v>0.57220985613242259</c:v>
                </c:pt>
                <c:pt idx="1116">
                  <c:v>0.54507254482952272</c:v>
                </c:pt>
                <c:pt idx="1117">
                  <c:v>0.54351487031669909</c:v>
                </c:pt>
                <c:pt idx="1118">
                  <c:v>0.54621699233321563</c:v>
                </c:pt>
                <c:pt idx="1119">
                  <c:v>0.54767721261831359</c:v>
                </c:pt>
                <c:pt idx="1120">
                  <c:v>0.5536460357272851</c:v>
                </c:pt>
                <c:pt idx="1121">
                  <c:v>0.54506771899935669</c:v>
                </c:pt>
                <c:pt idx="1122">
                  <c:v>0.54763472807011893</c:v>
                </c:pt>
                <c:pt idx="1123">
                  <c:v>0.54385430550486846</c:v>
                </c:pt>
                <c:pt idx="1124">
                  <c:v>0.54353188705190381</c:v>
                </c:pt>
                <c:pt idx="1125">
                  <c:v>0.54106576877231438</c:v>
                </c:pt>
                <c:pt idx="1126">
                  <c:v>0.55363795678965444</c:v>
                </c:pt>
                <c:pt idx="1127">
                  <c:v>0.54605615133400232</c:v>
                </c:pt>
                <c:pt idx="1128">
                  <c:v>0.56489888318380121</c:v>
                </c:pt>
                <c:pt idx="1129">
                  <c:v>0.56026231845055274</c:v>
                </c:pt>
                <c:pt idx="1130">
                  <c:v>0.55339909304876111</c:v>
                </c:pt>
                <c:pt idx="1131">
                  <c:v>0.56369623461950347</c:v>
                </c:pt>
                <c:pt idx="1132">
                  <c:v>0.54737576693426515</c:v>
                </c:pt>
                <c:pt idx="1133">
                  <c:v>0.56705542177478907</c:v>
                </c:pt>
                <c:pt idx="1134">
                  <c:v>0.57130138345258719</c:v>
                </c:pt>
                <c:pt idx="1135">
                  <c:v>0.56723468585373671</c:v>
                </c:pt>
                <c:pt idx="1136">
                  <c:v>0.56331898337787789</c:v>
                </c:pt>
                <c:pt idx="1137">
                  <c:v>0.55653314857296254</c:v>
                </c:pt>
                <c:pt idx="1138">
                  <c:v>0.55252752060135291</c:v>
                </c:pt>
                <c:pt idx="1139">
                  <c:v>0.56366345370299731</c:v>
                </c:pt>
                <c:pt idx="1140">
                  <c:v>0.5634911652421285</c:v>
                </c:pt>
                <c:pt idx="1141">
                  <c:v>0.55649104167515795</c:v>
                </c:pt>
                <c:pt idx="1142">
                  <c:v>0.55950200720065113</c:v>
                </c:pt>
                <c:pt idx="1143">
                  <c:v>0.57969492797475064</c:v>
                </c:pt>
                <c:pt idx="1144">
                  <c:v>0.5548514267821405</c:v>
                </c:pt>
                <c:pt idx="1145">
                  <c:v>0.56641874404695758</c:v>
                </c:pt>
                <c:pt idx="1146">
                  <c:v>0.59862718089798894</c:v>
                </c:pt>
                <c:pt idx="1147">
                  <c:v>0.58704896278718033</c:v>
                </c:pt>
                <c:pt idx="1148">
                  <c:v>0.5836167462947941</c:v>
                </c:pt>
                <c:pt idx="1149">
                  <c:v>0.60281713963887684</c:v>
                </c:pt>
                <c:pt idx="1150">
                  <c:v>0.61165305231442146</c:v>
                </c:pt>
                <c:pt idx="1151">
                  <c:v>0.61569696343191094</c:v>
                </c:pt>
                <c:pt idx="1152">
                  <c:v>0.59863537230661157</c:v>
                </c:pt>
                <c:pt idx="1153">
                  <c:v>0.59861586491006291</c:v>
                </c:pt>
                <c:pt idx="1154">
                  <c:v>0.61510546218795692</c:v>
                </c:pt>
                <c:pt idx="1155">
                  <c:v>0.61426646563883003</c:v>
                </c:pt>
                <c:pt idx="1156">
                  <c:v>0.61990115132092238</c:v>
                </c:pt>
                <c:pt idx="1157">
                  <c:v>0.62059973374604238</c:v>
                </c:pt>
                <c:pt idx="1158">
                  <c:v>0.61035621600461498</c:v>
                </c:pt>
                <c:pt idx="1159">
                  <c:v>0.58714130420725996</c:v>
                </c:pt>
                <c:pt idx="1160">
                  <c:v>0.56834545262663361</c:v>
                </c:pt>
                <c:pt idx="1161">
                  <c:v>0.53435266428750272</c:v>
                </c:pt>
                <c:pt idx="1162">
                  <c:v>0.5337446583380463</c:v>
                </c:pt>
                <c:pt idx="1163">
                  <c:v>0.56098486122836033</c:v>
                </c:pt>
                <c:pt idx="1164">
                  <c:v>0.56081439520142184</c:v>
                </c:pt>
                <c:pt idx="1165">
                  <c:v>0.56194880464502139</c:v>
                </c:pt>
                <c:pt idx="1166">
                  <c:v>0.56194880464502139</c:v>
                </c:pt>
                <c:pt idx="1167">
                  <c:v>0.64733018246659446</c:v>
                </c:pt>
                <c:pt idx="1168">
                  <c:v>0.66530751762379625</c:v>
                </c:pt>
                <c:pt idx="1169">
                  <c:v>0.64236618070863738</c:v>
                </c:pt>
                <c:pt idx="1170">
                  <c:v>0.65130696251046349</c:v>
                </c:pt>
                <c:pt idx="1171">
                  <c:v>0.62670117088098864</c:v>
                </c:pt>
                <c:pt idx="1172">
                  <c:v>0.64739832241715456</c:v>
                </c:pt>
                <c:pt idx="1173">
                  <c:v>0.54758520501967534</c:v>
                </c:pt>
                <c:pt idx="1174">
                  <c:v>0.54773150698308215</c:v>
                </c:pt>
                <c:pt idx="1175">
                  <c:v>0.52633817377184267</c:v>
                </c:pt>
                <c:pt idx="1176">
                  <c:v>0.56074145550029564</c:v>
                </c:pt>
                <c:pt idx="1177">
                  <c:v>0.55785928138928365</c:v>
                </c:pt>
                <c:pt idx="1178">
                  <c:v>0.56215222877006743</c:v>
                </c:pt>
                <c:pt idx="1179">
                  <c:v>0.56271920199653258</c:v>
                </c:pt>
                <c:pt idx="1180">
                  <c:v>0.56398541949133107</c:v>
                </c:pt>
                <c:pt idx="1181">
                  <c:v>0.56221079449869116</c:v>
                </c:pt>
                <c:pt idx="1182">
                  <c:v>0.56221079449869116</c:v>
                </c:pt>
                <c:pt idx="1183">
                  <c:v>0.56207824827589536</c:v>
                </c:pt>
                <c:pt idx="1184">
                  <c:v>0.54352846749445294</c:v>
                </c:pt>
                <c:pt idx="1185">
                  <c:v>0.58284827242534087</c:v>
                </c:pt>
                <c:pt idx="1186">
                  <c:v>0.54225882677912252</c:v>
                </c:pt>
                <c:pt idx="1187">
                  <c:v>0.58283240108016177</c:v>
                </c:pt>
                <c:pt idx="1188">
                  <c:v>0.52772938835799699</c:v>
                </c:pt>
                <c:pt idx="1189">
                  <c:v>0.52810650887570987</c:v>
                </c:pt>
                <c:pt idx="1190">
                  <c:v>0.52888888888886421</c:v>
                </c:pt>
                <c:pt idx="1191">
                  <c:v>0.53728070175441189</c:v>
                </c:pt>
                <c:pt idx="1192">
                  <c:v>0.54065934065938892</c:v>
                </c:pt>
                <c:pt idx="1193">
                  <c:v>0.59287421247010674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D3-432C-9FAE-B711195B1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536096"/>
        <c:axId val="1132542336"/>
      </c:scatterChart>
      <c:valAx>
        <c:axId val="1132536096"/>
        <c:scaling>
          <c:orientation val="maxMin"/>
          <c:max val="100"/>
          <c:min val="10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42336"/>
        <c:crosses val="autoZero"/>
        <c:crossBetween val="midCat"/>
        <c:majorUnit val="5"/>
      </c:valAx>
      <c:valAx>
        <c:axId val="1132542336"/>
        <c:scaling>
          <c:orientation val="minMax"/>
          <c:max val="0.70000000000000007"/>
          <c:min val="0.5"/>
        </c:scaling>
        <c:delete val="0"/>
        <c:axPos val="r"/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36096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414528</xdr:colOff>
      <xdr:row>2</xdr:row>
      <xdr:rowOff>187038</xdr:rowOff>
    </xdr:from>
    <xdr:ext cx="3179572" cy="5881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3C90256-F0D1-4EE8-88BB-57F4AAB4249E}"/>
                </a:ext>
              </a:extLst>
            </xdr:cNvPr>
            <xdr:cNvSpPr txBox="1"/>
          </xdr:nvSpPr>
          <xdr:spPr>
            <a:xfrm>
              <a:off x="13063728" y="745838"/>
              <a:ext cx="3179572" cy="5881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d>
                          <m:d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𝜆</m:t>
                            </m:r>
                          </m:e>
                        </m:d>
                      </m:e>
                      <m:sup>
                        <m:r>
                          <a:rPr lang="en-US" altLang="zh-CN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nary>
                      <m:naryPr>
                        <m:chr m:val="∑"/>
                        <m:ctrlPr>
                          <a:rPr lang="en-US" altLang="zh-CN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altLang="zh-CN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f>
                          <m:f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⋅</m:t>
                            </m:r>
                            <m:sSup>
                              <m:sSupPr>
                                <m:ctrlPr>
                                  <a:rPr lang="en-US" sz="140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40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𝜆</m:t>
                                </m:r>
                              </m:e>
                              <m:sup>
                                <m:r>
                                  <a:rPr lang="en-US" sz="140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p>
                              <m:sSupPr>
                                <m:ctrlPr>
                                  <a:rPr lang="en-US" sz="140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40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𝜆</m:t>
                                </m:r>
                              </m:e>
                              <m:sup>
                                <m:r>
                                  <a:rPr lang="en-US" sz="140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𝑐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sz="140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nary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3C90256-F0D1-4EE8-88BB-57F4AAB4249E}"/>
                </a:ext>
              </a:extLst>
            </xdr:cNvPr>
            <xdr:cNvSpPr txBox="1"/>
          </xdr:nvSpPr>
          <xdr:spPr>
            <a:xfrm>
              <a:off x="13063728" y="745838"/>
              <a:ext cx="3179572" cy="5881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𝑛(𝜆)〗^</a:t>
              </a:r>
              <a:r>
                <a:rPr lang="en-US" altLang="zh-CN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𝑎+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altLang="zh-CN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_𝑖^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𝑏_𝑖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𝜆^2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𝜆^2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−〖𝑐_𝑖〗^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141478</xdr:colOff>
      <xdr:row>7</xdr:row>
      <xdr:rowOff>161638</xdr:rowOff>
    </xdr:from>
    <xdr:ext cx="3979672" cy="6125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2E11FBE-A3A2-4719-B039-9200AA5EF53B}"/>
                </a:ext>
              </a:extLst>
            </xdr:cNvPr>
            <xdr:cNvSpPr txBox="1"/>
          </xdr:nvSpPr>
          <xdr:spPr>
            <a:xfrm>
              <a:off x="12790678" y="1672938"/>
              <a:ext cx="3979672" cy="612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d>
                          <m:d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𝜆</m:t>
                            </m:r>
                          </m:e>
                        </m:d>
                      </m:e>
                      <m:sup>
                        <m:r>
                          <a:rPr lang="en-US" altLang="zh-CN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nary>
                      <m:naryPr>
                        <m:chr m:val="∑"/>
                        <m:ctrlP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𝑛</m:t>
                        </m:r>
                      </m:sup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⋅</m:t>
                        </m:r>
                        <m:sSup>
                          <m:sSup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p>
                        </m:sSup>
                      </m:e>
                    </m:nary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nary>
                      <m:naryPr>
                        <m:chr m:val="∑"/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𝑗</m:t>
                        </m:r>
                      </m:sub>
                      <m:sup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sup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⋅</m:t>
                        </m:r>
                        <m:sSup>
                          <m:sSup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−2</m:t>
                            </m:r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2E11FBE-A3A2-4719-B039-9200AA5EF53B}"/>
                </a:ext>
              </a:extLst>
            </xdr:cNvPr>
            <xdr:cNvSpPr txBox="1"/>
          </xdr:nvSpPr>
          <xdr:spPr>
            <a:xfrm>
              <a:off x="12790678" y="1672938"/>
              <a:ext cx="3979672" cy="612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𝑛(𝜆)〗^</a:t>
              </a:r>
              <a:r>
                <a:rPr lang="en-US" altLang="zh-CN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𝑎+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∑_𝑖^𝑛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 𝑏_𝑖⋅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2𝑖 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_𝑗^𝑚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𝑐_𝑗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−2𝑗) 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342900</xdr:colOff>
      <xdr:row>12</xdr:row>
      <xdr:rowOff>165100</xdr:rowOff>
    </xdr:from>
    <xdr:ext cx="3179572" cy="4410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A85E577-FEB0-420C-A5FE-272A7AA21F2D}"/>
                </a:ext>
              </a:extLst>
            </xdr:cNvPr>
            <xdr:cNvSpPr txBox="1"/>
          </xdr:nvSpPr>
          <xdr:spPr>
            <a:xfrm>
              <a:off x="11550650" y="2628900"/>
              <a:ext cx="3179572" cy="4410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b>
                        <m: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𝜆</m:t>
                        </m:r>
                      </m:sub>
                    </m:sSub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A85E577-FEB0-420C-A5FE-272A7AA21F2D}"/>
                </a:ext>
              </a:extLst>
            </xdr:cNvPr>
            <xdr:cNvSpPr txBox="1"/>
          </xdr:nvSpPr>
          <xdr:spPr>
            <a:xfrm>
              <a:off x="11550650" y="2628900"/>
              <a:ext cx="3179572" cy="4410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𝑣_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−1)/(𝑛_𝑎−𝑛_𝑏 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1066800</xdr:colOff>
      <xdr:row>12</xdr:row>
      <xdr:rowOff>158750</xdr:rowOff>
    </xdr:from>
    <xdr:ext cx="1879600" cy="441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F1B61C9-F83F-46D3-9D50-1CB559ABBB95}"/>
                </a:ext>
              </a:extLst>
            </xdr:cNvPr>
            <xdr:cNvSpPr txBox="1"/>
          </xdr:nvSpPr>
          <xdr:spPr>
            <a:xfrm>
              <a:off x="16510000" y="2622550"/>
              <a:ext cx="1879600" cy="441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</m:t>
                        </m:r>
                      </m:sub>
                    </m:sSub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F1B61C9-F83F-46D3-9D50-1CB559ABBB95}"/>
                </a:ext>
              </a:extLst>
            </xdr:cNvPr>
            <xdr:cNvSpPr txBox="1"/>
          </xdr:nvSpPr>
          <xdr:spPr>
            <a:xfrm>
              <a:off x="16510000" y="2622550"/>
              <a:ext cx="1879600" cy="441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𝑣_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𝑑−1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𝑛_𝐹−𝑛_𝐶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336550</xdr:colOff>
      <xdr:row>16</xdr:row>
      <xdr:rowOff>184150</xdr:rowOff>
    </xdr:from>
    <xdr:ext cx="3179572" cy="4111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CD4C41A-A9E7-4C70-A6D8-49BA8C3A314A}"/>
                </a:ext>
              </a:extLst>
            </xdr:cNvPr>
            <xdr:cNvSpPr txBox="1"/>
          </xdr:nvSpPr>
          <xdr:spPr>
            <a:xfrm>
              <a:off x="11544300" y="3409950"/>
              <a:ext cx="3179572" cy="4111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CD4C41A-A9E7-4C70-A6D8-49BA8C3A314A}"/>
                </a:ext>
              </a:extLst>
            </xdr:cNvPr>
            <xdr:cNvSpPr txBox="1"/>
          </xdr:nvSpPr>
          <xdr:spPr>
            <a:xfrm>
              <a:off x="11544300" y="3409950"/>
              <a:ext cx="3179572" cy="4111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𝑃_(𝑥,𝑦)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𝑛_𝑥−𝑛_𝑦)/(𝑛_𝑎−𝑛_𝑏 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1098550</xdr:colOff>
      <xdr:row>16</xdr:row>
      <xdr:rowOff>177800</xdr:rowOff>
    </xdr:from>
    <xdr:ext cx="1784350" cy="411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002CF08-49D3-4893-A1BD-A75035848D53}"/>
                </a:ext>
              </a:extLst>
            </xdr:cNvPr>
            <xdr:cNvSpPr txBox="1"/>
          </xdr:nvSpPr>
          <xdr:spPr>
            <a:xfrm>
              <a:off x="16541750" y="3403600"/>
              <a:ext cx="1784350" cy="411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002CF08-49D3-4893-A1BD-A75035848D53}"/>
                </a:ext>
              </a:extLst>
            </xdr:cNvPr>
            <xdr:cNvSpPr txBox="1"/>
          </xdr:nvSpPr>
          <xdr:spPr>
            <a:xfrm>
              <a:off x="16541750" y="3403600"/>
              <a:ext cx="1784350" cy="411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𝑥,𝑦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𝑥−𝑛_𝑦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𝑛_𝐹−𝑛_𝐶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2838450</xdr:colOff>
      <xdr:row>17</xdr:row>
      <xdr:rowOff>0</xdr:rowOff>
    </xdr:from>
    <xdr:ext cx="1757172" cy="411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CD0A533-4469-4290-821F-6689EACBC5E5}"/>
                </a:ext>
              </a:extLst>
            </xdr:cNvPr>
            <xdr:cNvSpPr txBox="1"/>
          </xdr:nvSpPr>
          <xdr:spPr>
            <a:xfrm>
              <a:off x="18281650" y="3416300"/>
              <a:ext cx="1757172" cy="411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CD0A533-4469-4290-821F-6689EACBC5E5}"/>
                </a:ext>
              </a:extLst>
            </xdr:cNvPr>
            <xdr:cNvSpPr txBox="1"/>
          </xdr:nvSpPr>
          <xdr:spPr>
            <a:xfrm>
              <a:off x="18281650" y="3416300"/>
              <a:ext cx="1757172" cy="411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𝑃′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〗_(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𝑥,𝑦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𝑥−𝑛_𝑦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𝑛_𝐹′−𝑛_𝐶′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476250</xdr:colOff>
      <xdr:row>21</xdr:row>
      <xdr:rowOff>95250</xdr:rowOff>
    </xdr:from>
    <xdr:ext cx="3179572" cy="2351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9E4134E-DC34-44A2-9695-6A2119F32ABB}"/>
                </a:ext>
              </a:extLst>
            </xdr:cNvPr>
            <xdr:cNvSpPr txBox="1"/>
          </xdr:nvSpPr>
          <xdr:spPr>
            <a:xfrm>
              <a:off x="11684000" y="4273550"/>
              <a:ext cx="3179572" cy="2351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</m:sub>
                    </m:sSub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∆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9E4134E-DC34-44A2-9695-6A2119F32ABB}"/>
                </a:ext>
              </a:extLst>
            </xdr:cNvPr>
            <xdr:cNvSpPr txBox="1"/>
          </xdr:nvSpPr>
          <xdr:spPr>
            <a:xfrm>
              <a:off x="11684000" y="4273550"/>
              <a:ext cx="3179572" cy="2351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𝑃_(𝑥,𝑦)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𝑚_(𝑥,𝑦)⋅𝑣_𝑑+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𝑏_(𝑥,𝑦)+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∆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𝑃_(𝑥,𝑦)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482600</xdr:colOff>
      <xdr:row>24</xdr:row>
      <xdr:rowOff>63500</xdr:rowOff>
    </xdr:from>
    <xdr:ext cx="3179572" cy="413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1E98283-5BD2-45E7-AD47-10C88C79BD3F}"/>
                </a:ext>
              </a:extLst>
            </xdr:cNvPr>
            <xdr:cNvSpPr txBox="1"/>
          </xdr:nvSpPr>
          <xdr:spPr>
            <a:xfrm>
              <a:off x="11690350" y="4813300"/>
              <a:ext cx="3179572" cy="413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∆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</m:sub>
                    </m:sSub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1E98283-5BD2-45E7-AD47-10C88C79BD3F}"/>
                </a:ext>
              </a:extLst>
            </xdr:cNvPr>
            <xdr:cNvSpPr txBox="1"/>
          </xdr:nvSpPr>
          <xdr:spPr>
            <a:xfrm>
              <a:off x="11690350" y="4813300"/>
              <a:ext cx="3179572" cy="413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∆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𝑃_(𝑥,𝑦)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𝑛_𝑥−𝑛_𝑦)/(𝑛_𝐹−𝑛_𝐶 )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−𝑚_(𝑥,𝑦)⋅𝑣_𝑑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−𝑏_(𝑥,𝑦)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920750</xdr:colOff>
      <xdr:row>21</xdr:row>
      <xdr:rowOff>50800</xdr:rowOff>
    </xdr:from>
    <xdr:ext cx="3746500" cy="405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3C2C873-4B77-4720-BD79-6754F89D2F89}"/>
                </a:ext>
              </a:extLst>
            </xdr:cNvPr>
            <xdr:cNvSpPr txBox="1"/>
          </xdr:nvSpPr>
          <xdr:spPr>
            <a:xfrm>
              <a:off x="16363950" y="4229100"/>
              <a:ext cx="3746500" cy="405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∆</m:t>
                    </m:r>
                    <m:sSub>
                      <m:sSubPr>
                        <m:ctrlPr>
                          <a:rPr lang="en-US" altLang="zh-CN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𝜃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−0.004743⋅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</m:t>
                    </m:r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.5451</m:t>
                    </m:r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3C2C873-4B77-4720-BD79-6754F89D2F89}"/>
                </a:ext>
              </a:extLst>
            </xdr:cNvPr>
            <xdr:cNvSpPr txBox="1"/>
          </xdr:nvSpPr>
          <xdr:spPr>
            <a:xfrm>
              <a:off x="16363950" y="4229100"/>
              <a:ext cx="3746500" cy="405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∆</a:t>
              </a:r>
              <a:r>
                <a:rPr lang="en-US" altLang="zh-CN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𝜃_(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𝐶,𝑡)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𝑛_𝐶−𝑛_𝑡)/(𝑛_𝐹−𝑛_𝐶 )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−0.004743⋅𝑣_𝑑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.5451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2946400</xdr:colOff>
      <xdr:row>12</xdr:row>
      <xdr:rowOff>146050</xdr:rowOff>
    </xdr:from>
    <xdr:ext cx="1511300" cy="441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1AC4CF4-FB50-47EF-A60A-9027C67226FF}"/>
                </a:ext>
              </a:extLst>
            </xdr:cNvPr>
            <xdr:cNvSpPr txBox="1"/>
          </xdr:nvSpPr>
          <xdr:spPr>
            <a:xfrm>
              <a:off x="18389600" y="2609850"/>
              <a:ext cx="1511300" cy="441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sub>
                    </m:sSub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1AC4CF4-FB50-47EF-A60A-9027C67226FF}"/>
                </a:ext>
              </a:extLst>
            </xdr:cNvPr>
            <xdr:cNvSpPr txBox="1"/>
          </xdr:nvSpPr>
          <xdr:spPr>
            <a:xfrm>
              <a:off x="18389600" y="2609850"/>
              <a:ext cx="1511300" cy="441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𝑣_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𝑒−1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𝑛_𝐹′−𝑛_𝐶′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876300</xdr:colOff>
      <xdr:row>24</xdr:row>
      <xdr:rowOff>82550</xdr:rowOff>
    </xdr:from>
    <xdr:ext cx="3822700" cy="413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3E13388-9586-4FEF-BFA1-607B96C391B8}"/>
                </a:ext>
              </a:extLst>
            </xdr:cNvPr>
            <xdr:cNvSpPr txBox="1"/>
          </xdr:nvSpPr>
          <xdr:spPr>
            <a:xfrm>
              <a:off x="16319500" y="4832350"/>
              <a:ext cx="3822700" cy="413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∆</m:t>
                    </m:r>
                    <m:sSub>
                      <m:sSubPr>
                        <m:ctrlPr>
                          <a:rPr lang="en-US" altLang="zh-CN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𝜃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sub>
                    </m:sSub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𝑔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+0.001682</m:t>
                    </m:r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⋅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</m:t>
                    </m:r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.6438</m:t>
                    </m:r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3E13388-9586-4FEF-BFA1-607B96C391B8}"/>
                </a:ext>
              </a:extLst>
            </xdr:cNvPr>
            <xdr:cNvSpPr txBox="1"/>
          </xdr:nvSpPr>
          <xdr:spPr>
            <a:xfrm>
              <a:off x="16319500" y="4832350"/>
              <a:ext cx="3822700" cy="413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∆</a:t>
              </a:r>
              <a:r>
                <a:rPr lang="en-US" altLang="zh-CN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𝜃_(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𝑔,𝐹)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𝑛_𝑔−𝑛_𝐹)/(𝑛_𝐹−𝑛_𝐶 )+0.001682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𝑣_𝑑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.6438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1066800</xdr:colOff>
      <xdr:row>3</xdr:row>
      <xdr:rowOff>38100</xdr:rowOff>
    </xdr:from>
    <xdr:ext cx="3568700" cy="4685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28F5CA6-4BB8-403B-BA1E-521B7659ABCE}"/>
                </a:ext>
              </a:extLst>
            </xdr:cNvPr>
            <xdr:cNvSpPr txBox="1"/>
          </xdr:nvSpPr>
          <xdr:spPr>
            <a:xfrm>
              <a:off x="16510000" y="787400"/>
              <a:ext cx="3568700" cy="4685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  <m:d>
                          <m:d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</m:d>
                      </m:e>
                      <m:sup>
                        <m: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1+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⋅</m:t>
                        </m:r>
                        <m:sSup>
                          <m:sSup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  <m:sup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⋅</m:t>
                        </m:r>
                        <m:sSup>
                          <m:sSup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e>
                          <m:sup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⋅</m:t>
                        </m:r>
                        <m:sSup>
                          <m:sSup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</m:e>
                          <m:sup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28F5CA6-4BB8-403B-BA1E-521B7659ABCE}"/>
                </a:ext>
              </a:extLst>
            </xdr:cNvPr>
            <xdr:cNvSpPr txBox="1"/>
          </xdr:nvSpPr>
          <xdr:spPr>
            <a:xfrm>
              <a:off x="16510000" y="787400"/>
              <a:ext cx="3568700" cy="4685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𝑛(𝜆)〗^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1+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𝑏_1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𝜆^2)/(𝜆^2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−〖𝑐_1〗^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2 )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𝑏_2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𝜆^2)/(𝜆^2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−〖𝑐_2〗^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2 )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𝑏_3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𝜆^2)/(𝜆^2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−〖𝑐_3〗^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249428</xdr:colOff>
      <xdr:row>8</xdr:row>
      <xdr:rowOff>95250</xdr:rowOff>
    </xdr:from>
    <xdr:ext cx="5236972" cy="3688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67A352C-AA41-4958-ADAA-0C816A919BE8}"/>
                </a:ext>
              </a:extLst>
            </xdr:cNvPr>
            <xdr:cNvSpPr txBox="1"/>
          </xdr:nvSpPr>
          <xdr:spPr>
            <a:xfrm>
              <a:off x="15692628" y="1797050"/>
              <a:ext cx="5236972" cy="3688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  <m:d>
                          <m:d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</m:d>
                      </m:e>
                      <m:sup>
                        <m: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⋅</m:t>
                    </m:r>
                    <m:sSup>
                      <m:sSupPr>
                        <m:ctrlP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𝜆</m:t>
                        </m:r>
                      </m:e>
                      <m:sup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⋅</m:t>
                    </m:r>
                    <m:sSup>
                      <m:sSupPr>
                        <m:ctrlP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𝜆</m:t>
                        </m:r>
                      </m:e>
                      <m:sup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p>
                    </m:sSup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p>
                        </m:sSup>
                      </m:den>
                    </m:f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</m:t>
                            </m:r>
                          </m:sup>
                        </m:sSup>
                      </m:den>
                    </m:f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8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67A352C-AA41-4958-ADAA-0C816A919BE8}"/>
                </a:ext>
              </a:extLst>
            </xdr:cNvPr>
            <xdr:cNvSpPr txBox="1"/>
          </xdr:nvSpPr>
          <xdr:spPr>
            <a:xfrm>
              <a:off x="15692628" y="1797050"/>
              <a:ext cx="5236972" cy="3688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𝑛(𝜆)〗^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𝑎+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𝑏_1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2+𝑏_2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+𝑐_1/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+𝑐_2/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 +𝑐_3/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 +𝑐_4/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𝜆^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 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257386</xdr:colOff>
      <xdr:row>28</xdr:row>
      <xdr:rowOff>119945</xdr:rowOff>
    </xdr:from>
    <xdr:ext cx="3932201" cy="8414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F73B704-315B-4422-95CD-824BB128B5D4}"/>
                </a:ext>
              </a:extLst>
            </xdr:cNvPr>
            <xdr:cNvSpPr txBox="1"/>
          </xdr:nvSpPr>
          <xdr:spPr>
            <a:xfrm>
              <a:off x="11465136" y="5631745"/>
              <a:ext cx="3932201" cy="8414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 kern="1200" baseline="0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𝑧</m:t>
                    </m:r>
                    <m:d>
                      <m:dPr>
                        <m:ctrlPr>
                          <a:rPr lang="en-US" sz="1400" b="0" i="1" kern="1200" baseline="0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0" i="1" kern="1200" baseline="0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e>
                    </m:d>
                    <m:r>
                      <a:rPr lang="en-US" sz="1400" i="1" kern="1200" baseline="0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 kern="1200" baseline="0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400" b="0" i="1" kern="1200" baseline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400" b="0" i="1" kern="1200" baseline="0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400" b="0" i="1" kern="1200" baseline="0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p>
                                <m:r>
                                  <a:rPr lang="en-US" sz="1400" b="0" i="1" kern="1200" baseline="0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400" b="0" i="1" kern="1200" baseline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𝑟</m:t>
                            </m:r>
                          </m:den>
                        </m:f>
                      </m:num>
                      <m:den>
                        <m:r>
                          <a:rPr lang="en-US" sz="1400" b="0" i="1" kern="1200" baseline="0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1+</m:t>
                        </m:r>
                        <m:rad>
                          <m:radPr>
                            <m:degHide m:val="on"/>
                            <m:ctrlPr>
                              <a:rPr lang="en-US" sz="1400" b="0" i="1" kern="1200" baseline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en-US" sz="1400" b="0" i="1" kern="1200" baseline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1−</m:t>
                            </m:r>
                            <m:d>
                              <m:dPr>
                                <m:ctrlPr>
                                  <a:rPr lang="en-US" sz="1400" b="0" i="1" kern="1200" baseline="0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400" b="0" i="1" kern="1200" baseline="0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US" sz="1400" b="0" i="1" kern="1200" baseline="0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𝜅</m:t>
                                </m:r>
                              </m:e>
                            </m:d>
                            <m:r>
                              <a:rPr lang="en-US" sz="1400" b="0" i="1" kern="1200" baseline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⋅</m:t>
                            </m:r>
                            <m:f>
                              <m:fPr>
                                <m:ctrlPr>
                                  <a:rPr lang="en-US" sz="1400" b="0" i="1" kern="1200" baseline="0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n-US" sz="1400" b="0" i="1" kern="1200" baseline="0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 kern="1200" baseline="0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  <m:sup>
                                    <m:r>
                                      <a:rPr lang="en-US" sz="1400" b="0" i="1" kern="1200" baseline="0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sSup>
                                  <m:sSupPr>
                                    <m:ctrlPr>
                                      <a:rPr lang="en-US" sz="1400" b="0" i="1" kern="1200" baseline="0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 kern="1200" baseline="0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e>
                                  <m:sup>
                                    <m:r>
                                      <a:rPr lang="en-US" sz="1400" b="0" i="1" kern="1200" baseline="0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rad>
                      </m:den>
                    </m:f>
                    <m:r>
                      <a:rPr lang="en-US" sz="1400" b="0" i="1" kern="1200" baseline="0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nary>
                      <m:naryPr>
                        <m:chr m:val="∑"/>
                        <m:ctrlPr>
                          <a:rPr lang="en-US" altLang="zh-CN" sz="1400" i="1" kern="1200" baseline="0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altLang="zh-CN" sz="1400" i="1" kern="1200" baseline="0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sz="1400" i="1" kern="1200" baseline="0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US" sz="1400" b="0" i="1" kern="1200" baseline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 kern="1200" baseline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400" b="0" i="1" kern="1200" baseline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US" sz="1400" b="0" i="1" kern="1200" baseline="0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⋅</m:t>
                        </m:r>
                        <m:sSup>
                          <m:sSupPr>
                            <m:ctrlPr>
                              <a:rPr lang="en-US" sz="1400" b="0" i="1" kern="1200" baseline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400" b="0" i="1" kern="1200" baseline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  <m:sup>
                            <m:r>
                              <a:rPr lang="en-US" sz="1400" b="0" i="1" kern="1200" baseline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400" i="1" kern="1200" baseline="0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F73B704-315B-4422-95CD-824BB128B5D4}"/>
                </a:ext>
              </a:extLst>
            </xdr:cNvPr>
            <xdr:cNvSpPr txBox="1"/>
          </xdr:nvSpPr>
          <xdr:spPr>
            <a:xfrm>
              <a:off x="11465136" y="5631745"/>
              <a:ext cx="3932201" cy="8414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 kern="1200" baseline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𝑧(𝑟)</a:t>
              </a:r>
              <a:r>
                <a:rPr lang="en-US" sz="1400" i="0" kern="1200" baseline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b="0" i="0" kern="1200" baseline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(𝑦^2/𝑟)/(</a:t>
              </a:r>
              <a:r>
                <a:rPr lang="en-US" sz="1400" b="0" i="0" kern="1200" baseline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1+√(1−(1+𝜅)⋅𝑦^2/𝑟^2 )</a:t>
              </a:r>
              <a:r>
                <a:rPr lang="en-US" sz="1400" b="0" i="0" kern="1200" baseline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n-US" sz="1400" b="0" i="0" kern="1200" baseline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400" i="0" kern="1200" baseline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altLang="zh-CN" sz="1400" i="0" kern="1200" baseline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_𝑖^</a:t>
              </a:r>
              <a:r>
                <a:rPr lang="en-US" sz="1400" i="0" kern="1200" baseline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en-US" sz="1400" b="0" i="0" kern="1200" baseline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US" sz="1400" b="0" i="0" kern="1200" baseline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𝑎_𝑖</a:t>
              </a:r>
              <a:r>
                <a:rPr lang="en-US" sz="1400" b="0" i="0" kern="1200" baseline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</a:t>
              </a:r>
              <a:r>
                <a:rPr lang="en-US" sz="1400" b="0" i="0" kern="1200" baseline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𝑛^𝑖 〗</a:t>
              </a:r>
              <a:endParaRPr lang="en-US" sz="1400" i="1" kern="1200" baseline="0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641350</xdr:colOff>
      <xdr:row>35</xdr:row>
      <xdr:rowOff>25400</xdr:rowOff>
    </xdr:from>
    <xdr:ext cx="3016250" cy="4794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6E42AC4-E1C4-48DE-99A2-AD4C93F4EB1B}"/>
                </a:ext>
              </a:extLst>
            </xdr:cNvPr>
            <xdr:cNvSpPr txBox="1"/>
          </xdr:nvSpPr>
          <xdr:spPr>
            <a:xfrm>
              <a:off x="11849100" y="6870700"/>
              <a:ext cx="3016250" cy="479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</m:den>
                    </m:f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⋅</m:t>
                    </m:r>
                    <m:d>
                      <m:dPr>
                        <m:begChr m:val="["/>
                        <m:endChr m:val="]"/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den>
                        </m:f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f>
                          <m:f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d>
                              <m:d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e>
                            </m:d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⋅</m:t>
                            </m:r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</m:t>
                            </m:r>
                          </m:num>
                          <m:den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6E42AC4-E1C4-48DE-99A2-AD4C93F4EB1B}"/>
                </a:ext>
              </a:extLst>
            </xdr:cNvPr>
            <xdr:cNvSpPr txBox="1"/>
          </xdr:nvSpPr>
          <xdr:spPr>
            <a:xfrm>
              <a:off x="11849100" y="6870700"/>
              <a:ext cx="3016250" cy="479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1/𝑓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𝑛−1)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⋅[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1/𝑅_1 −1/𝑅_2 +((𝑛−1)⋅𝑑)/(𝑛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𝑅_1 𝑅_2 )]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546100</xdr:colOff>
      <xdr:row>39</xdr:row>
      <xdr:rowOff>165100</xdr:rowOff>
    </xdr:from>
    <xdr:ext cx="3016250" cy="5919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9EDCC34-8453-46D9-99D0-D88F8DF42232}"/>
                </a:ext>
              </a:extLst>
            </xdr:cNvPr>
            <xdr:cNvSpPr txBox="1"/>
          </xdr:nvSpPr>
          <xdr:spPr>
            <a:xfrm>
              <a:off x="11753850" y="8343900"/>
              <a:ext cx="3016250" cy="5919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</m:den>
                    </m:f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f>
                          <m:f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den>
                        </m:f>
                      </m:e>
                    </m:nary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9EDCC34-8453-46D9-99D0-D88F8DF42232}"/>
                </a:ext>
              </a:extLst>
            </xdr:cNvPr>
            <xdr:cNvSpPr txBox="1"/>
          </xdr:nvSpPr>
          <xdr:spPr>
            <a:xfrm>
              <a:off x="11753850" y="8343900"/>
              <a:ext cx="3016250" cy="5919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1/𝑓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=∑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_𝑖^𝑛▒〖 1/𝑓_𝑖 〗−𝑑_𝑖/(𝑓_𝑖⋅𝑓_(𝑖+1) 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304800</xdr:colOff>
      <xdr:row>49</xdr:row>
      <xdr:rowOff>146050</xdr:rowOff>
    </xdr:from>
    <xdr:ext cx="3517900" cy="691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D3ECAA8-84F1-4753-A631-EC8E6F2197FF}"/>
                </a:ext>
              </a:extLst>
            </xdr:cNvPr>
            <xdr:cNvSpPr txBox="1"/>
          </xdr:nvSpPr>
          <xdr:spPr>
            <a:xfrm>
              <a:off x="11512550" y="9277350"/>
              <a:ext cx="3517900" cy="691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𝑆𝑁𝑅</m:t>
                    </m:r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𝜙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sSub>
                              <m:sSubPr>
                                <m:ctrlPr>
                                  <a:rPr lang="en-US" sz="140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𝜙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𝑟𝑚𝑠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den>
                    </m:f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D3ECAA8-84F1-4753-A631-EC8E6F2197FF}"/>
                </a:ext>
              </a:extLst>
            </xdr:cNvPr>
            <xdr:cNvSpPr txBox="1"/>
          </xdr:nvSpPr>
          <xdr:spPr>
            <a:xfrm>
              <a:off x="11512550" y="9277350"/>
              <a:ext cx="3517900" cy="691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𝑆𝑁𝑅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𝜙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𝑣/√(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𝜙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𝑣+〖𝑁_𝑟𝑚𝑠〗^2 )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368300</xdr:colOff>
      <xdr:row>45</xdr:row>
      <xdr:rowOff>66675</xdr:rowOff>
    </xdr:from>
    <xdr:ext cx="3517900" cy="4771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D8B915C-9FB1-4641-9096-0D854DD7A60B}"/>
                </a:ext>
              </a:extLst>
            </xdr:cNvPr>
            <xdr:cNvSpPr txBox="1"/>
          </xdr:nvSpPr>
          <xdr:spPr>
            <a:xfrm>
              <a:off x="11576050" y="9401175"/>
              <a:ext cx="3517900" cy="4771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⋅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⋅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𝑓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−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𝑓</m:t>
                        </m:r>
                      </m:den>
                    </m:f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D8B915C-9FB1-4641-9096-0D854DD7A60B}"/>
                </a:ext>
              </a:extLst>
            </xdr:cNvPr>
            <xdr:cNvSpPr txBox="1"/>
          </xdr:nvSpPr>
          <xdr:spPr>
            <a:xfrm>
              <a:off x="11576050" y="9401175"/>
              <a:ext cx="3517900" cy="4771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𝑑_𝑐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𝑆_2−𝑆_1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|/𝑆_2 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𝑓/𝑁_𝑓 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⋅𝑓/(𝑆_1−𝑓)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1212850</xdr:colOff>
      <xdr:row>45</xdr:row>
      <xdr:rowOff>47625</xdr:rowOff>
    </xdr:from>
    <xdr:ext cx="3517900" cy="4871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51FCF97-93D4-46FE-9740-0048C98CC8D1}"/>
                </a:ext>
              </a:extLst>
            </xdr:cNvPr>
            <xdr:cNvSpPr txBox="1"/>
          </xdr:nvSpPr>
          <xdr:spPr>
            <a:xfrm>
              <a:off x="16656050" y="8797925"/>
              <a:ext cx="3517900" cy="4871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unc>
                      <m:funcPr>
                        <m:ctrlP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400" i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limLowPr>
                          <m:e>
                            <m:r>
                              <m:rPr>
                                <m:sty m:val="p"/>
                              </m:rPr>
                              <a:rPr lang="en-US" sz="1400" i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lim</m:t>
                            </m:r>
                          </m:e>
                          <m:lim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→∞</m:t>
                            </m:r>
                          </m:lim>
                        </m:limLow>
                      </m:fName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f>
                          <m:fPr>
                            <m:ctrlP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𝑆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𝑆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num>
                          <m:den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⋅</m:t>
                        </m:r>
                        <m:f>
                          <m:f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𝑓</m:t>
                                </m:r>
                              </m:sub>
                            </m:sSub>
                          </m:den>
                        </m:f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⋅</m:t>
                        </m:r>
                        <m:f>
                          <m:f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den>
                        </m:f>
                      </m:e>
                    </m:func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⋅</m:t>
                    </m:r>
                    <m:f>
                      <m:f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𝑓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𝑓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51FCF97-93D4-46FE-9740-0048C98CC8D1}"/>
                </a:ext>
              </a:extLst>
            </xdr:cNvPr>
            <xdr:cNvSpPr txBox="1"/>
          </xdr:nvSpPr>
          <xdr:spPr>
            <a:xfrm>
              <a:off x="16656050" y="8797925"/>
              <a:ext cx="3517900" cy="4871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lim┬(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𝑆_1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→∞)⁡〖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|𝑆_2−𝑆_1 |/𝑆_2 ⋅𝑓/𝑁_𝑓 ⋅𝑓/(𝑆_1−𝑓)〗=𝑓/𝑆_2 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⋅𝑓/𝑁_𝑓 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285750</xdr:colOff>
      <xdr:row>35</xdr:row>
      <xdr:rowOff>6350</xdr:rowOff>
    </xdr:from>
    <xdr:ext cx="5365750" cy="4840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416789E-8AC4-464C-A618-EBB67F074EF3}"/>
                </a:ext>
              </a:extLst>
            </xdr:cNvPr>
            <xdr:cNvSpPr txBox="1"/>
          </xdr:nvSpPr>
          <xdr:spPr>
            <a:xfrm>
              <a:off x="15728950" y="6851650"/>
              <a:ext cx="5365750" cy="4840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unc>
                      <m:funcPr>
                        <m:ctrlP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400" i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m:rPr>
                                <m:sty m:val="p"/>
                              </m:rPr>
                              <a:rPr lang="en-US" sz="1400" i="0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lim</m:t>
                            </m:r>
                          </m:e>
                          <m:lim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  <m:r>
                              <a:rPr lang="en-US" sz="140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→</m:t>
                            </m:r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lim>
                        </m:limLow>
                      </m:fName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 </m:t>
                        </m:r>
                        <m:d>
                          <m:d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e>
                        </m:d>
                        <m:r>
                          <a:rPr lang="en-US" sz="140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⋅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ctrlP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−1</m:t>
                                    </m:r>
                                  </m:e>
                                </m:d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⋅</m:t>
                                </m:r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</m:t>
                                </m:r>
                              </m:num>
                              <m:den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⋅</m:t>
                                </m:r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bg1">
                                            <a:lumMod val="75000"/>
                                          </a:schemeClr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</m:func>
                    <m:r>
                      <a:rPr lang="en-US" sz="1400" b="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e>
                    </m:d>
                    <m:r>
                      <a:rPr lang="en-US" sz="1400" i="1">
                        <a:solidFill>
                          <a:schemeClr val="bg1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d>
                      <m:dPr>
                        <m:ctrlP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den>
                        </m:f>
                        <m:r>
                          <a:rPr lang="en-US" sz="1400" b="0" i="1">
                            <a:solidFill>
                              <a:schemeClr val="bg1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f>
                          <m:fPr>
                            <m:ctrlP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solidFill>
                                  <a:schemeClr val="bg1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bg1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416789E-8AC4-464C-A618-EBB67F074EF3}"/>
                </a:ext>
              </a:extLst>
            </xdr:cNvPr>
            <xdr:cNvSpPr txBox="1"/>
          </xdr:nvSpPr>
          <xdr:spPr>
            <a:xfrm>
              <a:off x="15728950" y="6851650"/>
              <a:ext cx="5365750" cy="4840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lim┬(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𝑑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→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0)⁡〖  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(𝑛−1)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⋅[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1/𝑅_1 −1/𝑅_2 +((𝑛−1)⋅𝑑)/(𝑛⋅𝑅_1 𝑅_2 )]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𝑛−1)</a:t>
              </a:r>
              <a:r>
                <a:rPr lang="en-US" sz="140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⋅(</a:t>
              </a:r>
              <a:r>
                <a:rPr lang="en-US" sz="1400" b="0" i="0">
                  <a:solidFill>
                    <a:schemeClr val="bg1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1/𝑅_1 −1/𝑅_2 )</a:t>
              </a:r>
              <a:endParaRPr lang="en-US" sz="1400" i="1">
                <a:solidFill>
                  <a:schemeClr val="bg1">
                    <a:lumMod val="7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>
    <xdr:from>
      <xdr:col>9</xdr:col>
      <xdr:colOff>1124909</xdr:colOff>
      <xdr:row>65</xdr:row>
      <xdr:rowOff>177800</xdr:rowOff>
    </xdr:from>
    <xdr:to>
      <xdr:col>26</xdr:col>
      <xdr:colOff>11280</xdr:colOff>
      <xdr:row>131</xdr:row>
      <xdr:rowOff>12573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3CDD0BA-F2F4-48B9-9400-39966BA23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63</xdr:row>
      <xdr:rowOff>0</xdr:rowOff>
    </xdr:from>
    <xdr:to>
      <xdr:col>8</xdr:col>
      <xdr:colOff>4963385</xdr:colOff>
      <xdr:row>128</xdr:row>
      <xdr:rowOff>12814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B1F3D5B1-C4BE-4ABA-A50B-67F01F1C1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292100</xdr:colOff>
      <xdr:row>64</xdr:row>
      <xdr:rowOff>76200</xdr:rowOff>
    </xdr:from>
    <xdr:to>
      <xdr:col>8</xdr:col>
      <xdr:colOff>5207000</xdr:colOff>
      <xdr:row>131</xdr:row>
      <xdr:rowOff>50800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1F0D8CE-62D3-4350-83F2-8F0372DB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152400</xdr:colOff>
      <xdr:row>67</xdr:row>
      <xdr:rowOff>88900</xdr:rowOff>
    </xdr:from>
    <xdr:to>
      <xdr:col>27</xdr:col>
      <xdr:colOff>374650</xdr:colOff>
      <xdr:row>125</xdr:row>
      <xdr:rowOff>38100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9B1D20A-6C3F-4318-9B91-F77645553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F4FD-BD09-4A2B-BB36-1936305A192A}">
  <sheetPr codeName="Sheet1"/>
  <dimension ref="A1:AE1196"/>
  <sheetViews>
    <sheetView tabSelected="1" zoomScaleNormal="100" workbookViewId="0">
      <pane xSplit="4" ySplit="2" topLeftCell="Z1160" activePane="bottomRight" state="frozen"/>
      <selection pane="topRight" activeCell="F1" sqref="F1"/>
      <selection pane="bottomLeft" activeCell="A3" sqref="A3"/>
      <selection pane="bottomRight" activeCell="E1190" sqref="E1190"/>
    </sheetView>
  </sheetViews>
  <sheetFormatPr defaultColWidth="8.69140625" defaultRowHeight="14.6"/>
  <cols>
    <col min="1" max="1" width="5.69140625" style="1" customWidth="1"/>
    <col min="2" max="2" width="14.69140625" style="1" customWidth="1"/>
    <col min="3" max="3" width="8.69140625" style="1" customWidth="1"/>
    <col min="4" max="4" width="16.69140625" style="1" customWidth="1"/>
    <col min="5" max="5" width="11.23046875" style="82" customWidth="1"/>
    <col min="6" max="7" width="11.23046875" style="2" customWidth="1"/>
    <col min="8" max="12" width="11.23046875" style="82" customWidth="1"/>
    <col min="13" max="18" width="12.69140625" style="4" customWidth="1"/>
    <col min="19" max="19" width="18.69140625" style="5" customWidth="1"/>
    <col min="20" max="25" width="16.69140625" style="6" customWidth="1"/>
    <col min="26" max="26" width="12.69140625" style="3" customWidth="1"/>
    <col min="27" max="28" width="12.69140625" style="7" customWidth="1"/>
    <col min="29" max="30" width="20.69140625" style="8" customWidth="1"/>
    <col min="31" max="31" width="64.69140625" style="9" customWidth="1"/>
    <col min="32" max="16384" width="8.69140625" style="1"/>
  </cols>
  <sheetData>
    <row r="1" spans="1:31" ht="24" customHeight="1" thickBot="1">
      <c r="A1" s="56"/>
      <c r="B1" s="54" t="s">
        <v>250</v>
      </c>
      <c r="C1" s="54" t="s">
        <v>1368</v>
      </c>
      <c r="D1" s="54" t="s">
        <v>257</v>
      </c>
      <c r="E1" s="78" t="s">
        <v>503</v>
      </c>
      <c r="F1" s="78"/>
      <c r="G1" s="78"/>
      <c r="H1" s="78" t="s">
        <v>504</v>
      </c>
      <c r="I1" s="78"/>
      <c r="J1" s="78"/>
      <c r="K1" s="78"/>
      <c r="L1" s="78"/>
      <c r="M1" s="54" t="s">
        <v>509</v>
      </c>
      <c r="N1" s="55"/>
      <c r="O1" s="55"/>
      <c r="P1" s="55"/>
      <c r="Q1" s="54"/>
      <c r="R1" s="54"/>
      <c r="S1" s="57" t="s">
        <v>794</v>
      </c>
      <c r="T1" s="58"/>
      <c r="U1" s="58"/>
      <c r="V1" s="58"/>
      <c r="W1" s="58"/>
      <c r="X1" s="58"/>
      <c r="Y1" s="59"/>
      <c r="Z1" s="50" t="s">
        <v>1132</v>
      </c>
      <c r="AA1" s="51"/>
      <c r="AB1" s="52"/>
      <c r="AC1" s="53" t="s">
        <v>119</v>
      </c>
      <c r="AD1" s="53"/>
      <c r="AE1" s="53"/>
    </row>
    <row r="2" spans="1:31" ht="20.149999999999999" customHeight="1" thickBot="1">
      <c r="A2" s="56"/>
      <c r="B2" s="54"/>
      <c r="C2" s="54"/>
      <c r="D2" s="54"/>
      <c r="E2" s="79" t="s">
        <v>1250</v>
      </c>
      <c r="F2" s="27" t="s">
        <v>1251</v>
      </c>
      <c r="G2" s="27" t="s">
        <v>1252</v>
      </c>
      <c r="H2" s="79" t="s">
        <v>1253</v>
      </c>
      <c r="I2" s="79" t="s">
        <v>1250</v>
      </c>
      <c r="J2" s="79" t="s">
        <v>1254</v>
      </c>
      <c r="K2" s="79" t="s">
        <v>1255</v>
      </c>
      <c r="L2" s="79" t="s">
        <v>1256</v>
      </c>
      <c r="M2" s="29" t="s">
        <v>1261</v>
      </c>
      <c r="N2" s="29" t="s">
        <v>1262</v>
      </c>
      <c r="O2" s="29" t="s">
        <v>1259</v>
      </c>
      <c r="P2" s="29" t="s">
        <v>1260</v>
      </c>
      <c r="Q2" s="30" t="s">
        <v>1258</v>
      </c>
      <c r="R2" s="30" t="s">
        <v>1257</v>
      </c>
      <c r="S2" s="30" t="s">
        <v>868</v>
      </c>
      <c r="T2" s="31" t="s">
        <v>1263</v>
      </c>
      <c r="U2" s="31" t="s">
        <v>1264</v>
      </c>
      <c r="V2" s="31" t="s">
        <v>1265</v>
      </c>
      <c r="W2" s="31" t="s">
        <v>1266</v>
      </c>
      <c r="X2" s="31" t="s">
        <v>1267</v>
      </c>
      <c r="Y2" s="31" t="s">
        <v>1268</v>
      </c>
      <c r="Z2" s="28" t="s">
        <v>1133</v>
      </c>
      <c r="AA2" s="32" t="s">
        <v>1130</v>
      </c>
      <c r="AB2" s="32" t="s">
        <v>1131</v>
      </c>
      <c r="AC2" s="33" t="s">
        <v>507</v>
      </c>
      <c r="AD2" s="33" t="s">
        <v>1386</v>
      </c>
      <c r="AE2" s="26" t="s">
        <v>505</v>
      </c>
    </row>
    <row r="3" spans="1:31" ht="15" thickBot="1">
      <c r="A3" s="34">
        <v>1</v>
      </c>
      <c r="B3" s="34" t="s">
        <v>251</v>
      </c>
      <c r="C3" s="41" t="s">
        <v>1365</v>
      </c>
      <c r="D3" s="34" t="s">
        <v>0</v>
      </c>
      <c r="E3" s="80">
        <f t="shared" ref="E3:E66" si="0">I3</f>
        <v>1.4969992887025918</v>
      </c>
      <c r="F3" s="35">
        <f t="shared" ref="F3:F66" si="1">(I3-1)/M3</f>
        <v>81.546844660932479</v>
      </c>
      <c r="G3" s="42" cm="1">
        <f t="array" ref="G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81.152630043259094</v>
      </c>
      <c r="H3" s="81" cm="1">
        <f t="array" ref="H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1.4951364052489096</v>
      </c>
      <c r="I3" s="81" cm="1">
        <f t="array" ref="I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1.4969992887025918</v>
      </c>
      <c r="J3" s="81" cm="1">
        <f t="array" ref="J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1.4984544539153302</v>
      </c>
      <c r="K3" s="81" cm="1">
        <f t="array" ref="K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1.5012310529421353</v>
      </c>
      <c r="L3" s="81" cm="1">
        <f t="array" ref="L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1.5045069048944417</v>
      </c>
      <c r="M3" s="37">
        <f t="shared" ref="M3:M66" si="2">K3-H3</f>
        <v>6.0946476932257632E-3</v>
      </c>
      <c r="N3" s="43">
        <f t="shared" ref="N3:N66" si="3">I3-H3</f>
        <v>1.8628834536822403E-3</v>
      </c>
      <c r="O3" s="43">
        <f t="shared" ref="O3:O66" si="4">L3-K3</f>
        <v>3.2758519523063967E-3</v>
      </c>
      <c r="P3" s="43">
        <f t="shared" ref="P3:P66" si="5">(I3-H3)/M3</f>
        <v>0.30565892360814328</v>
      </c>
      <c r="Q3" s="37">
        <f t="shared" ref="Q3:Q66" si="6">(L3-K3)/M3</f>
        <v>0.53749652435981254</v>
      </c>
      <c r="R3" s="37">
        <v>2.8000000000000001E-2</v>
      </c>
      <c r="S3" s="44" t="s">
        <v>1393</v>
      </c>
      <c r="T3" s="45">
        <v>1.1701050500000001</v>
      </c>
      <c r="U3" s="45">
        <v>4.75710783E-2</v>
      </c>
      <c r="V3" s="45">
        <v>0.76383244500000003</v>
      </c>
      <c r="W3" s="45">
        <v>6.1620392400000001E-3</v>
      </c>
      <c r="X3" s="45">
        <v>2.6337287599999998E-2</v>
      </c>
      <c r="Y3" s="45">
        <v>141.882642</v>
      </c>
      <c r="Z3" s="36">
        <v>3.62</v>
      </c>
      <c r="AA3" s="38">
        <v>459</v>
      </c>
      <c r="AB3" s="38"/>
      <c r="AC3" s="49" t="s">
        <v>506</v>
      </c>
      <c r="AD3" s="39" t="s">
        <v>1371</v>
      </c>
      <c r="AE3" s="46"/>
    </row>
    <row r="4" spans="1:31" ht="15" thickBot="1">
      <c r="A4" s="34">
        <v>2</v>
      </c>
      <c r="B4" s="34" t="s">
        <v>251</v>
      </c>
      <c r="C4" s="41" t="s">
        <v>1365</v>
      </c>
      <c r="D4" s="34" t="s">
        <v>1</v>
      </c>
      <c r="E4" s="80">
        <f t="shared" si="0"/>
        <v>1.4387504366578638</v>
      </c>
      <c r="F4" s="35">
        <f t="shared" si="1"/>
        <v>94.947134342214298</v>
      </c>
      <c r="G4" s="42" cm="1">
        <f t="array" ref="G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94.494203071389464</v>
      </c>
      <c r="H4" s="81" cm="1">
        <f t="array" ref="H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1.4373333571912175</v>
      </c>
      <c r="I4" s="81" cm="1">
        <f t="array" ref="I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1.4387504366578638</v>
      </c>
      <c r="J4" s="81" cm="1">
        <f t="array" ref="J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1.4398542185623289</v>
      </c>
      <c r="K4" s="81" cm="1">
        <f t="array" ref="K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1.4419543543355493</v>
      </c>
      <c r="L4" s="81" cm="1">
        <f t="array" ref="L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1.4444235467537856</v>
      </c>
      <c r="M4" s="37">
        <f t="shared" si="2"/>
        <v>4.6209971443318398E-3</v>
      </c>
      <c r="N4" s="43">
        <f t="shared" si="3"/>
        <v>1.417079466646376E-3</v>
      </c>
      <c r="O4" s="43">
        <f t="shared" si="4"/>
        <v>2.4691924182362879E-3</v>
      </c>
      <c r="P4" s="43">
        <f t="shared" si="5"/>
        <v>0.30666096999964165</v>
      </c>
      <c r="Q4" s="37">
        <f t="shared" si="6"/>
        <v>0.53434190524549952</v>
      </c>
      <c r="R4" s="37">
        <v>4.6100000000000002E-2</v>
      </c>
      <c r="S4" s="44" t="s">
        <v>1393</v>
      </c>
      <c r="T4" s="45">
        <v>0.98353232700000004</v>
      </c>
      <c r="U4" s="45">
        <v>6.9568814000000007E-2</v>
      </c>
      <c r="V4" s="45">
        <v>1.11409238</v>
      </c>
      <c r="W4" s="45">
        <v>4.9223495499999999E-3</v>
      </c>
      <c r="X4" s="45">
        <v>1.93581091E-2</v>
      </c>
      <c r="Y4" s="45">
        <v>264.27529399999997</v>
      </c>
      <c r="Z4" s="36">
        <v>3.62</v>
      </c>
      <c r="AA4" s="38">
        <v>428</v>
      </c>
      <c r="AB4" s="38"/>
      <c r="AC4" s="49" t="s">
        <v>506</v>
      </c>
      <c r="AD4" s="39" t="s">
        <v>1371</v>
      </c>
      <c r="AE4" s="46"/>
    </row>
    <row r="5" spans="1:31" ht="15" thickBot="1">
      <c r="A5" s="34">
        <v>3</v>
      </c>
      <c r="B5" s="34" t="s">
        <v>251</v>
      </c>
      <c r="C5" s="41" t="s">
        <v>1365</v>
      </c>
      <c r="D5" s="34" t="s">
        <v>2</v>
      </c>
      <c r="E5" s="80">
        <f t="shared" si="0"/>
        <v>1.4387495559841681</v>
      </c>
      <c r="F5" s="35">
        <f t="shared" si="1"/>
        <v>94.662164567568809</v>
      </c>
      <c r="G5" s="42" cm="1">
        <f t="array" ref="G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94.217195488359252</v>
      </c>
      <c r="H5" s="81" cm="1">
        <f t="array" ref="H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1.4373275696867309</v>
      </c>
      <c r="I5" s="81" cm="1">
        <f t="array" ref="I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1.4387495559841681</v>
      </c>
      <c r="J5" s="81" cm="1">
        <f t="array" ref="J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1.4398566425313153</v>
      </c>
      <c r="K5" s="81" cm="1">
        <f t="array" ref="K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1.4419624685186818</v>
      </c>
      <c r="L5" s="81" cm="1">
        <f t="array" ref="L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1.4444376716681078</v>
      </c>
      <c r="M5" s="37">
        <f t="shared" si="2"/>
        <v>4.6348988319508955E-3</v>
      </c>
      <c r="N5" s="43">
        <f t="shared" si="3"/>
        <v>1.4219862974371722E-3</v>
      </c>
      <c r="O5" s="43">
        <f t="shared" si="4"/>
        <v>2.475203149425953E-3</v>
      </c>
      <c r="P5" s="43">
        <f t="shared" si="5"/>
        <v>0.30679985669474424</v>
      </c>
      <c r="Q5" s="37">
        <f t="shared" si="6"/>
        <v>0.5340360683523494</v>
      </c>
      <c r="R5" s="37">
        <v>4.5699999999999998E-2</v>
      </c>
      <c r="S5" s="44" t="s">
        <v>1393</v>
      </c>
      <c r="T5" s="45">
        <v>0.83906768200000004</v>
      </c>
      <c r="U5" s="45">
        <v>0.21408350300000001</v>
      </c>
      <c r="V5" s="45">
        <v>1.4791467700000001</v>
      </c>
      <c r="W5" s="45">
        <v>7.9528663900000005E-3</v>
      </c>
      <c r="X5" s="45">
        <v>-2.3258171700000002E-3</v>
      </c>
      <c r="Y5" s="45">
        <v>340.0437</v>
      </c>
      <c r="Z5" s="36">
        <v>3.59</v>
      </c>
      <c r="AA5" s="38">
        <v>439</v>
      </c>
      <c r="AB5" s="38"/>
      <c r="AC5" s="49" t="s">
        <v>506</v>
      </c>
      <c r="AD5" s="39" t="s">
        <v>1371</v>
      </c>
      <c r="AE5" s="46"/>
    </row>
    <row r="6" spans="1:31" ht="15" thickBot="1">
      <c r="A6" s="34">
        <v>4</v>
      </c>
      <c r="B6" s="34" t="s">
        <v>251</v>
      </c>
      <c r="C6" s="41" t="s">
        <v>1365</v>
      </c>
      <c r="D6" s="34" t="s">
        <v>88</v>
      </c>
      <c r="E6" s="80">
        <f t="shared" si="0"/>
        <v>1.5952195886349441</v>
      </c>
      <c r="F6" s="35">
        <f t="shared" si="1"/>
        <v>67.736525519310234</v>
      </c>
      <c r="G6" s="42" cm="1">
        <f t="array" ref="G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67.374294958926413</v>
      </c>
      <c r="H6" s="81" cm="1">
        <f t="array" ref="H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1.5925546451954393</v>
      </c>
      <c r="I6" s="81" cm="1">
        <f t="array" ref="I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1.5952195886349441</v>
      </c>
      <c r="J6" s="81" cm="1">
        <f t="array" ref="J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1.5973159760576021</v>
      </c>
      <c r="K6" s="81" cm="1">
        <f t="array" ref="K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1.6013419218393419</v>
      </c>
      <c r="L6" s="81" cm="1">
        <f t="array" ref="L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1.6061246030025489</v>
      </c>
      <c r="M6" s="37">
        <f t="shared" si="2"/>
        <v>8.7872766439025529E-3</v>
      </c>
      <c r="N6" s="43">
        <f t="shared" si="3"/>
        <v>2.6649434395047411E-3</v>
      </c>
      <c r="O6" s="43">
        <f t="shared" si="4"/>
        <v>4.7826811632070143E-3</v>
      </c>
      <c r="P6" s="43">
        <f t="shared" si="5"/>
        <v>0.30327296470789183</v>
      </c>
      <c r="Q6" s="37">
        <f t="shared" si="6"/>
        <v>0.54427342588851946</v>
      </c>
      <c r="R6" s="37">
        <v>1.23E-2</v>
      </c>
      <c r="S6" s="44" t="s">
        <v>1393</v>
      </c>
      <c r="T6" s="45">
        <v>0.76124278499999998</v>
      </c>
      <c r="U6" s="45">
        <v>0.747033375</v>
      </c>
      <c r="V6" s="45">
        <v>0.93892894699999996</v>
      </c>
      <c r="W6" s="45">
        <v>3.2117409499999999E-3</v>
      </c>
      <c r="X6" s="45">
        <v>1.4023442299999999E-2</v>
      </c>
      <c r="Y6" s="45">
        <v>139.52352999999999</v>
      </c>
      <c r="Z6" s="36">
        <v>4.17</v>
      </c>
      <c r="AA6" s="38">
        <v>569</v>
      </c>
      <c r="AB6" s="38"/>
      <c r="AC6" s="49" t="s">
        <v>506</v>
      </c>
      <c r="AD6" s="39" t="s">
        <v>1371</v>
      </c>
      <c r="AE6" s="46"/>
    </row>
    <row r="7" spans="1:31" ht="15" thickBot="1">
      <c r="A7" s="34">
        <v>5</v>
      </c>
      <c r="B7" s="34" t="s">
        <v>251</v>
      </c>
      <c r="C7" s="41" t="s">
        <v>1365</v>
      </c>
      <c r="D7" s="34" t="s">
        <v>89</v>
      </c>
      <c r="E7" s="80">
        <f t="shared" si="0"/>
        <v>1.5377503559610455</v>
      </c>
      <c r="F7" s="35">
        <f t="shared" si="1"/>
        <v>74.703997751608128</v>
      </c>
      <c r="G7" s="42" cm="1">
        <f t="array" ref="G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74.342046952947683</v>
      </c>
      <c r="H7" s="81" cm="1">
        <f t="array" ref="H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1.5355542997465503</v>
      </c>
      <c r="I7" s="81" cm="1">
        <f t="array" ref="I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1.5377503559610455</v>
      </c>
      <c r="J7" s="81" cm="1">
        <f t="array" ref="J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1.5394685493818752</v>
      </c>
      <c r="K7" s="81" cm="1">
        <f t="array" ref="K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1.542752714451866</v>
      </c>
      <c r="L7" s="81" cm="1">
        <f t="array" ref="L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1.546635353310055</v>
      </c>
      <c r="M7" s="37">
        <f t="shared" si="2"/>
        <v>7.1984147053156811E-3</v>
      </c>
      <c r="N7" s="43">
        <f t="shared" si="3"/>
        <v>2.1960562144951457E-3</v>
      </c>
      <c r="O7" s="43">
        <f t="shared" si="4"/>
        <v>3.8826388581889582E-3</v>
      </c>
      <c r="P7" s="43">
        <f t="shared" si="5"/>
        <v>0.30507497892188185</v>
      </c>
      <c r="Q7" s="37">
        <f t="shared" si="6"/>
        <v>0.53937415627385532</v>
      </c>
      <c r="R7" s="37">
        <v>1.8599999999999998E-2</v>
      </c>
      <c r="S7" s="44" t="s">
        <v>1393</v>
      </c>
      <c r="T7" s="45">
        <v>0.809407286</v>
      </c>
      <c r="U7" s="45">
        <v>0.52700703299999996</v>
      </c>
      <c r="V7" s="45">
        <v>0.90912770399999998</v>
      </c>
      <c r="W7" s="45">
        <v>3.76072389E-3</v>
      </c>
      <c r="X7" s="45">
        <v>1.35654895E-2</v>
      </c>
      <c r="Y7" s="45">
        <v>142.503612</v>
      </c>
      <c r="Z7" s="36">
        <v>3.64</v>
      </c>
      <c r="AA7" s="38">
        <v>505</v>
      </c>
      <c r="AB7" s="38"/>
      <c r="AC7" s="49" t="s">
        <v>506</v>
      </c>
      <c r="AD7" s="39" t="s">
        <v>1371</v>
      </c>
      <c r="AE7" s="46"/>
    </row>
    <row r="8" spans="1:31" ht="15" thickBot="1">
      <c r="A8" s="34">
        <v>6</v>
      </c>
      <c r="B8" s="34" t="s">
        <v>251</v>
      </c>
      <c r="C8" s="41" t="s">
        <v>1365</v>
      </c>
      <c r="D8" s="34" t="s">
        <v>90</v>
      </c>
      <c r="E8" s="80">
        <f t="shared" si="0"/>
        <v>1.5284102380134093</v>
      </c>
      <c r="F8" s="35">
        <f t="shared" si="1"/>
        <v>76.453723890856693</v>
      </c>
      <c r="G8" s="42" cm="1">
        <f t="array" ref="G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76.073455104365152</v>
      </c>
      <c r="H8" s="81" cm="1">
        <f t="array" ref="H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1.5263026427320598</v>
      </c>
      <c r="I8" s="81" cm="1">
        <f t="array" ref="I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1.5284102380134093</v>
      </c>
      <c r="J8" s="81" cm="1">
        <f t="array" ref="J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1.5300599960738688</v>
      </c>
      <c r="K8" s="81" cm="1">
        <f t="array" ref="K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1.5332141469874674</v>
      </c>
      <c r="L8" s="81" cm="1">
        <f t="array" ref="L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1.5369432531748806</v>
      </c>
      <c r="M8" s="37">
        <f t="shared" si="2"/>
        <v>6.9115042554075412E-3</v>
      </c>
      <c r="N8" s="43">
        <f t="shared" si="3"/>
        <v>2.1075952813494059E-3</v>
      </c>
      <c r="O8" s="43">
        <f t="shared" si="4"/>
        <v>3.7291061874131781E-3</v>
      </c>
      <c r="P8" s="43">
        <f t="shared" si="5"/>
        <v>0.30494016981909972</v>
      </c>
      <c r="Q8" s="37">
        <f t="shared" si="6"/>
        <v>0.5395505883535463</v>
      </c>
      <c r="R8" s="37">
        <v>2.18E-2</v>
      </c>
      <c r="S8" s="44" t="s">
        <v>1393</v>
      </c>
      <c r="T8" s="45">
        <v>0.68558508399999996</v>
      </c>
      <c r="U8" s="45">
        <v>0.62338021499999996</v>
      </c>
      <c r="V8" s="45">
        <v>0.91417838600000001</v>
      </c>
      <c r="W8" s="45">
        <v>2.8817201E-3</v>
      </c>
      <c r="X8" s="45">
        <v>1.24701707E-2</v>
      </c>
      <c r="Y8" s="45">
        <v>153.5772</v>
      </c>
      <c r="Z8" s="36">
        <v>3.76</v>
      </c>
      <c r="AA8" s="38">
        <v>487</v>
      </c>
      <c r="AB8" s="38"/>
      <c r="AC8" s="49" t="s">
        <v>506</v>
      </c>
      <c r="AD8" s="39" t="s">
        <v>1371</v>
      </c>
      <c r="AE8" s="46"/>
    </row>
    <row r="9" spans="1:31" ht="15" thickBot="1">
      <c r="A9" s="34">
        <v>7</v>
      </c>
      <c r="B9" s="34" t="s">
        <v>251</v>
      </c>
      <c r="C9" s="41" t="s">
        <v>1365</v>
      </c>
      <c r="D9" s="34" t="s">
        <v>898</v>
      </c>
      <c r="E9" s="80">
        <f t="shared" si="0"/>
        <v>1.552000221071218</v>
      </c>
      <c r="F9" s="35">
        <f t="shared" si="1"/>
        <v>70.697902437794809</v>
      </c>
      <c r="G9" s="42" cm="1">
        <f t="array" ref="G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70.337700177344487</v>
      </c>
      <c r="H9" s="81" cm="1">
        <f t="array" ref="H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1.5496253405563953</v>
      </c>
      <c r="I9" s="81" cm="1">
        <f t="array" ref="I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1.552000221071218</v>
      </c>
      <c r="J9" s="81" cm="1">
        <f t="array" ref="J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1.5538631806105607</v>
      </c>
      <c r="K9" s="81" cm="1">
        <f t="array" ref="K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1.5574332132377229</v>
      </c>
      <c r="L9" s="81" cm="1">
        <f t="array" ref="L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1.5616666665376686</v>
      </c>
      <c r="M9" s="37">
        <f t="shared" si="2"/>
        <v>7.8078726813275434E-3</v>
      </c>
      <c r="N9" s="43">
        <f t="shared" si="3"/>
        <v>2.3748805148227081E-3</v>
      </c>
      <c r="O9" s="43">
        <f t="shared" si="4"/>
        <v>4.2334532999457331E-3</v>
      </c>
      <c r="P9" s="43">
        <f t="shared" si="5"/>
        <v>0.30416486176858559</v>
      </c>
      <c r="Q9" s="37">
        <f t="shared" si="6"/>
        <v>0.54220316758878484</v>
      </c>
      <c r="R9" s="37">
        <v>1.4999999999999999E-2</v>
      </c>
      <c r="S9" s="44" t="s">
        <v>1393</v>
      </c>
      <c r="T9" s="45">
        <v>0.83989976399999999</v>
      </c>
      <c r="U9" s="45">
        <v>0.53772131199999995</v>
      </c>
      <c r="V9" s="45">
        <v>0.95324775900000003</v>
      </c>
      <c r="W9" s="45">
        <v>3.7644829500000001E-3</v>
      </c>
      <c r="X9" s="45">
        <v>1.4802262199999999E-2</v>
      </c>
      <c r="Y9" s="45">
        <v>145.67554999999999</v>
      </c>
      <c r="Z9" s="36">
        <v>3.74</v>
      </c>
      <c r="AA9" s="38">
        <v>474</v>
      </c>
      <c r="AB9" s="38"/>
      <c r="AC9" s="49" t="s">
        <v>506</v>
      </c>
      <c r="AD9" s="39" t="s">
        <v>1371</v>
      </c>
      <c r="AE9" s="46"/>
    </row>
    <row r="10" spans="1:31" ht="15" thickBot="1">
      <c r="A10" s="34">
        <v>8</v>
      </c>
      <c r="B10" s="34" t="s">
        <v>251</v>
      </c>
      <c r="C10" s="41" t="s">
        <v>1355</v>
      </c>
      <c r="D10" s="34" t="s">
        <v>3</v>
      </c>
      <c r="E10" s="80">
        <f t="shared" si="0"/>
        <v>1.4874899347705814</v>
      </c>
      <c r="F10" s="35">
        <f t="shared" si="1"/>
        <v>70.237067175287734</v>
      </c>
      <c r="G10" s="42" cm="1">
        <f t="array" ref="G1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70.040074073654836</v>
      </c>
      <c r="H10" s="81" cm="1">
        <f t="array" ref="H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1.4853439973490137</v>
      </c>
      <c r="I10" s="81" cm="1">
        <f t="array" ref="I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1.4874899347705814</v>
      </c>
      <c r="J10" s="81" cm="1">
        <f t="array" ref="J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1.4891472129490946</v>
      </c>
      <c r="K10" s="81" cm="1">
        <f t="array" ref="K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1.492284633602432</v>
      </c>
      <c r="L10" s="81" cm="1">
        <f t="array" ref="L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1.4959637797748191</v>
      </c>
      <c r="M10" s="37">
        <f t="shared" si="2"/>
        <v>6.9406362534183419E-3</v>
      </c>
      <c r="N10" s="43">
        <f t="shared" si="3"/>
        <v>2.1459374215677673E-3</v>
      </c>
      <c r="O10" s="43">
        <f t="shared" si="4"/>
        <v>3.6791461723870711E-3</v>
      </c>
      <c r="P10" s="43">
        <f t="shared" si="5"/>
        <v>0.30918453917115579</v>
      </c>
      <c r="Q10" s="37">
        <f t="shared" si="6"/>
        <v>0.53008773807661369</v>
      </c>
      <c r="R10" s="37">
        <v>2.2000000000000001E-3</v>
      </c>
      <c r="S10" s="44" t="s">
        <v>1393</v>
      </c>
      <c r="T10" s="45">
        <v>1.17447043</v>
      </c>
      <c r="U10" s="45">
        <v>1.4005615399999999E-2</v>
      </c>
      <c r="V10" s="45">
        <v>1.19272435</v>
      </c>
      <c r="W10" s="45">
        <v>8.4185518099999992E-3</v>
      </c>
      <c r="X10" s="45">
        <v>-5.8179076699999999E-2</v>
      </c>
      <c r="Y10" s="45">
        <v>129.599726</v>
      </c>
      <c r="Z10" s="36">
        <v>2.46</v>
      </c>
      <c r="AA10" s="38">
        <v>497</v>
      </c>
      <c r="AB10" s="38">
        <v>679</v>
      </c>
      <c r="AC10" s="49" t="s">
        <v>506</v>
      </c>
      <c r="AD10" s="39" t="s">
        <v>1371</v>
      </c>
      <c r="AE10" s="46"/>
    </row>
    <row r="11" spans="1:31" ht="15" thickBot="1">
      <c r="A11" s="34">
        <v>9</v>
      </c>
      <c r="B11" s="34" t="s">
        <v>251</v>
      </c>
      <c r="C11" s="41" t="s">
        <v>1355</v>
      </c>
      <c r="D11" s="34" t="s">
        <v>4</v>
      </c>
      <c r="E11" s="80">
        <f t="shared" si="0"/>
        <v>1.5163299247610003</v>
      </c>
      <c r="F11" s="35">
        <f t="shared" si="1"/>
        <v>64.142771520600476</v>
      </c>
      <c r="G11" s="42" cm="1">
        <f t="array" ref="G1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63.930670709419054</v>
      </c>
      <c r="H11" s="81" cm="1">
        <f t="array" ref="H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1.5138551482028129</v>
      </c>
      <c r="I11" s="81" cm="1">
        <f t="array" ref="I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1.5163299247610003</v>
      </c>
      <c r="J11" s="81" cm="1">
        <f t="array" ref="J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1.5182508450493686</v>
      </c>
      <c r="K11" s="81" cm="1">
        <f t="array" ref="K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1.521904845971098</v>
      </c>
      <c r="L11" s="81" cm="1">
        <f t="array" ref="L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1.5262140226512673</v>
      </c>
      <c r="M11" s="37">
        <f t="shared" si="2"/>
        <v>8.0496977682851245E-3</v>
      </c>
      <c r="N11" s="43">
        <f t="shared" si="3"/>
        <v>2.4747765581873971E-3</v>
      </c>
      <c r="O11" s="43">
        <f t="shared" si="4"/>
        <v>4.3091766801692799E-3</v>
      </c>
      <c r="P11" s="43">
        <f t="shared" si="5"/>
        <v>0.30743720192051555</v>
      </c>
      <c r="Q11" s="37">
        <f t="shared" si="6"/>
        <v>0.53532154923218811</v>
      </c>
      <c r="R11" s="37">
        <v>-2.3999999999999998E-3</v>
      </c>
      <c r="S11" s="44" t="s">
        <v>1393</v>
      </c>
      <c r="T11" s="45">
        <v>1.1515019</v>
      </c>
      <c r="U11" s="45">
        <v>0.118583612</v>
      </c>
      <c r="V11" s="45">
        <v>1.2630135899999999</v>
      </c>
      <c r="W11" s="45">
        <v>1.0598412999999999E-2</v>
      </c>
      <c r="X11" s="45">
        <v>-1.1822519E-2</v>
      </c>
      <c r="Y11" s="45">
        <v>129.617662</v>
      </c>
      <c r="Z11" s="36">
        <v>2.52</v>
      </c>
      <c r="AA11" s="38">
        <v>569</v>
      </c>
      <c r="AB11" s="38">
        <v>718</v>
      </c>
      <c r="AC11" s="49" t="s">
        <v>506</v>
      </c>
      <c r="AD11" s="39" t="s">
        <v>1371</v>
      </c>
      <c r="AE11" s="46"/>
    </row>
    <row r="12" spans="1:31" ht="15" thickBot="1">
      <c r="A12" s="34">
        <v>10</v>
      </c>
      <c r="B12" s="34" t="s">
        <v>251</v>
      </c>
      <c r="C12" s="41" t="s">
        <v>1355</v>
      </c>
      <c r="D12" s="34" t="s">
        <v>5</v>
      </c>
      <c r="E12" s="80">
        <f t="shared" si="0"/>
        <v>1.607378900759777</v>
      </c>
      <c r="F12" s="35">
        <f t="shared" si="1"/>
        <v>56.816751921453715</v>
      </c>
      <c r="G12" s="42" cm="1">
        <f t="array" ref="G1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56.529049513951371</v>
      </c>
      <c r="H12" s="81" cm="1">
        <f t="array" ref="H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1.6041442343279642</v>
      </c>
      <c r="I12" s="81" cm="1">
        <f t="array" ref="I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1.607378900759777</v>
      </c>
      <c r="J12" s="81" cm="1">
        <f t="array" ref="J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1.6099267079264823</v>
      </c>
      <c r="K12" s="81" cm="1">
        <f t="array" ref="K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1.6148343720112912</v>
      </c>
      <c r="L12" s="81" cm="1">
        <f t="array" ref="L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1.6206970527973639</v>
      </c>
      <c r="M12" s="37">
        <f t="shared" si="2"/>
        <v>1.069013768332705E-2</v>
      </c>
      <c r="N12" s="43">
        <f t="shared" si="3"/>
        <v>3.2346664318128049E-3</v>
      </c>
      <c r="O12" s="43">
        <f t="shared" si="4"/>
        <v>5.8626807860726604E-3</v>
      </c>
      <c r="P12" s="43">
        <f t="shared" si="5"/>
        <v>0.30258416941231503</v>
      </c>
      <c r="Q12" s="37">
        <f t="shared" si="6"/>
        <v>0.54841957697293575</v>
      </c>
      <c r="R12" s="37">
        <v>-1.2999999999999999E-3</v>
      </c>
      <c r="S12" s="44" t="s">
        <v>1393</v>
      </c>
      <c r="T12" s="45">
        <v>0.86716867600000003</v>
      </c>
      <c r="U12" s="45">
        <v>0.67284834299999996</v>
      </c>
      <c r="V12" s="45">
        <v>1.18456107</v>
      </c>
      <c r="W12" s="45">
        <v>3.6931100300000002E-3</v>
      </c>
      <c r="X12" s="45">
        <v>1.8165280400000001E-2</v>
      </c>
      <c r="Y12" s="45">
        <v>132.376147</v>
      </c>
      <c r="Z12" s="36">
        <v>3.53</v>
      </c>
      <c r="AA12" s="38">
        <v>659</v>
      </c>
      <c r="AB12" s="38">
        <v>778</v>
      </c>
      <c r="AC12" s="49" t="s">
        <v>506</v>
      </c>
      <c r="AD12" s="39" t="s">
        <v>1371</v>
      </c>
      <c r="AE12" s="46"/>
    </row>
    <row r="13" spans="1:31" ht="15" thickBot="1">
      <c r="A13" s="34">
        <v>11</v>
      </c>
      <c r="B13" s="34" t="s">
        <v>251</v>
      </c>
      <c r="C13" s="41" t="s">
        <v>1355</v>
      </c>
      <c r="D13" s="34" t="s">
        <v>6</v>
      </c>
      <c r="E13" s="80">
        <f t="shared" si="0"/>
        <v>1.6227988987053308</v>
      </c>
      <c r="F13" s="35">
        <f t="shared" si="1"/>
        <v>57.053399932658891</v>
      </c>
      <c r="G13" s="42" cm="1">
        <f t="array" ref="G1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56.780659716107891</v>
      </c>
      <c r="H13" s="81" cm="1">
        <f t="array" ref="H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1.6194889472339495</v>
      </c>
      <c r="I13" s="81" cm="1">
        <f t="array" ref="I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1.6227988987053308</v>
      </c>
      <c r="J13" s="81" cm="1">
        <f t="array" ref="J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1.6254012369297695</v>
      </c>
      <c r="K13" s="81" cm="1">
        <f t="array" ref="K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1.6304050170815034</v>
      </c>
      <c r="L13" s="81" cm="1">
        <f t="array" ref="L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1.6363696926299272</v>
      </c>
      <c r="M13" s="37">
        <f t="shared" si="2"/>
        <v>1.0916069847553889E-2</v>
      </c>
      <c r="N13" s="43">
        <f t="shared" si="3"/>
        <v>3.309951471381245E-3</v>
      </c>
      <c r="O13" s="43">
        <f t="shared" si="4"/>
        <v>5.9646755484237257E-3</v>
      </c>
      <c r="P13" s="43">
        <f t="shared" si="5"/>
        <v>0.30321823857905694</v>
      </c>
      <c r="Q13" s="37">
        <f t="shared" si="6"/>
        <v>0.54641236559697459</v>
      </c>
      <c r="R13" s="37">
        <v>-2.8E-3</v>
      </c>
      <c r="S13" s="44" t="s">
        <v>1393</v>
      </c>
      <c r="T13" s="45">
        <v>0.94544308099999996</v>
      </c>
      <c r="U13" s="45">
        <v>0.64323737599999997</v>
      </c>
      <c r="V13" s="45">
        <v>1.1775296799999999</v>
      </c>
      <c r="W13" s="45">
        <v>1.5726379799999999E-2</v>
      </c>
      <c r="X13" s="45">
        <v>1.6192406600000001E-3</v>
      </c>
      <c r="Y13" s="45">
        <v>121.36174800000001</v>
      </c>
      <c r="Z13" s="36">
        <v>3.6</v>
      </c>
      <c r="AA13" s="38">
        <v>674</v>
      </c>
      <c r="AB13" s="38">
        <v>773</v>
      </c>
      <c r="AC13" s="49" t="s">
        <v>506</v>
      </c>
      <c r="AD13" s="39" t="s">
        <v>1371</v>
      </c>
      <c r="AE13" s="46"/>
    </row>
    <row r="14" spans="1:31" ht="15" thickBot="1">
      <c r="A14" s="34">
        <v>12</v>
      </c>
      <c r="B14" s="34" t="s">
        <v>251</v>
      </c>
      <c r="C14" s="41" t="s">
        <v>1355</v>
      </c>
      <c r="D14" s="34" t="s">
        <v>7</v>
      </c>
      <c r="E14" s="80">
        <f t="shared" si="0"/>
        <v>1.603111906702082</v>
      </c>
      <c r="F14" s="35">
        <f t="shared" si="1"/>
        <v>60.641794367739081</v>
      </c>
      <c r="G14" s="42" cm="1">
        <f t="array" ref="G1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60.387092506472946</v>
      </c>
      <c r="H14" s="81" cm="1">
        <f t="array" ref="H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1.6000784563292689</v>
      </c>
      <c r="I14" s="81" cm="1">
        <f t="array" ref="I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1.603111906702082</v>
      </c>
      <c r="J14" s="81" cm="1">
        <f t="array" ref="J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1.6054840186031658</v>
      </c>
      <c r="K14" s="81" cm="1">
        <f t="array" ref="K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1.6100239388630597</v>
      </c>
      <c r="L14" s="81" cm="1">
        <f t="array" ref="L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1.6154093854508143</v>
      </c>
      <c r="M14" s="37">
        <f t="shared" si="2"/>
        <v>9.9454825337907948E-3</v>
      </c>
      <c r="N14" s="43">
        <f t="shared" si="3"/>
        <v>3.0334503728131068E-3</v>
      </c>
      <c r="O14" s="43">
        <f t="shared" si="4"/>
        <v>5.3854465877545277E-3</v>
      </c>
      <c r="P14" s="43">
        <f t="shared" si="5"/>
        <v>0.30500786286705028</v>
      </c>
      <c r="Q14" s="37">
        <f t="shared" si="6"/>
        <v>0.54149676191747576</v>
      </c>
      <c r="R14" s="37">
        <v>-1.9E-3</v>
      </c>
      <c r="S14" s="44" t="s">
        <v>1393</v>
      </c>
      <c r="T14" s="45">
        <v>1.2828626999999999</v>
      </c>
      <c r="U14" s="45">
        <v>0.247647429</v>
      </c>
      <c r="V14" s="45">
        <v>1.10383999</v>
      </c>
      <c r="W14" s="45">
        <v>1.22902399E-2</v>
      </c>
      <c r="X14" s="45">
        <v>-6.1314236099999997E-3</v>
      </c>
      <c r="Y14" s="45">
        <v>106.88337799999999</v>
      </c>
      <c r="Z14" s="36">
        <v>3.43</v>
      </c>
      <c r="AA14" s="38">
        <v>661</v>
      </c>
      <c r="AB14" s="38">
        <v>757</v>
      </c>
      <c r="AC14" s="49" t="s">
        <v>506</v>
      </c>
      <c r="AD14" s="39" t="s">
        <v>1371</v>
      </c>
      <c r="AE14" s="46"/>
    </row>
    <row r="15" spans="1:31" ht="15" thickBot="1">
      <c r="A15" s="34">
        <v>13</v>
      </c>
      <c r="B15" s="34" t="s">
        <v>251</v>
      </c>
      <c r="C15" s="41" t="s">
        <v>1355</v>
      </c>
      <c r="D15" s="34" t="s">
        <v>8</v>
      </c>
      <c r="E15" s="80">
        <f t="shared" si="0"/>
        <v>1.6229919004965481</v>
      </c>
      <c r="F15" s="35">
        <f t="shared" si="1"/>
        <v>58.166452186292382</v>
      </c>
      <c r="G15" s="42" cm="1">
        <f t="array" ref="G1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57.894798982490499</v>
      </c>
      <c r="H15" s="81" cm="1">
        <f t="array" ref="H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1.6197393256872064</v>
      </c>
      <c r="I15" s="81" cm="1">
        <f t="array" ref="I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1.6229919004965481</v>
      </c>
      <c r="J15" s="81" cm="1">
        <f t="array" ref="J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1.6255449181602666</v>
      </c>
      <c r="K15" s="81" cm="1">
        <f t="array" ref="K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1.6304498276532067</v>
      </c>
      <c r="L15" s="81" cm="1">
        <f t="array" ref="L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1.6362966946425146</v>
      </c>
      <c r="M15" s="37">
        <f t="shared" si="2"/>
        <v>1.0710501966000319E-2</v>
      </c>
      <c r="N15" s="43">
        <f t="shared" si="3"/>
        <v>3.2525748093417128E-3</v>
      </c>
      <c r="O15" s="43">
        <f t="shared" si="4"/>
        <v>5.8468669893079195E-3</v>
      </c>
      <c r="P15" s="43">
        <f t="shared" si="5"/>
        <v>0.30368089373091628</v>
      </c>
      <c r="Q15" s="37">
        <f t="shared" si="6"/>
        <v>0.54590037029714933</v>
      </c>
      <c r="R15" s="37">
        <v>-1.6000000000000001E-3</v>
      </c>
      <c r="S15" s="44" t="s">
        <v>1393</v>
      </c>
      <c r="T15" s="45">
        <v>0.95312832800000002</v>
      </c>
      <c r="U15" s="45">
        <v>0.637613977</v>
      </c>
      <c r="V15" s="45">
        <v>1.65245647</v>
      </c>
      <c r="W15" s="45">
        <v>3.8763898500000001E-3</v>
      </c>
      <c r="X15" s="45">
        <v>1.85094632E-2</v>
      </c>
      <c r="Y15" s="45">
        <v>159.44236699999999</v>
      </c>
      <c r="Z15" s="36">
        <v>3.6</v>
      </c>
      <c r="AA15" s="38">
        <v>661</v>
      </c>
      <c r="AB15" s="38">
        <v>746</v>
      </c>
      <c r="AC15" s="49" t="s">
        <v>506</v>
      </c>
      <c r="AD15" s="39" t="s">
        <v>1371</v>
      </c>
      <c r="AE15" s="46"/>
    </row>
    <row r="16" spans="1:31" ht="15" thickBot="1">
      <c r="A16" s="34">
        <v>14</v>
      </c>
      <c r="B16" s="34" t="s">
        <v>251</v>
      </c>
      <c r="C16" s="41" t="s">
        <v>1355</v>
      </c>
      <c r="D16" s="34" t="s">
        <v>9</v>
      </c>
      <c r="E16" s="80">
        <f t="shared" si="0"/>
        <v>1.6204109055273606</v>
      </c>
      <c r="F16" s="35">
        <f t="shared" si="1"/>
        <v>60.290293994699766</v>
      </c>
      <c r="G16" s="42" cm="1">
        <f t="array" ref="G1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60.02916407013543</v>
      </c>
      <c r="H16" s="81" cm="1">
        <f t="array" ref="H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1.6172754582751978</v>
      </c>
      <c r="I16" s="81" cm="1">
        <f t="array" ref="I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1.6204109055273606</v>
      </c>
      <c r="J16" s="81" cm="1">
        <f t="array" ref="J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1.6228648054750761</v>
      </c>
      <c r="K16" s="81" cm="1">
        <f t="array" ref="K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1.6275658527055501</v>
      </c>
      <c r="L16" s="81" cm="1">
        <f t="array" ref="L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1.6331501996741848</v>
      </c>
      <c r="M16" s="37">
        <f t="shared" si="2"/>
        <v>1.029039443035229E-2</v>
      </c>
      <c r="N16" s="43">
        <f t="shared" si="3"/>
        <v>3.1354472521627486E-3</v>
      </c>
      <c r="O16" s="43">
        <f t="shared" si="4"/>
        <v>5.5843469686347458E-3</v>
      </c>
      <c r="P16" s="43">
        <f t="shared" si="5"/>
        <v>0.30469650831988632</v>
      </c>
      <c r="Q16" s="37">
        <f t="shared" si="6"/>
        <v>0.54267569687740014</v>
      </c>
      <c r="R16" s="37">
        <v>-1.1999999999999999E-3</v>
      </c>
      <c r="S16" s="44" t="s">
        <v>1393</v>
      </c>
      <c r="T16" s="45">
        <v>1.1449038300000001</v>
      </c>
      <c r="U16" s="45">
        <v>0.43956391099999997</v>
      </c>
      <c r="V16" s="45">
        <v>1.2768807900000001</v>
      </c>
      <c r="W16" s="45">
        <v>1.3703491599999999E-2</v>
      </c>
      <c r="X16" s="45">
        <v>-1.86514205E-3</v>
      </c>
      <c r="Y16" s="45">
        <v>119.535585</v>
      </c>
      <c r="Z16" s="36">
        <v>3.59</v>
      </c>
      <c r="AA16" s="38">
        <v>657</v>
      </c>
      <c r="AB16" s="38">
        <v>738</v>
      </c>
      <c r="AC16" s="49" t="s">
        <v>506</v>
      </c>
      <c r="AD16" s="49" t="s">
        <v>506</v>
      </c>
      <c r="AE16" s="46"/>
    </row>
    <row r="17" spans="1:31" ht="15" thickBot="1">
      <c r="A17" s="34">
        <v>15</v>
      </c>
      <c r="B17" s="34" t="s">
        <v>251</v>
      </c>
      <c r="C17" s="41" t="s">
        <v>1355</v>
      </c>
      <c r="D17" s="34" t="s">
        <v>91</v>
      </c>
      <c r="E17" s="80">
        <f t="shared" si="0"/>
        <v>1.6385392134302019</v>
      </c>
      <c r="F17" s="35">
        <f t="shared" si="1"/>
        <v>55.380686650034711</v>
      </c>
      <c r="G17" s="42" cm="1">
        <f t="array" ref="G1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55.104248205400509</v>
      </c>
      <c r="H17" s="81" cm="1">
        <f t="array" ref="H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1.6350513513647185</v>
      </c>
      <c r="I17" s="81" cm="1">
        <f t="array" ref="I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1.6385392134302019</v>
      </c>
      <c r="J17" s="81" cm="1">
        <f t="array" ref="J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1.6412871756038654</v>
      </c>
      <c r="K17" s="81" cm="1">
        <f t="array" ref="K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1.6465813494932231</v>
      </c>
      <c r="L17" s="81" cm="1">
        <f t="array" ref="L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1.6529066038678393</v>
      </c>
      <c r="M17" s="37">
        <f t="shared" si="2"/>
        <v>1.1529998128504637E-2</v>
      </c>
      <c r="N17" s="43">
        <f t="shared" si="3"/>
        <v>3.4878620654834602E-3</v>
      </c>
      <c r="O17" s="43">
        <f t="shared" si="4"/>
        <v>6.3252543746161738E-3</v>
      </c>
      <c r="P17" s="43">
        <f t="shared" si="5"/>
        <v>0.30250326380025289</v>
      </c>
      <c r="Q17" s="37">
        <f t="shared" si="6"/>
        <v>0.54859110158732671</v>
      </c>
      <c r="R17" s="37">
        <v>-3.5000000000000001E-3</v>
      </c>
      <c r="S17" s="44" t="s">
        <v>1393</v>
      </c>
      <c r="T17" s="45">
        <v>0.92788602499999995</v>
      </c>
      <c r="U17" s="45">
        <v>0.70885852599999999</v>
      </c>
      <c r="V17" s="45">
        <v>1.18610897</v>
      </c>
      <c r="W17" s="45">
        <v>4.1754919900000003E-3</v>
      </c>
      <c r="X17" s="45">
        <v>1.84691838E-2</v>
      </c>
      <c r="Y17" s="45">
        <v>122.210416</v>
      </c>
      <c r="Z17" s="36">
        <v>3.69</v>
      </c>
      <c r="AA17" s="38">
        <v>617</v>
      </c>
      <c r="AB17" s="38">
        <v>717</v>
      </c>
      <c r="AC17" s="49" t="s">
        <v>506</v>
      </c>
      <c r="AD17" s="39" t="s">
        <v>1371</v>
      </c>
      <c r="AE17" s="46"/>
    </row>
    <row r="18" spans="1:31" ht="15" thickBot="1">
      <c r="A18" s="34">
        <v>16</v>
      </c>
      <c r="B18" s="34" t="s">
        <v>251</v>
      </c>
      <c r="C18" s="41" t="s">
        <v>1355</v>
      </c>
      <c r="D18" s="34" t="s">
        <v>10</v>
      </c>
      <c r="E18" s="80">
        <f t="shared" si="0"/>
        <v>1.6584408791284042</v>
      </c>
      <c r="F18" s="35">
        <f t="shared" si="1"/>
        <v>50.878164612511981</v>
      </c>
      <c r="G18" s="42" cm="1">
        <f t="array" ref="G1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50.59199004052433</v>
      </c>
      <c r="H18" s="81" cm="1">
        <f t="array" ref="H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1.6545527833670168</v>
      </c>
      <c r="I18" s="81" cm="1">
        <f t="array" ref="I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1.6584408791284042</v>
      </c>
      <c r="J18" s="81" cm="1">
        <f t="array" ref="J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1.6615215677343522</v>
      </c>
      <c r="K18" s="81" cm="1">
        <f t="array" ref="K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1.6674943052191333</v>
      </c>
      <c r="L18" s="81" cm="1">
        <f t="array" ref="L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1.6746915166831191</v>
      </c>
      <c r="M18" s="37">
        <f t="shared" si="2"/>
        <v>1.29415218521165E-2</v>
      </c>
      <c r="N18" s="43">
        <f t="shared" si="3"/>
        <v>3.8880957613873779E-3</v>
      </c>
      <c r="O18" s="43">
        <f t="shared" si="4"/>
        <v>7.1972114639857754E-3</v>
      </c>
      <c r="P18" s="43">
        <f t="shared" si="5"/>
        <v>0.30043574517872529</v>
      </c>
      <c r="Q18" s="37">
        <f t="shared" si="6"/>
        <v>0.55613331617631345</v>
      </c>
      <c r="R18" s="37">
        <v>-3.0999999999999999E-3</v>
      </c>
      <c r="S18" s="44" t="s">
        <v>1393</v>
      </c>
      <c r="T18" s="45">
        <v>1.34814257</v>
      </c>
      <c r="U18" s="45">
        <v>0.34753031899999998</v>
      </c>
      <c r="V18" s="45">
        <v>1.3879836800000001</v>
      </c>
      <c r="W18" s="45">
        <v>6.9536436599999998E-3</v>
      </c>
      <c r="X18" s="45">
        <v>2.77863478E-2</v>
      </c>
      <c r="Y18" s="45">
        <v>142.13812200000001</v>
      </c>
      <c r="Z18" s="36">
        <v>3.5</v>
      </c>
      <c r="AA18" s="38">
        <v>637</v>
      </c>
      <c r="AB18" s="38">
        <v>760</v>
      </c>
      <c r="AC18" s="49" t="s">
        <v>506</v>
      </c>
      <c r="AD18" s="39" t="s">
        <v>1371</v>
      </c>
      <c r="AE18" s="46"/>
    </row>
    <row r="19" spans="1:31" ht="15" thickBot="1">
      <c r="A19" s="34">
        <v>17</v>
      </c>
      <c r="B19" s="34" t="s">
        <v>251</v>
      </c>
      <c r="C19" s="41" t="s">
        <v>1355</v>
      </c>
      <c r="D19" s="34" t="s">
        <v>11</v>
      </c>
      <c r="E19" s="80">
        <f t="shared" si="0"/>
        <v>1.6177218860921623</v>
      </c>
      <c r="F19" s="35">
        <f t="shared" si="1"/>
        <v>49.815652226825435</v>
      </c>
      <c r="G19" s="42" cm="1">
        <f t="array" ref="G1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49.520600471951091</v>
      </c>
      <c r="H19" s="81" cm="1">
        <f t="array" ref="H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1.6140051929524506</v>
      </c>
      <c r="I19" s="81" cm="1">
        <f t="array" ref="I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1.6177218860921623</v>
      </c>
      <c r="J19" s="81" cm="1">
        <f t="array" ref="J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1.6206711051676452</v>
      </c>
      <c r="K19" s="81" cm="1">
        <f t="array" ref="K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1.6264053494992221</v>
      </c>
      <c r="L19" s="81" cm="1">
        <f t="array" ref="L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1.6333539095132399</v>
      </c>
      <c r="M19" s="37">
        <f t="shared" si="2"/>
        <v>1.2400156546771512E-2</v>
      </c>
      <c r="N19" s="43">
        <f t="shared" si="3"/>
        <v>3.7166931397116798E-3</v>
      </c>
      <c r="O19" s="43">
        <f t="shared" si="4"/>
        <v>6.9485600140177795E-3</v>
      </c>
      <c r="P19" s="43">
        <f t="shared" si="5"/>
        <v>0.29972953371135891</v>
      </c>
      <c r="Q19" s="37">
        <f t="shared" si="6"/>
        <v>0.56036066865840473</v>
      </c>
      <c r="R19" s="37">
        <v>-5.9999999999999995E-4</v>
      </c>
      <c r="S19" s="44" t="s">
        <v>1393</v>
      </c>
      <c r="T19" s="45">
        <v>1.43822841</v>
      </c>
      <c r="U19" s="45">
        <v>0.12810001700000001</v>
      </c>
      <c r="V19" s="45">
        <v>1.3435553</v>
      </c>
      <c r="W19" s="45">
        <v>8.5977975000000005E-3</v>
      </c>
      <c r="X19" s="45">
        <v>4.0861785400000003E-2</v>
      </c>
      <c r="Y19" s="45">
        <v>143.70989</v>
      </c>
      <c r="Z19" s="36">
        <v>3.23</v>
      </c>
      <c r="AA19" s="38">
        <v>579</v>
      </c>
      <c r="AB19" s="38">
        <v>680</v>
      </c>
      <c r="AC19" s="49" t="s">
        <v>506</v>
      </c>
      <c r="AD19" s="49" t="s">
        <v>506</v>
      </c>
      <c r="AE19" s="46"/>
    </row>
    <row r="20" spans="1:31" ht="15" thickBot="1">
      <c r="A20" s="34">
        <v>18</v>
      </c>
      <c r="B20" s="34" t="s">
        <v>251</v>
      </c>
      <c r="C20" s="41" t="s">
        <v>1355</v>
      </c>
      <c r="D20" s="34" t="s">
        <v>12</v>
      </c>
      <c r="E20" s="80">
        <f t="shared" si="0"/>
        <v>1.648497887597439</v>
      </c>
      <c r="F20" s="35">
        <f t="shared" si="1"/>
        <v>53.024516192229044</v>
      </c>
      <c r="G20" s="42" cm="1">
        <f t="array" ref="G2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52.731812187438315</v>
      </c>
      <c r="H20" s="81" cm="1">
        <f t="array" ref="H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1.644815231693495</v>
      </c>
      <c r="I20" s="81" cm="1">
        <f t="array" ref="I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1.648497887597439</v>
      </c>
      <c r="J20" s="81" cm="1">
        <f t="array" ref="J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1.6514093362244879</v>
      </c>
      <c r="K20" s="81" cm="1">
        <f t="array" ref="K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1.6570453835961818</v>
      </c>
      <c r="L20" s="81" cm="1">
        <f t="array" ref="L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1.6638316687911789</v>
      </c>
      <c r="M20" s="37">
        <f t="shared" si="2"/>
        <v>1.2230151902686837E-2</v>
      </c>
      <c r="N20" s="43">
        <f t="shared" si="3"/>
        <v>3.6826559039440099E-3</v>
      </c>
      <c r="O20" s="43">
        <f t="shared" si="4"/>
        <v>6.7862851949971326E-3</v>
      </c>
      <c r="P20" s="43">
        <f t="shared" si="5"/>
        <v>0.30111285070261218</v>
      </c>
      <c r="Q20" s="37">
        <f t="shared" si="6"/>
        <v>0.55488151324647539</v>
      </c>
      <c r="R20" s="37">
        <v>-1E-3</v>
      </c>
      <c r="S20" s="44" t="s">
        <v>1393</v>
      </c>
      <c r="T20" s="45">
        <v>1.5084788499999999</v>
      </c>
      <c r="U20" s="45">
        <v>0.158099826</v>
      </c>
      <c r="V20" s="45">
        <v>1.36815368</v>
      </c>
      <c r="W20" s="45">
        <v>8.1276907600000003E-3</v>
      </c>
      <c r="X20" s="45">
        <v>3.5420089799999999E-2</v>
      </c>
      <c r="Y20" s="45">
        <v>136.110038</v>
      </c>
      <c r="Z20" s="36">
        <v>3.74</v>
      </c>
      <c r="AA20" s="38">
        <v>654</v>
      </c>
      <c r="AB20" s="38">
        <v>737</v>
      </c>
      <c r="AC20" s="49" t="s">
        <v>506</v>
      </c>
      <c r="AD20" s="49" t="s">
        <v>506</v>
      </c>
      <c r="AE20" s="46"/>
    </row>
    <row r="21" spans="1:31" ht="15" thickBot="1">
      <c r="A21" s="34">
        <v>19</v>
      </c>
      <c r="B21" s="34" t="s">
        <v>251</v>
      </c>
      <c r="C21" s="41" t="s">
        <v>1355</v>
      </c>
      <c r="D21" s="34" t="s">
        <v>13</v>
      </c>
      <c r="E21" s="80">
        <f t="shared" si="0"/>
        <v>1.6399986288331736</v>
      </c>
      <c r="F21" s="35">
        <f t="shared" si="1"/>
        <v>60.078830031608142</v>
      </c>
      <c r="G21" s="42" cm="1">
        <f t="array" ref="G2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59.881752261308669</v>
      </c>
      <c r="H21" s="81" cm="1">
        <f t="array" ref="H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1.6367283949251978</v>
      </c>
      <c r="I21" s="81" cm="1">
        <f t="array" ref="I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1.6399986288331736</v>
      </c>
      <c r="J21" s="81" cm="1">
        <f t="array" ref="J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1.6425399895992538</v>
      </c>
      <c r="K21" s="81" cm="1">
        <f t="array" ref="K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1.647381042929436</v>
      </c>
      <c r="L21" s="81" cm="1">
        <f t="array" ref="L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1.6531020836196093</v>
      </c>
      <c r="M21" s="37">
        <f t="shared" si="2"/>
        <v>1.0652648004238152E-2</v>
      </c>
      <c r="N21" s="43">
        <f t="shared" si="3"/>
        <v>3.2702339079757614E-3</v>
      </c>
      <c r="O21" s="43">
        <f t="shared" si="4"/>
        <v>5.721040690173318E-3</v>
      </c>
      <c r="P21" s="43">
        <f t="shared" si="5"/>
        <v>0.30698788758200779</v>
      </c>
      <c r="Q21" s="37">
        <f t="shared" si="6"/>
        <v>0.53705338690410154</v>
      </c>
      <c r="R21" s="37">
        <v>-7.3000000000000001E-3</v>
      </c>
      <c r="S21" s="44" t="s">
        <v>1393</v>
      </c>
      <c r="T21" s="45">
        <v>0.99635684400000002</v>
      </c>
      <c r="U21" s="45">
        <v>0.65139283699999995</v>
      </c>
      <c r="V21" s="45">
        <v>1.22432622</v>
      </c>
      <c r="W21" s="45">
        <v>1.4482158700000001E-2</v>
      </c>
      <c r="X21" s="45">
        <v>1.5482638899999999E-3</v>
      </c>
      <c r="Y21" s="45">
        <v>89.981860400000002</v>
      </c>
      <c r="Z21" s="36">
        <v>3.06</v>
      </c>
      <c r="AA21" s="38">
        <v>662</v>
      </c>
      <c r="AB21" s="38">
        <v>721</v>
      </c>
      <c r="AC21" s="49" t="s">
        <v>506</v>
      </c>
      <c r="AD21" s="39" t="s">
        <v>1371</v>
      </c>
      <c r="AE21" s="46"/>
    </row>
    <row r="22" spans="1:31" ht="15" thickBot="1">
      <c r="A22" s="34">
        <v>20</v>
      </c>
      <c r="B22" s="34" t="s">
        <v>251</v>
      </c>
      <c r="C22" s="41" t="s">
        <v>1356</v>
      </c>
      <c r="D22" s="34" t="s">
        <v>14</v>
      </c>
      <c r="E22" s="80">
        <f t="shared" si="0"/>
        <v>1.5182289181628896</v>
      </c>
      <c r="F22" s="35">
        <f t="shared" si="1"/>
        <v>58.9027550845639</v>
      </c>
      <c r="G22" s="42" cm="1">
        <f t="array" ref="G2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58.628341080616863</v>
      </c>
      <c r="H22" s="81" cm="1">
        <f t="array" ref="H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1.5155558172707841</v>
      </c>
      <c r="I22" s="81" cm="1">
        <f t="array" ref="I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1.5182289181628896</v>
      </c>
      <c r="J22" s="81" cm="1">
        <f t="array" ref="J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1.5203260344629841</v>
      </c>
      <c r="K22" s="81" cm="1">
        <f t="array" ref="K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1.5243538593558936</v>
      </c>
      <c r="L22" s="81" cm="1">
        <f t="array" ref="L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1.5291548130928865</v>
      </c>
      <c r="M22" s="37">
        <f t="shared" si="2"/>
        <v>8.7980420851094809E-3</v>
      </c>
      <c r="N22" s="43">
        <f t="shared" si="3"/>
        <v>2.6731008921054844E-3</v>
      </c>
      <c r="O22" s="43">
        <f t="shared" si="4"/>
        <v>4.8009537369928523E-3</v>
      </c>
      <c r="P22" s="43">
        <f t="shared" si="5"/>
        <v>0.30382906404024335</v>
      </c>
      <c r="Q22" s="37">
        <f t="shared" si="6"/>
        <v>0.54568433414502249</v>
      </c>
      <c r="R22" s="37">
        <v>-5.0000000000000001E-4</v>
      </c>
      <c r="S22" s="44" t="s">
        <v>1393</v>
      </c>
      <c r="T22" s="45">
        <v>0.88251476399999995</v>
      </c>
      <c r="U22" s="45">
        <v>0.38927190699999997</v>
      </c>
      <c r="V22" s="45">
        <v>1.1069344800000001</v>
      </c>
      <c r="W22" s="45">
        <v>4.6450458199999997E-3</v>
      </c>
      <c r="X22" s="45">
        <v>2.0055139699999999E-2</v>
      </c>
      <c r="Y22" s="45">
        <v>136.23433900000001</v>
      </c>
      <c r="Z22" s="36">
        <v>2.48</v>
      </c>
      <c r="AA22" s="38">
        <v>508</v>
      </c>
      <c r="AB22" s="38">
        <v>668</v>
      </c>
      <c r="AC22" s="49" t="s">
        <v>506</v>
      </c>
      <c r="AD22" s="39" t="s">
        <v>1371</v>
      </c>
      <c r="AE22" s="46"/>
    </row>
    <row r="23" spans="1:31" ht="15" thickBot="1">
      <c r="A23" s="34">
        <v>21</v>
      </c>
      <c r="B23" s="34" t="s">
        <v>251</v>
      </c>
      <c r="C23" s="41" t="s">
        <v>1356</v>
      </c>
      <c r="D23" s="34" t="s">
        <v>15</v>
      </c>
      <c r="E23" s="80">
        <f t="shared" si="0"/>
        <v>1.5174169103124557</v>
      </c>
      <c r="F23" s="35">
        <f t="shared" si="1"/>
        <v>52.431531630348822</v>
      </c>
      <c r="G23" s="42" cm="1">
        <f t="array" ref="G2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52.144155858217466</v>
      </c>
      <c r="H23" s="81" cm="1">
        <f t="array" ref="H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1.5144443635193237</v>
      </c>
      <c r="I23" s="81" cm="1">
        <f t="array" ref="I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1.5174169103124557</v>
      </c>
      <c r="J23" s="81" cm="1">
        <f t="array" ref="J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1.5197646355748018</v>
      </c>
      <c r="K23" s="81" cm="1">
        <f t="array" ref="K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1.5243127937219798</v>
      </c>
      <c r="L23" s="81" cm="1">
        <f t="array" ref="L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1.5298045951181032</v>
      </c>
      <c r="M23" s="37">
        <f t="shared" si="2"/>
        <v>9.8684302026561532E-3</v>
      </c>
      <c r="N23" s="43">
        <f t="shared" si="3"/>
        <v>2.9725467931320804E-3</v>
      </c>
      <c r="O23" s="43">
        <f t="shared" si="4"/>
        <v>5.4918013961233747E-3</v>
      </c>
      <c r="P23" s="43">
        <f t="shared" si="5"/>
        <v>0.30121779574749385</v>
      </c>
      <c r="Q23" s="37">
        <f t="shared" si="6"/>
        <v>0.55650202548377148</v>
      </c>
      <c r="R23" s="37">
        <v>-2.0000000000000001E-4</v>
      </c>
      <c r="S23" s="44" t="s">
        <v>1393</v>
      </c>
      <c r="T23" s="45">
        <v>1.09666153</v>
      </c>
      <c r="U23" s="45">
        <v>0.16899007299999999</v>
      </c>
      <c r="V23" s="45">
        <v>1.2058082699999999</v>
      </c>
      <c r="W23" s="45">
        <v>6.6749112300000003E-3</v>
      </c>
      <c r="X23" s="45">
        <v>3.3609544999999998E-2</v>
      </c>
      <c r="Y23" s="45">
        <v>141.66873799999999</v>
      </c>
      <c r="Z23" s="36">
        <v>2.46</v>
      </c>
      <c r="AA23" s="38">
        <v>473</v>
      </c>
      <c r="AB23" s="38">
        <v>655</v>
      </c>
      <c r="AC23" s="49" t="s">
        <v>506</v>
      </c>
      <c r="AD23" s="39" t="s">
        <v>1371</v>
      </c>
      <c r="AE23" s="46"/>
    </row>
    <row r="24" spans="1:31" ht="15" thickBot="1">
      <c r="A24" s="34">
        <v>22</v>
      </c>
      <c r="B24" s="34" t="s">
        <v>251</v>
      </c>
      <c r="C24" s="41" t="s">
        <v>1355</v>
      </c>
      <c r="D24" s="34" t="s">
        <v>16</v>
      </c>
      <c r="E24" s="80">
        <f t="shared" si="0"/>
        <v>1.5713509003250168</v>
      </c>
      <c r="F24" s="35">
        <f t="shared" si="1"/>
        <v>52.952740625255991</v>
      </c>
      <c r="G24" s="42" cm="1">
        <f t="array" ref="G2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52.655056776510541</v>
      </c>
      <c r="H24" s="81" cm="1">
        <f t="array" ref="H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1.5681045242865803</v>
      </c>
      <c r="I24" s="81" cm="1">
        <f t="array" ref="I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1.5713509003250168</v>
      </c>
      <c r="J24" s="81" cm="1">
        <f t="array" ref="J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1.5739193731223104</v>
      </c>
      <c r="K24" s="81" cm="1">
        <f t="array" ref="K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1.5788943510940054</v>
      </c>
      <c r="L24" s="81" cm="1">
        <f t="array" ref="L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1.5848876665781171</v>
      </c>
      <c r="M24" s="37">
        <f t="shared" si="2"/>
        <v>1.0789826807425129E-2</v>
      </c>
      <c r="N24" s="43">
        <f t="shared" si="3"/>
        <v>3.2463760384364715E-3</v>
      </c>
      <c r="O24" s="43">
        <f t="shared" si="4"/>
        <v>5.9933154841116387E-3</v>
      </c>
      <c r="P24" s="43">
        <f t="shared" si="5"/>
        <v>0.30087378568509038</v>
      </c>
      <c r="Q24" s="37">
        <f t="shared" si="6"/>
        <v>0.55545984111508417</v>
      </c>
      <c r="R24" s="37">
        <v>-5.0000000000000001E-4</v>
      </c>
      <c r="S24" s="44" t="s">
        <v>1393</v>
      </c>
      <c r="T24" s="45">
        <v>1.2936688999999999</v>
      </c>
      <c r="U24" s="45">
        <v>0.13244025200000001</v>
      </c>
      <c r="V24" s="45">
        <v>1.1019729300000001</v>
      </c>
      <c r="W24" s="45">
        <v>8.0036796200000006E-3</v>
      </c>
      <c r="X24" s="45">
        <v>3.5471119600000003E-2</v>
      </c>
      <c r="Y24" s="45">
        <v>134.51743099999999</v>
      </c>
      <c r="Z24" s="36">
        <v>2.98</v>
      </c>
      <c r="AA24" s="38">
        <v>532</v>
      </c>
      <c r="AB24" s="38">
        <v>652</v>
      </c>
      <c r="AC24" s="49" t="s">
        <v>506</v>
      </c>
      <c r="AD24" s="39" t="s">
        <v>1371</v>
      </c>
      <c r="AE24" s="46"/>
    </row>
    <row r="25" spans="1:31" ht="15" thickBot="1">
      <c r="A25" s="34">
        <v>23</v>
      </c>
      <c r="B25" s="34" t="s">
        <v>251</v>
      </c>
      <c r="C25" s="41" t="s">
        <v>1355</v>
      </c>
      <c r="D25" s="34" t="s">
        <v>17</v>
      </c>
      <c r="E25" s="80">
        <f t="shared" si="0"/>
        <v>1.5399559155673501</v>
      </c>
      <c r="F25" s="35">
        <f t="shared" si="1"/>
        <v>59.463181775308371</v>
      </c>
      <c r="G25" s="42" cm="1">
        <f t="array" ref="G2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59.19418513409218</v>
      </c>
      <c r="H25" s="81" cm="1">
        <f t="array" ref="H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1.5371939382698552</v>
      </c>
      <c r="I25" s="81" cm="1">
        <f t="array" ref="I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1.5399559155673501</v>
      </c>
      <c r="J25" s="81" cm="1">
        <f t="array" ref="J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1.5421209724642684</v>
      </c>
      <c r="K25" s="81" cm="1">
        <f t="array" ref="K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1.5462744465683795</v>
      </c>
      <c r="L25" s="81" cm="1">
        <f t="array" ref="L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1.5512159942401953</v>
      </c>
      <c r="M25" s="37">
        <f t="shared" si="2"/>
        <v>9.080508298524359E-3</v>
      </c>
      <c r="N25" s="43">
        <f t="shared" si="3"/>
        <v>2.7619772974949441E-3</v>
      </c>
      <c r="O25" s="43">
        <f t="shared" si="4"/>
        <v>4.9415476718157603E-3</v>
      </c>
      <c r="P25" s="43">
        <f t="shared" si="5"/>
        <v>0.3041654945619931</v>
      </c>
      <c r="Q25" s="37">
        <f t="shared" si="6"/>
        <v>0.54419284795090084</v>
      </c>
      <c r="R25" s="37">
        <v>-1.1999999999999999E-3</v>
      </c>
      <c r="S25" s="44" t="s">
        <v>1393</v>
      </c>
      <c r="T25" s="45">
        <v>0.71460525799999997</v>
      </c>
      <c r="U25" s="45">
        <v>0.62199328899999995</v>
      </c>
      <c r="V25" s="45">
        <v>1.22537681</v>
      </c>
      <c r="W25" s="45">
        <v>3.0176391299999998E-3</v>
      </c>
      <c r="X25" s="45">
        <v>1.6650544999999999E-2</v>
      </c>
      <c r="Y25" s="45">
        <v>143.506314</v>
      </c>
      <c r="Z25" s="36">
        <v>2.75</v>
      </c>
      <c r="AA25" s="38">
        <v>483</v>
      </c>
      <c r="AB25" s="38">
        <v>624</v>
      </c>
      <c r="AC25" s="49" t="s">
        <v>506</v>
      </c>
      <c r="AD25" s="49" t="s">
        <v>506</v>
      </c>
      <c r="AE25" s="46"/>
    </row>
    <row r="26" spans="1:31" ht="15" thickBot="1">
      <c r="A26" s="34">
        <v>24</v>
      </c>
      <c r="B26" s="34" t="s">
        <v>251</v>
      </c>
      <c r="C26" s="41" t="s">
        <v>1355</v>
      </c>
      <c r="D26" s="34" t="s">
        <v>18</v>
      </c>
      <c r="E26" s="80">
        <f t="shared" si="0"/>
        <v>1.568831907243287</v>
      </c>
      <c r="F26" s="35">
        <f t="shared" si="1"/>
        <v>56.364567627656328</v>
      </c>
      <c r="G26" s="42" cm="1">
        <f t="array" ref="G2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56.087491357266899</v>
      </c>
      <c r="H26" s="81" cm="1">
        <f t="array" ref="H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1.5657747123240582</v>
      </c>
      <c r="I26" s="81" cm="1">
        <f t="array" ref="I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1.568831907243287</v>
      </c>
      <c r="J26" s="81" cm="1">
        <f t="array" ref="J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1.5712363325660328</v>
      </c>
      <c r="K26" s="81" cm="1">
        <f t="array" ref="K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1.5758667245790086</v>
      </c>
      <c r="L26" s="81" cm="1">
        <f t="array" ref="L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1.5814063512279972</v>
      </c>
      <c r="M26" s="37">
        <f t="shared" si="2"/>
        <v>1.0092012254950378E-2</v>
      </c>
      <c r="N26" s="43">
        <f t="shared" si="3"/>
        <v>3.057194919228845E-3</v>
      </c>
      <c r="O26" s="43">
        <f t="shared" si="4"/>
        <v>5.5396266489886603E-3</v>
      </c>
      <c r="P26" s="43">
        <f t="shared" si="5"/>
        <v>0.30293214494752685</v>
      </c>
      <c r="Q26" s="37">
        <f t="shared" si="6"/>
        <v>0.54891200179343214</v>
      </c>
      <c r="R26" s="37">
        <v>-1.4E-3</v>
      </c>
      <c r="S26" s="44" t="s">
        <v>1393</v>
      </c>
      <c r="T26" s="45">
        <v>1.2755369599999999</v>
      </c>
      <c r="U26" s="45">
        <v>0.14608339300000001</v>
      </c>
      <c r="V26" s="45">
        <v>1.16754699</v>
      </c>
      <c r="W26" s="45">
        <v>7.4969235900000002E-3</v>
      </c>
      <c r="X26" s="45">
        <v>3.1042152999999999E-2</v>
      </c>
      <c r="Y26" s="45">
        <v>128.947092</v>
      </c>
      <c r="Z26" s="36">
        <v>2.89</v>
      </c>
      <c r="AA26" s="38">
        <v>582</v>
      </c>
      <c r="AB26" s="38">
        <v>700</v>
      </c>
      <c r="AC26" s="49" t="s">
        <v>506</v>
      </c>
      <c r="AD26" s="39" t="s">
        <v>1371</v>
      </c>
      <c r="AE26" s="46"/>
    </row>
    <row r="27" spans="1:31" ht="15" thickBot="1">
      <c r="A27" s="34">
        <v>25</v>
      </c>
      <c r="B27" s="34" t="s">
        <v>251</v>
      </c>
      <c r="C27" s="41" t="s">
        <v>1355</v>
      </c>
      <c r="D27" s="34" t="s">
        <v>19</v>
      </c>
      <c r="E27" s="80">
        <f t="shared" si="0"/>
        <v>1.5891299100852163</v>
      </c>
      <c r="F27" s="35">
        <f t="shared" si="1"/>
        <v>61.135743477136124</v>
      </c>
      <c r="G27" s="42" cm="1">
        <f t="array" ref="G2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60.886320765907271</v>
      </c>
      <c r="H27" s="81" cm="1">
        <f t="array" ref="H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1.586187473289556</v>
      </c>
      <c r="I27" s="81" cm="1">
        <f t="array" ref="I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1.5891299100852163</v>
      </c>
      <c r="J27" s="81" cm="1">
        <f t="array" ref="J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1.5914284838219257</v>
      </c>
      <c r="K27" s="81" cm="1">
        <f t="array" ref="K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1.5958238967069884</v>
      </c>
      <c r="L27" s="81" cm="1">
        <f t="array" ref="L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1.6010341366847503</v>
      </c>
      <c r="M27" s="37">
        <f t="shared" si="2"/>
        <v>9.636423417432427E-3</v>
      </c>
      <c r="N27" s="43">
        <f t="shared" si="3"/>
        <v>2.9424367956603081E-3</v>
      </c>
      <c r="O27" s="43">
        <f t="shared" si="4"/>
        <v>5.2102399777618214E-3</v>
      </c>
      <c r="P27" s="43">
        <f t="shared" si="5"/>
        <v>0.30534532037450723</v>
      </c>
      <c r="Q27" s="37">
        <f t="shared" si="6"/>
        <v>0.5406819264849263</v>
      </c>
      <c r="R27" s="37">
        <v>-1.8E-3</v>
      </c>
      <c r="S27" s="44" t="s">
        <v>1393</v>
      </c>
      <c r="T27" s="45">
        <v>0.94135727300000005</v>
      </c>
      <c r="U27" s="45">
        <v>0.54617489500000005</v>
      </c>
      <c r="V27" s="45">
        <v>1.16168917</v>
      </c>
      <c r="W27" s="45">
        <v>1.40333996E-2</v>
      </c>
      <c r="X27" s="45">
        <v>9.0663568300000002E-4</v>
      </c>
      <c r="Y27" s="45">
        <v>114.163758</v>
      </c>
      <c r="Z27" s="36">
        <v>3.31</v>
      </c>
      <c r="AA27" s="38">
        <v>668</v>
      </c>
      <c r="AB27" s="38">
        <v>768</v>
      </c>
      <c r="AC27" s="49" t="s">
        <v>506</v>
      </c>
      <c r="AD27" s="39" t="s">
        <v>1371</v>
      </c>
      <c r="AE27" s="46"/>
    </row>
    <row r="28" spans="1:31" ht="15" thickBot="1">
      <c r="A28" s="34">
        <v>26</v>
      </c>
      <c r="B28" s="34" t="s">
        <v>251</v>
      </c>
      <c r="C28" s="41" t="s">
        <v>1355</v>
      </c>
      <c r="D28" s="34" t="s">
        <v>20</v>
      </c>
      <c r="E28" s="80">
        <f t="shared" si="0"/>
        <v>1.5831259077614146</v>
      </c>
      <c r="F28" s="35">
        <f t="shared" si="1"/>
        <v>59.375374859649561</v>
      </c>
      <c r="G28" s="42" cm="1">
        <f t="array" ref="G2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59.108935500922158</v>
      </c>
      <c r="H28" s="81" cm="1">
        <f t="array" ref="H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1.5801385261516678</v>
      </c>
      <c r="I28" s="81" cm="1">
        <f t="array" ref="I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1.5831259077614146</v>
      </c>
      <c r="J28" s="81" cm="1">
        <f t="array" ref="J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1.5854679334184731</v>
      </c>
      <c r="K28" s="81" cm="1">
        <f t="array" ref="K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1.5899595320676692</v>
      </c>
      <c r="L28" s="81" cm="1">
        <f t="array" ref="L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1.5952969262149608</v>
      </c>
      <c r="M28" s="37">
        <f t="shared" si="2"/>
        <v>9.8210059160013241E-3</v>
      </c>
      <c r="N28" s="43">
        <f t="shared" si="3"/>
        <v>2.9873816097467643E-3</v>
      </c>
      <c r="O28" s="43">
        <f t="shared" si="4"/>
        <v>5.3373941472916187E-3</v>
      </c>
      <c r="P28" s="43">
        <f t="shared" si="5"/>
        <v>0.30418285410860368</v>
      </c>
      <c r="Q28" s="37">
        <f t="shared" si="6"/>
        <v>0.54346715529367762</v>
      </c>
      <c r="R28" s="37">
        <v>-2E-3</v>
      </c>
      <c r="S28" s="44" t="s">
        <v>1393</v>
      </c>
      <c r="T28" s="45">
        <v>1.3957061500000001</v>
      </c>
      <c r="U28" s="45">
        <v>7.1850506999999994E-2</v>
      </c>
      <c r="V28" s="45">
        <v>1.27129267</v>
      </c>
      <c r="W28" s="45">
        <v>1.12218843E-2</v>
      </c>
      <c r="X28" s="45">
        <v>-2.5211742200000001E-2</v>
      </c>
      <c r="Y28" s="45">
        <v>134.49786</v>
      </c>
      <c r="Z28" s="36">
        <v>3.19</v>
      </c>
      <c r="AA28" s="38">
        <v>553</v>
      </c>
      <c r="AB28" s="38">
        <v>672</v>
      </c>
      <c r="AC28" s="49" t="s">
        <v>506</v>
      </c>
      <c r="AD28" s="39" t="s">
        <v>1371</v>
      </c>
      <c r="AE28" s="46"/>
    </row>
    <row r="29" spans="1:31" ht="15" thickBot="1">
      <c r="A29" s="34">
        <v>27</v>
      </c>
      <c r="B29" s="34" t="s">
        <v>251</v>
      </c>
      <c r="C29" s="41" t="s">
        <v>1355</v>
      </c>
      <c r="D29" s="34" t="s">
        <v>21</v>
      </c>
      <c r="E29" s="80">
        <f t="shared" si="0"/>
        <v>1.6056198730760591</v>
      </c>
      <c r="F29" s="35">
        <f t="shared" si="1"/>
        <v>43.707512537941668</v>
      </c>
      <c r="G29" s="42" cm="1">
        <f t="array" ref="G2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43.41374757666609</v>
      </c>
      <c r="H29" s="81" cm="1">
        <f t="array" ref="H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1.6015071451704945</v>
      </c>
      <c r="I29" s="81" cm="1">
        <f t="array" ref="I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1.6056198730760591</v>
      </c>
      <c r="J29" s="81" cm="1">
        <f t="array" ref="J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1.6089089124962257</v>
      </c>
      <c r="K29" s="81" cm="1">
        <f t="array" ref="K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1.6153633414605564</v>
      </c>
      <c r="L29" s="81" cm="1">
        <f t="array" ref="L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1.6232911773133416</v>
      </c>
      <c r="M29" s="37">
        <f t="shared" si="2"/>
        <v>1.3856196290061851E-2</v>
      </c>
      <c r="N29" s="43">
        <f t="shared" si="3"/>
        <v>4.112727905564606E-3</v>
      </c>
      <c r="O29" s="43">
        <f t="shared" si="4"/>
        <v>7.9278358527852255E-3</v>
      </c>
      <c r="P29" s="43">
        <f t="shared" si="5"/>
        <v>0.29681507243906458</v>
      </c>
      <c r="Q29" s="37">
        <f t="shared" si="6"/>
        <v>0.572150948703819</v>
      </c>
      <c r="R29" s="37">
        <v>1.2999999999999999E-3</v>
      </c>
      <c r="S29" s="44" t="s">
        <v>1393</v>
      </c>
      <c r="T29" s="45">
        <v>1.4105931700000001</v>
      </c>
      <c r="U29" s="45">
        <v>0.111201306</v>
      </c>
      <c r="V29" s="45">
        <v>1.34148939</v>
      </c>
      <c r="W29" s="45">
        <v>9.6331219199999995E-3</v>
      </c>
      <c r="X29" s="45">
        <v>4.9877821000000003E-2</v>
      </c>
      <c r="Y29" s="45">
        <v>152.237696</v>
      </c>
      <c r="Z29" s="36">
        <v>2.91</v>
      </c>
      <c r="AA29" s="38">
        <v>603</v>
      </c>
      <c r="AB29" s="38">
        <v>722</v>
      </c>
      <c r="AC29" s="49" t="s">
        <v>506</v>
      </c>
      <c r="AD29" s="39" t="s">
        <v>1371</v>
      </c>
      <c r="AE29" s="46"/>
    </row>
    <row r="30" spans="1:31" ht="15" thickBot="1">
      <c r="A30" s="34">
        <v>28</v>
      </c>
      <c r="B30" s="34" t="s">
        <v>251</v>
      </c>
      <c r="C30" s="41" t="s">
        <v>1355</v>
      </c>
      <c r="D30" s="34" t="s">
        <v>22</v>
      </c>
      <c r="E30" s="80">
        <f t="shared" si="0"/>
        <v>1.6392998679096547</v>
      </c>
      <c r="F30" s="35">
        <f t="shared" si="1"/>
        <v>44.873350019963461</v>
      </c>
      <c r="G30" s="42" cm="1">
        <f t="array" ref="G3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44.587827461614154</v>
      </c>
      <c r="H30" s="81" cm="1">
        <f t="array" ref="H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1.6350566405308016</v>
      </c>
      <c r="I30" s="81" cm="1">
        <f t="array" ref="I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1.6392998679096547</v>
      </c>
      <c r="J30" s="81" cm="1">
        <f t="array" ref="J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1.6426834471379748</v>
      </c>
      <c r="K30" s="81" cm="1">
        <f t="array" ref="K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1.6493034009715808</v>
      </c>
      <c r="L30" s="81" cm="1">
        <f t="array" ref="L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1.6574018920121381</v>
      </c>
      <c r="M30" s="37">
        <f t="shared" si="2"/>
        <v>1.4246760440779216E-2</v>
      </c>
      <c r="N30" s="43">
        <f t="shared" si="3"/>
        <v>4.2432273788530761E-3</v>
      </c>
      <c r="O30" s="43">
        <f t="shared" si="4"/>
        <v>8.0984910405572652E-3</v>
      </c>
      <c r="P30" s="43">
        <f t="shared" si="5"/>
        <v>0.29783805213060743</v>
      </c>
      <c r="Q30" s="37">
        <f t="shared" si="6"/>
        <v>0.56844438946109799</v>
      </c>
      <c r="R30" s="37">
        <v>-5.9999999999999995E-4</v>
      </c>
      <c r="S30" s="44" t="s">
        <v>1393</v>
      </c>
      <c r="T30" s="45">
        <v>1.50161605</v>
      </c>
      <c r="U30" s="45">
        <v>0.126987445</v>
      </c>
      <c r="V30" s="45">
        <v>1.43544052</v>
      </c>
      <c r="W30" s="45">
        <v>9.4076182600000002E-3</v>
      </c>
      <c r="X30" s="45">
        <v>4.7260219499999999E-2</v>
      </c>
      <c r="Y30" s="45">
        <v>141.66649899999999</v>
      </c>
      <c r="Z30" s="36">
        <v>3.18</v>
      </c>
      <c r="AA30" s="38">
        <v>605</v>
      </c>
      <c r="AB30" s="38">
        <v>717</v>
      </c>
      <c r="AC30" s="49" t="s">
        <v>506</v>
      </c>
      <c r="AD30" s="49" t="s">
        <v>506</v>
      </c>
      <c r="AE30" s="46"/>
    </row>
    <row r="31" spans="1:31" ht="15" thickBot="1">
      <c r="A31" s="34">
        <v>29</v>
      </c>
      <c r="B31" s="34" t="s">
        <v>251</v>
      </c>
      <c r="C31" s="41" t="s">
        <v>1355</v>
      </c>
      <c r="D31" s="34" t="s">
        <v>23</v>
      </c>
      <c r="E31" s="80">
        <f t="shared" si="0"/>
        <v>1.6667178714877489</v>
      </c>
      <c r="F31" s="35">
        <f t="shared" si="1"/>
        <v>48.325830933046404</v>
      </c>
      <c r="G31" s="42" cm="1">
        <f t="array" ref="G3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48.037725379297953</v>
      </c>
      <c r="H31" s="81" cm="1">
        <f t="array" ref="H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1.6625887608634118</v>
      </c>
      <c r="I31" s="81" cm="1">
        <f t="array" ref="I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1.6667178714877489</v>
      </c>
      <c r="J31" s="81" cm="1">
        <f t="array" ref="J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1.6699993149032071</v>
      </c>
      <c r="K31" s="81" cm="1">
        <f t="array" ref="K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1.6763850652127661</v>
      </c>
      <c r="L31" s="81" cm="1">
        <f t="array" ref="L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1.6841251034394336</v>
      </c>
      <c r="M31" s="37">
        <f t="shared" si="2"/>
        <v>1.3796304349354305E-2</v>
      </c>
      <c r="N31" s="43">
        <f t="shared" si="3"/>
        <v>4.1291106243370734E-3</v>
      </c>
      <c r="O31" s="43">
        <f t="shared" si="4"/>
        <v>7.7400382266674672E-3</v>
      </c>
      <c r="P31" s="43">
        <f t="shared" si="5"/>
        <v>0.29929106518517218</v>
      </c>
      <c r="Q31" s="37">
        <f t="shared" si="6"/>
        <v>0.56102257754481311</v>
      </c>
      <c r="R31" s="37">
        <v>-2.3999999999999998E-3</v>
      </c>
      <c r="S31" s="44" t="s">
        <v>1393</v>
      </c>
      <c r="T31" s="45">
        <v>1.5713885999999999</v>
      </c>
      <c r="U31" s="45">
        <v>0.147869313</v>
      </c>
      <c r="V31" s="45">
        <v>1.2809284599999999</v>
      </c>
      <c r="W31" s="45">
        <v>9.1080793600000001E-3</v>
      </c>
      <c r="X31" s="45">
        <v>4.0240168399999998E-2</v>
      </c>
      <c r="Y31" s="45">
        <v>130.39936700000001</v>
      </c>
      <c r="Z31" s="36">
        <v>3.59</v>
      </c>
      <c r="AA31" s="38">
        <v>626</v>
      </c>
      <c r="AB31" s="38">
        <v>738</v>
      </c>
      <c r="AC31" s="49" t="s">
        <v>506</v>
      </c>
      <c r="AD31" s="49" t="s">
        <v>506</v>
      </c>
      <c r="AE31" s="46"/>
    </row>
    <row r="32" spans="1:31" ht="15" thickBot="1">
      <c r="A32" s="34">
        <v>30</v>
      </c>
      <c r="B32" s="34" t="s">
        <v>251</v>
      </c>
      <c r="C32" s="41" t="s">
        <v>1355</v>
      </c>
      <c r="D32" s="34" t="s">
        <v>24</v>
      </c>
      <c r="E32" s="80">
        <f t="shared" si="0"/>
        <v>1.7015358430257039</v>
      </c>
      <c r="F32" s="35">
        <f t="shared" si="1"/>
        <v>41.239946183895277</v>
      </c>
      <c r="G32" s="42" cm="1">
        <f t="array" ref="G3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40.955540199303087</v>
      </c>
      <c r="H32" s="81" cm="1">
        <f t="array" ref="H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1.6965028998555307</v>
      </c>
      <c r="I32" s="81" cm="1">
        <f t="array" ref="I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1.7015358430257039</v>
      </c>
      <c r="J32" s="81" cm="1">
        <f t="array" ref="J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1.7055704003625318</v>
      </c>
      <c r="K32" s="81" cm="1">
        <f t="array" ref="K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1.7135139754737541</v>
      </c>
      <c r="L32" s="81" cm="1">
        <f t="array" ref="L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1.7233234351458557</v>
      </c>
      <c r="M32" s="37">
        <f t="shared" si="2"/>
        <v>1.7011075618223348E-2</v>
      </c>
      <c r="N32" s="43">
        <f t="shared" si="3"/>
        <v>5.0329431701732208E-3</v>
      </c>
      <c r="O32" s="43">
        <f t="shared" si="4"/>
        <v>9.8094596721016725E-3</v>
      </c>
      <c r="P32" s="43">
        <f t="shared" si="5"/>
        <v>0.29586272397623176</v>
      </c>
      <c r="Q32" s="37">
        <f t="shared" si="6"/>
        <v>0.57665134717249478</v>
      </c>
      <c r="R32" s="37">
        <v>1.8E-3</v>
      </c>
      <c r="S32" s="44" t="s">
        <v>1393</v>
      </c>
      <c r="T32" s="45">
        <v>1.6893905199999999</v>
      </c>
      <c r="U32" s="45">
        <v>0.133081013</v>
      </c>
      <c r="V32" s="45">
        <v>1.4116551500000001</v>
      </c>
      <c r="W32" s="45">
        <v>1.03598193E-2</v>
      </c>
      <c r="X32" s="45">
        <v>5.33982239E-2</v>
      </c>
      <c r="Y32" s="45">
        <v>126.515503</v>
      </c>
      <c r="Z32" s="36">
        <v>3.67</v>
      </c>
      <c r="AA32" s="38">
        <v>647</v>
      </c>
      <c r="AB32" s="38">
        <v>749</v>
      </c>
      <c r="AC32" s="49" t="s">
        <v>506</v>
      </c>
      <c r="AD32" s="39" t="s">
        <v>1371</v>
      </c>
      <c r="AE32" s="46"/>
    </row>
    <row r="33" spans="1:31" ht="15" thickBot="1">
      <c r="A33" s="34">
        <v>31</v>
      </c>
      <c r="B33" s="34" t="s">
        <v>251</v>
      </c>
      <c r="C33" s="41" t="s">
        <v>1355</v>
      </c>
      <c r="D33" s="34" t="s">
        <v>25</v>
      </c>
      <c r="E33" s="80">
        <f t="shared" si="0"/>
        <v>1.7234198245400043</v>
      </c>
      <c r="F33" s="35">
        <f t="shared" si="1"/>
        <v>37.956071469707304</v>
      </c>
      <c r="G33" s="42" cm="1">
        <f t="array" ref="G3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37.67863142072121</v>
      </c>
      <c r="H33" s="81" cm="1">
        <f t="array" ref="H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1.7178157712521849</v>
      </c>
      <c r="I33" s="81" cm="1">
        <f t="array" ref="I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1.7234198245400043</v>
      </c>
      <c r="J33" s="81" cm="1">
        <f t="array" ref="J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1.7279347874489508</v>
      </c>
      <c r="K33" s="81" cm="1">
        <f t="array" ref="K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1.7368751679844669</v>
      </c>
      <c r="L33" s="81" cm="1">
        <f t="array" ref="L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1.748000516024889</v>
      </c>
      <c r="M33" s="37">
        <f t="shared" si="2"/>
        <v>1.9059396732282075E-2</v>
      </c>
      <c r="N33" s="43">
        <f t="shared" si="3"/>
        <v>5.6040532878194327E-3</v>
      </c>
      <c r="O33" s="43">
        <f t="shared" si="4"/>
        <v>1.1125348040422089E-2</v>
      </c>
      <c r="P33" s="43">
        <f t="shared" si="5"/>
        <v>0.29403098988581849</v>
      </c>
      <c r="Q33" s="37">
        <f t="shared" si="6"/>
        <v>0.58371984154033596</v>
      </c>
      <c r="R33" s="37">
        <v>3.5000000000000001E-3</v>
      </c>
      <c r="S33" s="44" t="s">
        <v>1393</v>
      </c>
      <c r="T33" s="45">
        <v>1.6949348399999999</v>
      </c>
      <c r="U33" s="45">
        <v>0.19289029799999999</v>
      </c>
      <c r="V33" s="45">
        <v>1.5638594800000001</v>
      </c>
      <c r="W33" s="45">
        <v>1.0272319E-2</v>
      </c>
      <c r="X33" s="45">
        <v>5.2118763999999998E-2</v>
      </c>
      <c r="Y33" s="45">
        <v>137.81803500000001</v>
      </c>
      <c r="Z33" s="36">
        <v>3.67</v>
      </c>
      <c r="AA33" s="38">
        <v>636</v>
      </c>
      <c r="AB33" s="38">
        <v>739</v>
      </c>
      <c r="AC33" s="49" t="s">
        <v>506</v>
      </c>
      <c r="AD33" s="49" t="s">
        <v>506</v>
      </c>
      <c r="AE33" s="46"/>
    </row>
    <row r="34" spans="1:31" ht="15" thickBot="1">
      <c r="A34" s="34">
        <v>32</v>
      </c>
      <c r="B34" s="34" t="s">
        <v>251</v>
      </c>
      <c r="C34" s="41" t="s">
        <v>1366</v>
      </c>
      <c r="D34" s="34" t="s">
        <v>26</v>
      </c>
      <c r="E34" s="80">
        <f t="shared" si="0"/>
        <v>1.617999910005915</v>
      </c>
      <c r="F34" s="35">
        <f t="shared" si="1"/>
        <v>63.334253349101168</v>
      </c>
      <c r="G34" s="42" cm="1">
        <f t="array" ref="G3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63.022312631286859</v>
      </c>
      <c r="H34" s="81" cm="1">
        <f t="array" ref="H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1.615036087639131</v>
      </c>
      <c r="I34" s="81" cm="1">
        <f t="array" ref="I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1.617999910005915</v>
      </c>
      <c r="J34" s="81" cm="1">
        <f t="array" ref="J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1.6203271279911378</v>
      </c>
      <c r="K34" s="81" cm="1">
        <f t="array" ref="K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1.6247938392084038</v>
      </c>
      <c r="L34" s="81" cm="1">
        <f t="array" ref="L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1.6301035786999685</v>
      </c>
      <c r="M34" s="37">
        <f t="shared" si="2"/>
        <v>9.7577515692728323E-3</v>
      </c>
      <c r="N34" s="43">
        <f t="shared" si="3"/>
        <v>2.9638223667840524E-3</v>
      </c>
      <c r="O34" s="43">
        <f t="shared" si="4"/>
        <v>5.3097394915646579E-3</v>
      </c>
      <c r="P34" s="43">
        <f t="shared" si="5"/>
        <v>0.30374029772566985</v>
      </c>
      <c r="Q34" s="37">
        <f t="shared" si="6"/>
        <v>0.54415604392768435</v>
      </c>
      <c r="R34" s="37">
        <v>5.1000000000000004E-3</v>
      </c>
      <c r="S34" s="44" t="s">
        <v>1393</v>
      </c>
      <c r="T34" s="45">
        <v>1.0996655</v>
      </c>
      <c r="U34" s="45">
        <v>0.47812542200000002</v>
      </c>
      <c r="V34" s="45">
        <v>1.1321407400000001</v>
      </c>
      <c r="W34" s="45">
        <v>1.3271855900000001E-2</v>
      </c>
      <c r="X34" s="45">
        <v>-6.0164968499999997E-4</v>
      </c>
      <c r="Y34" s="45">
        <v>130.595472</v>
      </c>
      <c r="Z34" s="36">
        <v>3.67</v>
      </c>
      <c r="AA34" s="38">
        <v>585</v>
      </c>
      <c r="AB34" s="38"/>
      <c r="AC34" s="49" t="s">
        <v>506</v>
      </c>
      <c r="AD34" s="39" t="s">
        <v>1371</v>
      </c>
      <c r="AE34" s="46"/>
    </row>
    <row r="35" spans="1:31" ht="15" thickBot="1">
      <c r="A35" s="34">
        <v>33</v>
      </c>
      <c r="B35" s="34" t="s">
        <v>251</v>
      </c>
      <c r="C35" s="41" t="s">
        <v>1366</v>
      </c>
      <c r="D35" s="34" t="s">
        <v>1134</v>
      </c>
      <c r="E35" s="80">
        <f t="shared" si="0"/>
        <v>1.6179994410602725</v>
      </c>
      <c r="F35" s="35">
        <f t="shared" si="1"/>
        <v>63.322196710854378</v>
      </c>
      <c r="G35" s="42" cm="1">
        <f t="array" ref="G3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63.029010048118394</v>
      </c>
      <c r="H35" s="81" cm="1">
        <f t="array" ref="H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1.6150285479604405</v>
      </c>
      <c r="I35" s="81" cm="1">
        <f t="array" ref="I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1.6179994410602725</v>
      </c>
      <c r="J35" s="81" cm="1">
        <f t="array" ref="J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1.6203272912452642</v>
      </c>
      <c r="K35" s="81" cm="1">
        <f t="array" ref="K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1.6247881500140808</v>
      </c>
      <c r="L35" s="81" cm="1">
        <f t="array" ref="L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1.6300849071122385</v>
      </c>
      <c r="M35" s="37">
        <f t="shared" si="2"/>
        <v>9.7596020536403483E-3</v>
      </c>
      <c r="N35" s="43">
        <f t="shared" si="3"/>
        <v>2.970893099832006E-3</v>
      </c>
      <c r="O35" s="43">
        <f t="shared" si="4"/>
        <v>5.2967570981576895E-3</v>
      </c>
      <c r="P35" s="43">
        <f t="shared" si="5"/>
        <v>0.30440719647209979</v>
      </c>
      <c r="Q35" s="37">
        <f t="shared" si="6"/>
        <v>0.54272265088738836</v>
      </c>
      <c r="R35" s="37">
        <v>3.5999999999999999E-3</v>
      </c>
      <c r="S35" s="44" t="s">
        <v>1393</v>
      </c>
      <c r="T35" s="45">
        <v>1.2696875000000001</v>
      </c>
      <c r="U35" s="45">
        <v>0.30841813600000001</v>
      </c>
      <c r="V35" s="45">
        <v>1.04078976</v>
      </c>
      <c r="W35" s="45">
        <v>6.21622949E-3</v>
      </c>
      <c r="X35" s="45">
        <v>2.0778526499999998E-2</v>
      </c>
      <c r="Y35" s="45">
        <v>112.05125</v>
      </c>
      <c r="Z35" s="36">
        <v>3.51</v>
      </c>
      <c r="AA35" s="38">
        <v>580</v>
      </c>
      <c r="AB35" s="38">
        <v>650</v>
      </c>
      <c r="AC35" s="49" t="s">
        <v>506</v>
      </c>
      <c r="AD35" s="39" t="s">
        <v>1371</v>
      </c>
      <c r="AE35" s="46" t="s">
        <v>769</v>
      </c>
    </row>
    <row r="36" spans="1:31" ht="15" thickBot="1">
      <c r="A36" s="34">
        <v>34</v>
      </c>
      <c r="B36" s="34" t="s">
        <v>251</v>
      </c>
      <c r="C36" s="41" t="s">
        <v>1366</v>
      </c>
      <c r="D36" s="34" t="s">
        <v>27</v>
      </c>
      <c r="E36" s="80">
        <f t="shared" si="0"/>
        <v>1.6030009141265951</v>
      </c>
      <c r="F36" s="35">
        <f t="shared" si="1"/>
        <v>65.444418060462013</v>
      </c>
      <c r="G36" s="42" cm="1">
        <f t="array" ref="G3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65.156806840842904</v>
      </c>
      <c r="H36" s="81" cm="1">
        <f t="array" ref="H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1.6001892895186809</v>
      </c>
      <c r="I36" s="81" cm="1">
        <f t="array" ref="I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1.6030009141265951</v>
      </c>
      <c r="J36" s="81" cm="1">
        <f t="array" ref="J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1.6051993680483909</v>
      </c>
      <c r="K36" s="81" cm="1">
        <f t="array" ref="K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1.6094032291027949</v>
      </c>
      <c r="L36" s="81" cm="1">
        <f t="array" ref="L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1.6143808788952649</v>
      </c>
      <c r="M36" s="37">
        <f t="shared" si="2"/>
        <v>9.2139395841139837E-3</v>
      </c>
      <c r="N36" s="43">
        <f t="shared" si="3"/>
        <v>2.811624607914176E-3</v>
      </c>
      <c r="O36" s="43">
        <f t="shared" si="4"/>
        <v>4.9776497924700625E-3</v>
      </c>
      <c r="P36" s="43">
        <f t="shared" si="5"/>
        <v>0.30514901712203302</v>
      </c>
      <c r="Q36" s="37">
        <f t="shared" si="6"/>
        <v>0.54023034848765128</v>
      </c>
      <c r="R36" s="37">
        <v>4.4999999999999997E-3</v>
      </c>
      <c r="S36" s="44" t="s">
        <v>1393</v>
      </c>
      <c r="T36" s="45">
        <v>1.0977542300000001</v>
      </c>
      <c r="U36" s="45">
        <v>0.43481643199999997</v>
      </c>
      <c r="V36" s="45">
        <v>1.13894976</v>
      </c>
      <c r="W36" s="45">
        <v>1.2336939999999999E-2</v>
      </c>
      <c r="X36" s="45">
        <v>-3.7252290299999999E-4</v>
      </c>
      <c r="Y36" s="45">
        <v>124.276984</v>
      </c>
      <c r="Z36" s="36">
        <v>3.51</v>
      </c>
      <c r="AA36" s="38">
        <v>619</v>
      </c>
      <c r="AB36" s="38">
        <v>681</v>
      </c>
      <c r="AC36" s="49" t="s">
        <v>506</v>
      </c>
      <c r="AD36" s="39" t="s">
        <v>1371</v>
      </c>
      <c r="AE36" s="46"/>
    </row>
    <row r="37" spans="1:31" ht="15" thickBot="1">
      <c r="A37" s="34">
        <v>35</v>
      </c>
      <c r="B37" s="34" t="s">
        <v>251</v>
      </c>
      <c r="C37" s="41" t="s">
        <v>1356</v>
      </c>
      <c r="D37" s="34" t="s">
        <v>28</v>
      </c>
      <c r="E37" s="80">
        <f t="shared" si="0"/>
        <v>1.5481408908508596</v>
      </c>
      <c r="F37" s="35">
        <f t="shared" si="1"/>
        <v>45.784833890743862</v>
      </c>
      <c r="G37" s="42" cm="1">
        <f t="array" ref="G3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45.493395812868634</v>
      </c>
      <c r="H37" s="81" cm="1">
        <f t="array" ref="H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1.544571714201872</v>
      </c>
      <c r="I37" s="81" cm="1">
        <f t="array" ref="I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1.5481408908508596</v>
      </c>
      <c r="J37" s="81" cm="1">
        <f t="array" ref="J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1.5509836274019888</v>
      </c>
      <c r="K37" s="81" cm="1">
        <f t="array" ref="K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1.5565438203398758</v>
      </c>
      <c r="L37" s="81" cm="1">
        <f t="array" ref="L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1.563351247768709</v>
      </c>
      <c r="M37" s="37">
        <f t="shared" si="2"/>
        <v>1.1972106138003813E-2</v>
      </c>
      <c r="N37" s="43">
        <f t="shared" si="3"/>
        <v>3.5691766489875931E-3</v>
      </c>
      <c r="O37" s="43">
        <f t="shared" si="4"/>
        <v>6.8074274288332237E-3</v>
      </c>
      <c r="P37" s="43">
        <f t="shared" si="5"/>
        <v>0.29812437409469084</v>
      </c>
      <c r="Q37" s="37">
        <f t="shared" si="6"/>
        <v>0.56860734029278082</v>
      </c>
      <c r="R37" s="37">
        <v>1.1999999999999999E-3</v>
      </c>
      <c r="S37" s="44" t="s">
        <v>1393</v>
      </c>
      <c r="T37" s="45">
        <v>1.2508894399999999</v>
      </c>
      <c r="U37" s="45">
        <v>9.9797332700000005E-2</v>
      </c>
      <c r="V37" s="45">
        <v>1.20583504</v>
      </c>
      <c r="W37" s="45">
        <v>8.8392127900000002E-3</v>
      </c>
      <c r="X37" s="45">
        <v>4.8268505199999999E-2</v>
      </c>
      <c r="Y37" s="45">
        <v>137.414953</v>
      </c>
      <c r="Z37" s="36">
        <v>2.54</v>
      </c>
      <c r="AA37" s="38">
        <v>500</v>
      </c>
      <c r="AB37" s="38">
        <v>654</v>
      </c>
      <c r="AC37" s="49" t="s">
        <v>506</v>
      </c>
      <c r="AD37" s="49" t="s">
        <v>506</v>
      </c>
      <c r="AE37" s="46"/>
    </row>
    <row r="38" spans="1:31" ht="15" thickBot="1">
      <c r="A38" s="34">
        <v>36</v>
      </c>
      <c r="B38" s="34" t="s">
        <v>251</v>
      </c>
      <c r="C38" s="41" t="s">
        <v>1356</v>
      </c>
      <c r="D38" s="34" t="s">
        <v>29</v>
      </c>
      <c r="E38" s="80">
        <f t="shared" si="0"/>
        <v>1.5407198951272876</v>
      </c>
      <c r="F38" s="35">
        <f t="shared" si="1"/>
        <v>47.227698976429018</v>
      </c>
      <c r="G38" s="42" cm="1">
        <f t="array" ref="G3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46.940237301077232</v>
      </c>
      <c r="H38" s="81" cm="1">
        <f t="array" ref="H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1.5372965966583552</v>
      </c>
      <c r="I38" s="81" cm="1">
        <f t="array" ref="I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1.5407198951272876</v>
      </c>
      <c r="J38" s="81" cm="1">
        <f t="array" ref="J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1.5434400394708447</v>
      </c>
      <c r="K38" s="81" cm="1">
        <f t="array" ref="K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1.5487458077536735</v>
      </c>
      <c r="L38" s="81" cm="1">
        <f t="array" ref="L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1.555216090069425</v>
      </c>
      <c r="M38" s="37">
        <f t="shared" si="2"/>
        <v>1.1449211095318379E-2</v>
      </c>
      <c r="N38" s="43">
        <f t="shared" si="3"/>
        <v>3.423298468932412E-3</v>
      </c>
      <c r="O38" s="43">
        <f t="shared" si="4"/>
        <v>6.4702823157514189E-3</v>
      </c>
      <c r="P38" s="43">
        <f t="shared" si="5"/>
        <v>0.29899863321868614</v>
      </c>
      <c r="Q38" s="37">
        <f t="shared" si="6"/>
        <v>0.56512909595990757</v>
      </c>
      <c r="R38" s="37">
        <v>0</v>
      </c>
      <c r="S38" s="44" t="s">
        <v>1393</v>
      </c>
      <c r="T38" s="45">
        <v>1.2340149899999999</v>
      </c>
      <c r="U38" s="45">
        <v>9.5979683299999993E-2</v>
      </c>
      <c r="V38" s="45">
        <v>1.20503991</v>
      </c>
      <c r="W38" s="45">
        <v>8.6950780099999993E-3</v>
      </c>
      <c r="X38" s="45">
        <v>4.6561142899999998E-2</v>
      </c>
      <c r="Y38" s="45">
        <v>137.95330100000001</v>
      </c>
      <c r="Z38" s="36">
        <v>2.52</v>
      </c>
      <c r="AA38" s="38">
        <v>498</v>
      </c>
      <c r="AB38" s="38">
        <v>658</v>
      </c>
      <c r="AC38" s="49" t="s">
        <v>506</v>
      </c>
      <c r="AD38" s="39" t="s">
        <v>1371</v>
      </c>
      <c r="AE38" s="46"/>
    </row>
    <row r="39" spans="1:31" ht="15" thickBot="1">
      <c r="A39" s="34">
        <v>37</v>
      </c>
      <c r="B39" s="34" t="s">
        <v>251</v>
      </c>
      <c r="C39" s="41" t="s">
        <v>1356</v>
      </c>
      <c r="D39" s="34" t="s">
        <v>30</v>
      </c>
      <c r="E39" s="80">
        <f t="shared" si="0"/>
        <v>1.5317168997278929</v>
      </c>
      <c r="F39" s="35">
        <f t="shared" si="1"/>
        <v>48.841308037633901</v>
      </c>
      <c r="G39" s="42" cm="1">
        <f t="array" ref="G3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48.549015567483252</v>
      </c>
      <c r="H39" s="81" cm="1">
        <f t="array" ref="H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1.5284558959287842</v>
      </c>
      <c r="I39" s="81" cm="1">
        <f t="array" ref="I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1.5317168997278929</v>
      </c>
      <c r="J39" s="81" cm="1">
        <f t="array" ref="J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1.5343040703612181</v>
      </c>
      <c r="K39" s="81" cm="1">
        <f t="array" ref="K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1.5393425187710346</v>
      </c>
      <c r="L39" s="81" cm="1">
        <f t="array" ref="L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1.5454728420130703</v>
      </c>
      <c r="M39" s="37">
        <f t="shared" si="2"/>
        <v>1.0886622842250393E-2</v>
      </c>
      <c r="N39" s="43">
        <f t="shared" si="3"/>
        <v>3.2610037991087637E-3</v>
      </c>
      <c r="O39" s="43">
        <f t="shared" si="4"/>
        <v>6.1303232420357734E-3</v>
      </c>
      <c r="P39" s="43">
        <f t="shared" si="5"/>
        <v>0.29954227737668881</v>
      </c>
      <c r="Q39" s="37">
        <f t="shared" si="6"/>
        <v>0.56310605509766731</v>
      </c>
      <c r="R39" s="37">
        <v>6.9999999999999999E-4</v>
      </c>
      <c r="S39" s="44" t="s">
        <v>1393</v>
      </c>
      <c r="T39" s="45">
        <v>1.17701777</v>
      </c>
      <c r="U39" s="45">
        <v>0.12795803</v>
      </c>
      <c r="V39" s="45">
        <v>1.3474012399999999</v>
      </c>
      <c r="W39" s="45">
        <v>7.7108768600000002E-3</v>
      </c>
      <c r="X39" s="45">
        <v>4.1132532800000003E-2</v>
      </c>
      <c r="Y39" s="45">
        <v>154.53169199999999</v>
      </c>
      <c r="Z39" s="36">
        <v>2.5</v>
      </c>
      <c r="AA39" s="38">
        <v>478</v>
      </c>
      <c r="AB39" s="38">
        <v>648</v>
      </c>
      <c r="AC39" s="49" t="s">
        <v>506</v>
      </c>
      <c r="AD39" s="49" t="s">
        <v>506</v>
      </c>
      <c r="AE39" s="46"/>
    </row>
    <row r="40" spans="1:31" ht="15" thickBot="1">
      <c r="A40" s="34">
        <v>38</v>
      </c>
      <c r="B40" s="34" t="s">
        <v>251</v>
      </c>
      <c r="C40" s="41" t="s">
        <v>1356</v>
      </c>
      <c r="D40" s="34" t="s">
        <v>31</v>
      </c>
      <c r="E40" s="80">
        <f t="shared" si="0"/>
        <v>1.5814388695121209</v>
      </c>
      <c r="F40" s="35">
        <f t="shared" si="1"/>
        <v>40.748066581060101</v>
      </c>
      <c r="G40" s="42" cm="1">
        <f t="array" ref="G4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40.469760121609006</v>
      </c>
      <c r="H40" s="81" cm="1">
        <f t="array" ref="H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1.5772161230267514</v>
      </c>
      <c r="I40" s="81" cm="1">
        <f t="array" ref="I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1.5814388695121209</v>
      </c>
      <c r="J40" s="81" cm="1">
        <f t="array" ref="J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1.5848218347415002</v>
      </c>
      <c r="K40" s="81" cm="1">
        <f t="array" ref="K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1.5914852385528946</v>
      </c>
      <c r="L40" s="81" cm="1">
        <f t="array" ref="L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1.5997268091744596</v>
      </c>
      <c r="M40" s="37">
        <f t="shared" si="2"/>
        <v>1.4269115526143183E-2</v>
      </c>
      <c r="N40" s="43">
        <f t="shared" si="3"/>
        <v>4.2227464853694663E-3</v>
      </c>
      <c r="O40" s="43">
        <f t="shared" si="4"/>
        <v>8.241570621565053E-3</v>
      </c>
      <c r="P40" s="43">
        <f t="shared" si="5"/>
        <v>0.29593610603493636</v>
      </c>
      <c r="Q40" s="37">
        <f t="shared" si="6"/>
        <v>0.57758104252959797</v>
      </c>
      <c r="R40" s="37">
        <v>1.9E-3</v>
      </c>
      <c r="S40" s="44" t="s">
        <v>1393</v>
      </c>
      <c r="T40" s="45">
        <v>1.32122534</v>
      </c>
      <c r="U40" s="45">
        <v>0.123824976</v>
      </c>
      <c r="V40" s="45">
        <v>1.4368525400000001</v>
      </c>
      <c r="W40" s="45">
        <v>9.5209143600000004E-3</v>
      </c>
      <c r="X40" s="45">
        <v>5.1606266499999998E-2</v>
      </c>
      <c r="Y40" s="45">
        <v>149.06488300000001</v>
      </c>
      <c r="Z40" s="36">
        <v>2.59</v>
      </c>
      <c r="AA40" s="38">
        <v>590</v>
      </c>
      <c r="AB40" s="38">
        <v>715</v>
      </c>
      <c r="AC40" s="49" t="s">
        <v>506</v>
      </c>
      <c r="AD40" s="39" t="s">
        <v>1371</v>
      </c>
      <c r="AE40" s="46"/>
    </row>
    <row r="41" spans="1:31" ht="15" thickBot="1">
      <c r="A41" s="34">
        <v>39</v>
      </c>
      <c r="B41" s="34" t="s">
        <v>251</v>
      </c>
      <c r="C41" s="41" t="s">
        <v>1356</v>
      </c>
      <c r="D41" s="34" t="s">
        <v>32</v>
      </c>
      <c r="E41" s="80">
        <f t="shared" si="0"/>
        <v>1.5673218769429433</v>
      </c>
      <c r="F41" s="35">
        <f t="shared" si="1"/>
        <v>42.817599183731161</v>
      </c>
      <c r="G41" s="42" cm="1">
        <f t="array" ref="G4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42.537076627694979</v>
      </c>
      <c r="H41" s="81" cm="1">
        <f t="array" ref="H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1.5633860244613149</v>
      </c>
      <c r="I41" s="81" cm="1">
        <f t="array" ref="I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1.5673218769429433</v>
      </c>
      <c r="J41" s="81" cm="1">
        <f t="array" ref="J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1.570465646260663</v>
      </c>
      <c r="K41" s="81" cm="1">
        <f t="array" ref="K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1.5766357602652434</v>
      </c>
      <c r="L41" s="81" cm="1">
        <f t="array" ref="L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1.5842292441562931</v>
      </c>
      <c r="M41" s="37">
        <f t="shared" si="2"/>
        <v>1.324973580392852E-2</v>
      </c>
      <c r="N41" s="43">
        <f t="shared" si="3"/>
        <v>3.9358524816284213E-3</v>
      </c>
      <c r="O41" s="43">
        <f t="shared" si="4"/>
        <v>7.5934838910496349E-3</v>
      </c>
      <c r="P41" s="43">
        <f t="shared" si="5"/>
        <v>0.29705139331619346</v>
      </c>
      <c r="Q41" s="37">
        <f t="shared" si="6"/>
        <v>0.57310455117136616</v>
      </c>
      <c r="R41" s="37">
        <v>8.9999999999999998E-4</v>
      </c>
      <c r="S41" s="44" t="s">
        <v>1393</v>
      </c>
      <c r="T41" s="45">
        <v>1.31066488</v>
      </c>
      <c r="U41" s="45">
        <v>9.4190309400000005E-2</v>
      </c>
      <c r="V41" s="45">
        <v>1.23292644</v>
      </c>
      <c r="W41" s="45">
        <v>9.6889781200000004E-3</v>
      </c>
      <c r="X41" s="45">
        <v>5.2776310600000001E-2</v>
      </c>
      <c r="Y41" s="45">
        <v>133.29642200000001</v>
      </c>
      <c r="Z41" s="36">
        <v>2.57</v>
      </c>
      <c r="AA41" s="38">
        <v>556</v>
      </c>
      <c r="AB41" s="38">
        <v>694</v>
      </c>
      <c r="AC41" s="49" t="s">
        <v>506</v>
      </c>
      <c r="AD41" s="39" t="s">
        <v>1371</v>
      </c>
      <c r="AE41" s="46"/>
    </row>
    <row r="42" spans="1:31" ht="15" thickBot="1">
      <c r="A42" s="34">
        <v>40</v>
      </c>
      <c r="B42" s="34" t="s">
        <v>251</v>
      </c>
      <c r="C42" s="41" t="s">
        <v>1356</v>
      </c>
      <c r="D42" s="34" t="s">
        <v>33</v>
      </c>
      <c r="E42" s="80">
        <f t="shared" si="0"/>
        <v>1.5750058719309001</v>
      </c>
      <c r="F42" s="35">
        <f t="shared" si="1"/>
        <v>41.505715996842042</v>
      </c>
      <c r="G42" s="42" cm="1">
        <f t="array" ref="G4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41.223228788271449</v>
      </c>
      <c r="H42" s="81" cm="1">
        <f t="array" ref="H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1.5709022755988207</v>
      </c>
      <c r="I42" s="81" cm="1">
        <f t="array" ref="I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1.5750058719309001</v>
      </c>
      <c r="J42" s="81" cm="1">
        <f t="array" ref="J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1.5782907435990738</v>
      </c>
      <c r="K42" s="81" cm="1">
        <f t="array" ref="K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1.5847559306465893</v>
      </c>
      <c r="L42" s="81" cm="1">
        <f t="array" ref="L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1.5927457659413584</v>
      </c>
      <c r="M42" s="37">
        <f t="shared" si="2"/>
        <v>1.3853655047768587E-2</v>
      </c>
      <c r="N42" s="43">
        <f t="shared" si="3"/>
        <v>4.1035963320794622E-3</v>
      </c>
      <c r="O42" s="43">
        <f t="shared" si="4"/>
        <v>7.9898352947691542E-3</v>
      </c>
      <c r="P42" s="43">
        <f t="shared" si="5"/>
        <v>0.29621037321413818</v>
      </c>
      <c r="Q42" s="37">
        <f t="shared" si="6"/>
        <v>0.57673121405286321</v>
      </c>
      <c r="R42" s="37">
        <v>2.3999999999999998E-3</v>
      </c>
      <c r="S42" s="44" t="s">
        <v>1393</v>
      </c>
      <c r="T42" s="45">
        <v>1.31433154</v>
      </c>
      <c r="U42" s="45">
        <v>0.11230016800000001</v>
      </c>
      <c r="V42" s="45">
        <v>1.4139010000000001</v>
      </c>
      <c r="W42" s="45">
        <v>9.5040447699999992E-3</v>
      </c>
      <c r="X42" s="45">
        <v>5.2411277200000002E-2</v>
      </c>
      <c r="Y42" s="45">
        <v>148.42997199999999</v>
      </c>
      <c r="Z42" s="36">
        <v>2.58</v>
      </c>
      <c r="AA42" s="38">
        <v>566</v>
      </c>
      <c r="AB42" s="38">
        <v>700</v>
      </c>
      <c r="AC42" s="49" t="s">
        <v>506</v>
      </c>
      <c r="AD42" s="49" t="s">
        <v>506</v>
      </c>
      <c r="AE42" s="46"/>
    </row>
    <row r="43" spans="1:31" ht="15" thickBot="1">
      <c r="A43" s="34">
        <v>41</v>
      </c>
      <c r="B43" s="34" t="s">
        <v>251</v>
      </c>
      <c r="C43" s="41" t="s">
        <v>1356</v>
      </c>
      <c r="D43" s="34" t="s">
        <v>34</v>
      </c>
      <c r="E43" s="80">
        <f t="shared" si="0"/>
        <v>1.6200408445102541</v>
      </c>
      <c r="F43" s="35">
        <f t="shared" si="1"/>
        <v>36.263828198584825</v>
      </c>
      <c r="G43" s="42" cm="1">
        <f t="array" ref="G4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35.995754924663778</v>
      </c>
      <c r="H43" s="81" cm="1">
        <f t="array" ref="H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1.6150242791020253</v>
      </c>
      <c r="I43" s="81" cm="1">
        <f t="array" ref="I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1.6200408445102541</v>
      </c>
      <c r="J43" s="81" cm="1">
        <f t="array" ref="J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1.6240875581203504</v>
      </c>
      <c r="K43" s="81" cm="1">
        <f t="array" ref="K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1.6321223317707849</v>
      </c>
      <c r="L43" s="81" cm="1">
        <f t="array" ref="L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1.6421762406707838</v>
      </c>
      <c r="M43" s="37">
        <f t="shared" si="2"/>
        <v>1.7098052668759633E-2</v>
      </c>
      <c r="N43" s="43">
        <f t="shared" si="3"/>
        <v>5.0165654082288125E-3</v>
      </c>
      <c r="O43" s="43">
        <f t="shared" si="4"/>
        <v>1.0053908899998909E-2</v>
      </c>
      <c r="P43" s="43">
        <f t="shared" si="5"/>
        <v>0.29339981022486439</v>
      </c>
      <c r="Q43" s="37">
        <f t="shared" si="6"/>
        <v>0.58801485144379684</v>
      </c>
      <c r="R43" s="37">
        <v>5.1000000000000004E-3</v>
      </c>
      <c r="S43" s="44" t="s">
        <v>1393</v>
      </c>
      <c r="T43" s="45">
        <v>1.42193846</v>
      </c>
      <c r="U43" s="45">
        <v>0.13382796799999999</v>
      </c>
      <c r="V43" s="45">
        <v>1.4506057400000001</v>
      </c>
      <c r="W43" s="45">
        <v>1.0729151100000001E-2</v>
      </c>
      <c r="X43" s="45">
        <v>5.7258754600000003E-2</v>
      </c>
      <c r="Y43" s="45">
        <v>145.38180500000001</v>
      </c>
      <c r="Z43" s="36">
        <v>2.69</v>
      </c>
      <c r="AA43" s="38">
        <v>599</v>
      </c>
      <c r="AB43" s="38">
        <v>703</v>
      </c>
      <c r="AC43" s="49" t="s">
        <v>506</v>
      </c>
      <c r="AD43" s="39" t="s">
        <v>1371</v>
      </c>
      <c r="AE43" s="46"/>
    </row>
    <row r="44" spans="1:31" ht="15" thickBot="1">
      <c r="A44" s="34">
        <v>42</v>
      </c>
      <c r="B44" s="34" t="s">
        <v>251</v>
      </c>
      <c r="C44" s="41" t="s">
        <v>1356</v>
      </c>
      <c r="D44" s="34" t="s">
        <v>35</v>
      </c>
      <c r="E44" s="80">
        <f t="shared" si="0"/>
        <v>1.6034198547986358</v>
      </c>
      <c r="F44" s="35">
        <f t="shared" si="1"/>
        <v>38.027816861425308</v>
      </c>
      <c r="G44" s="42" cm="1">
        <f t="array" ref="G4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37.755333716909689</v>
      </c>
      <c r="H44" s="81" cm="1">
        <f t="array" ref="H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1.5987477566120019</v>
      </c>
      <c r="I44" s="81" cm="1">
        <f t="array" ref="I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1.6034198547986358</v>
      </c>
      <c r="J44" s="81" cm="1">
        <f t="array" ref="J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1.6071782861370643</v>
      </c>
      <c r="K44" s="81" cm="1">
        <f t="array" ref="K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1.6146156108461147</v>
      </c>
      <c r="L44" s="81" cm="1">
        <f t="array" ref="L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1.623875725378674</v>
      </c>
      <c r="M44" s="37">
        <f t="shared" si="2"/>
        <v>1.5867854234112855E-2</v>
      </c>
      <c r="N44" s="43">
        <f t="shared" si="3"/>
        <v>4.6720981866339439E-3</v>
      </c>
      <c r="O44" s="43">
        <f t="shared" si="4"/>
        <v>9.2601145325592604E-3</v>
      </c>
      <c r="P44" s="43">
        <f t="shared" si="5"/>
        <v>0.29443793204186519</v>
      </c>
      <c r="Q44" s="37">
        <f t="shared" si="6"/>
        <v>0.58357698501236444</v>
      </c>
      <c r="R44" s="37">
        <v>3.5999999999999999E-3</v>
      </c>
      <c r="S44" s="44" t="s">
        <v>1393</v>
      </c>
      <c r="T44" s="45">
        <v>1.3853134199999999</v>
      </c>
      <c r="U44" s="45">
        <v>0.122372945</v>
      </c>
      <c r="V44" s="45">
        <v>1.4050832600000001</v>
      </c>
      <c r="W44" s="45">
        <v>1.04074567E-2</v>
      </c>
      <c r="X44" s="45">
        <v>5.5744008800000001E-2</v>
      </c>
      <c r="Y44" s="45">
        <v>144.87873300000001</v>
      </c>
      <c r="Z44" s="36">
        <v>2.63</v>
      </c>
      <c r="AA44" s="38">
        <v>596</v>
      </c>
      <c r="AB44" s="38">
        <v>700</v>
      </c>
      <c r="AC44" s="49" t="s">
        <v>506</v>
      </c>
      <c r="AD44" s="49" t="s">
        <v>506</v>
      </c>
      <c r="AE44" s="46"/>
    </row>
    <row r="45" spans="1:31" ht="15" thickBot="1">
      <c r="A45" s="34">
        <v>43</v>
      </c>
      <c r="B45" s="34" t="s">
        <v>251</v>
      </c>
      <c r="C45" s="41" t="s">
        <v>1356</v>
      </c>
      <c r="D45" s="34" t="s">
        <v>36</v>
      </c>
      <c r="E45" s="80">
        <f t="shared" si="0"/>
        <v>1.5955088621273674</v>
      </c>
      <c r="F45" s="35">
        <f t="shared" si="1"/>
        <v>39.242756627498437</v>
      </c>
      <c r="G45" s="42" cm="1">
        <f t="array" ref="G4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38.968271186332437</v>
      </c>
      <c r="H45" s="81" cm="1">
        <f t="array" ref="H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1.5910300559393904</v>
      </c>
      <c r="I45" s="81" cm="1">
        <f t="array" ref="I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1.5955088621273674</v>
      </c>
      <c r="J45" s="81" cm="1">
        <f t="array" ref="J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1.5991052218970452</v>
      </c>
      <c r="K45" s="81" cm="1">
        <f t="array" ref="K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1.6062050567116368</v>
      </c>
      <c r="L45" s="81" cm="1">
        <f t="array" ref="L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1.6150133109774054</v>
      </c>
      <c r="M45" s="37">
        <f t="shared" si="2"/>
        <v>1.5175000772246428E-2</v>
      </c>
      <c r="N45" s="43">
        <f t="shared" si="3"/>
        <v>4.4788061879770247E-3</v>
      </c>
      <c r="O45" s="43">
        <f t="shared" si="4"/>
        <v>8.8082542657685892E-3</v>
      </c>
      <c r="P45" s="43">
        <f t="shared" si="5"/>
        <v>0.29514372059659577</v>
      </c>
      <c r="Q45" s="37">
        <f t="shared" si="6"/>
        <v>0.58044506211017877</v>
      </c>
      <c r="R45" s="37">
        <v>2.3E-3</v>
      </c>
      <c r="S45" s="44" t="s">
        <v>1393</v>
      </c>
      <c r="T45" s="45">
        <v>1.3726271299999999</v>
      </c>
      <c r="U45" s="45">
        <v>0.11263627599999999</v>
      </c>
      <c r="V45" s="45">
        <v>1.3978642100000001</v>
      </c>
      <c r="W45" s="45">
        <v>1.03220068E-2</v>
      </c>
      <c r="X45" s="45">
        <v>5.5019504400000002E-2</v>
      </c>
      <c r="Y45" s="45">
        <v>147.73560900000001</v>
      </c>
      <c r="Z45" s="36">
        <v>2.63</v>
      </c>
      <c r="AA45" s="38">
        <v>582</v>
      </c>
      <c r="AB45" s="38">
        <v>695</v>
      </c>
      <c r="AC45" s="49" t="s">
        <v>506</v>
      </c>
      <c r="AD45" s="49" t="s">
        <v>506</v>
      </c>
      <c r="AE45" s="46"/>
    </row>
    <row r="46" spans="1:31" ht="15" thickBot="1">
      <c r="A46" s="34">
        <v>44</v>
      </c>
      <c r="B46" s="34" t="s">
        <v>251</v>
      </c>
      <c r="C46" s="41" t="s">
        <v>1356</v>
      </c>
      <c r="D46" s="34" t="s">
        <v>37</v>
      </c>
      <c r="E46" s="80">
        <f t="shared" si="0"/>
        <v>1.6726998104731583</v>
      </c>
      <c r="F46" s="35">
        <f t="shared" si="1"/>
        <v>32.099609467818134</v>
      </c>
      <c r="G46" s="42" cm="1">
        <f t="array" ref="G4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31.846258745012094</v>
      </c>
      <c r="H46" s="81" cm="1">
        <f t="array" ref="H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1.6666069902634284</v>
      </c>
      <c r="I46" s="81" cm="1">
        <f t="array" ref="I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1.6726998104731583</v>
      </c>
      <c r="J46" s="81" cm="1">
        <f t="array" ref="J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1.677650411233953</v>
      </c>
      <c r="K46" s="81" cm="1">
        <f t="array" ref="K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1.6875636256127644</v>
      </c>
      <c r="L46" s="81" cm="1">
        <f t="array" ref="L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1.7001150754877916</v>
      </c>
      <c r="M46" s="37">
        <f t="shared" si="2"/>
        <v>2.0956635349336006E-2</v>
      </c>
      <c r="N46" s="43">
        <f t="shared" si="3"/>
        <v>6.0928202097298989E-3</v>
      </c>
      <c r="O46" s="43">
        <f t="shared" si="4"/>
        <v>1.255144987502721E-2</v>
      </c>
      <c r="P46" s="43">
        <f t="shared" si="5"/>
        <v>0.29073465793367181</v>
      </c>
      <c r="Q46" s="37">
        <f t="shared" si="6"/>
        <v>0.59892485915802762</v>
      </c>
      <c r="R46" s="37">
        <v>9.2999999999999992E-3</v>
      </c>
      <c r="S46" s="44" t="s">
        <v>1393</v>
      </c>
      <c r="T46" s="45">
        <v>1.5065923299999999</v>
      </c>
      <c r="U46" s="45">
        <v>0.20478613500000001</v>
      </c>
      <c r="V46" s="45">
        <v>1.9203666800000001</v>
      </c>
      <c r="W46" s="45">
        <v>1.09501562E-2</v>
      </c>
      <c r="X46" s="45">
        <v>5.7498028499999999E-2</v>
      </c>
      <c r="Y46" s="45">
        <v>178.128535</v>
      </c>
      <c r="Z46" s="36">
        <v>2.91</v>
      </c>
      <c r="AA46" s="38">
        <v>613</v>
      </c>
      <c r="AB46" s="38">
        <v>700</v>
      </c>
      <c r="AC46" s="49" t="s">
        <v>506</v>
      </c>
      <c r="AD46" s="39" t="s">
        <v>1371</v>
      </c>
      <c r="AE46" s="46"/>
    </row>
    <row r="47" spans="1:31" ht="15" thickBot="1">
      <c r="A47" s="34">
        <v>45</v>
      </c>
      <c r="B47" s="34" t="s">
        <v>251</v>
      </c>
      <c r="C47" s="41" t="s">
        <v>1356</v>
      </c>
      <c r="D47" s="34" t="s">
        <v>38</v>
      </c>
      <c r="E47" s="80">
        <f t="shared" si="0"/>
        <v>1.639798832218039</v>
      </c>
      <c r="F47" s="35">
        <f t="shared" si="1"/>
        <v>34.466852229510494</v>
      </c>
      <c r="G47" s="42" cm="1">
        <f t="array" ref="G4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34.203346685796667</v>
      </c>
      <c r="H47" s="81" cm="1">
        <f t="array" ref="H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1.6343750913577708</v>
      </c>
      <c r="I47" s="81" cm="1">
        <f t="array" ref="I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1.639798832218039</v>
      </c>
      <c r="J47" s="81" cm="1">
        <f t="array" ref="J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1.6441889568355992</v>
      </c>
      <c r="K47" s="81" cm="1">
        <f t="array" ref="K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1.6529378202068603</v>
      </c>
      <c r="L47" s="81" cm="1">
        <f t="array" ref="L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1.6639333586221807</v>
      </c>
      <c r="M47" s="37">
        <f t="shared" si="2"/>
        <v>1.8562728849089494E-2</v>
      </c>
      <c r="N47" s="43">
        <f t="shared" si="3"/>
        <v>5.4237408602682002E-3</v>
      </c>
      <c r="O47" s="43">
        <f t="shared" si="4"/>
        <v>1.0995538415320416E-2</v>
      </c>
      <c r="P47" s="43">
        <f t="shared" si="5"/>
        <v>0.29218445759575029</v>
      </c>
      <c r="Q47" s="37">
        <f t="shared" si="6"/>
        <v>0.59234493509609987</v>
      </c>
      <c r="R47" s="37">
        <v>6.4999999999999997E-3</v>
      </c>
      <c r="S47" s="44" t="s">
        <v>1393</v>
      </c>
      <c r="T47" s="45">
        <v>1.4168046999999999</v>
      </c>
      <c r="U47" s="45">
        <v>0.19678505700000001</v>
      </c>
      <c r="V47" s="45">
        <v>1.68001322</v>
      </c>
      <c r="W47" s="45">
        <v>1.00732158E-2</v>
      </c>
      <c r="X47" s="45">
        <v>5.3761690799999998E-2</v>
      </c>
      <c r="Y47" s="45">
        <v>164.672436</v>
      </c>
      <c r="Z47" s="36">
        <v>2.76</v>
      </c>
      <c r="AA47" s="38">
        <v>598</v>
      </c>
      <c r="AB47" s="38">
        <v>696</v>
      </c>
      <c r="AC47" s="49" t="s">
        <v>506</v>
      </c>
      <c r="AD47" s="39" t="s">
        <v>1371</v>
      </c>
      <c r="AE47" s="46"/>
    </row>
    <row r="48" spans="1:31" ht="15" thickBot="1">
      <c r="A48" s="34">
        <v>46</v>
      </c>
      <c r="B48" s="34" t="s">
        <v>251</v>
      </c>
      <c r="C48" s="41" t="s">
        <v>1356</v>
      </c>
      <c r="D48" s="34" t="s">
        <v>39</v>
      </c>
      <c r="E48" s="80">
        <f t="shared" si="0"/>
        <v>1.6889307984075972</v>
      </c>
      <c r="F48" s="35">
        <f t="shared" si="1"/>
        <v>31.07584163844616</v>
      </c>
      <c r="G48" s="42" cm="1">
        <f t="array" ref="G4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30.831484105482428</v>
      </c>
      <c r="H48" s="81" cm="1">
        <f t="array" ref="H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1.6824950974730837</v>
      </c>
      <c r="I48" s="81" cm="1">
        <f t="array" ref="I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1.6889307984075972</v>
      </c>
      <c r="J48" s="81" cm="1">
        <f t="array" ref="J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1.694166784662378</v>
      </c>
      <c r="K48" s="81" cm="1">
        <f t="array" ref="K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1.7046644342338706</v>
      </c>
      <c r="L48" s="81" cm="1">
        <f t="array" ref="L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1.7179753835584566</v>
      </c>
      <c r="M48" s="37">
        <f t="shared" si="2"/>
        <v>2.2169336760786917E-2</v>
      </c>
      <c r="N48" s="43">
        <f t="shared" si="3"/>
        <v>6.4357009345135108E-3</v>
      </c>
      <c r="O48" s="43">
        <f t="shared" si="4"/>
        <v>1.3310949324585986E-2</v>
      </c>
      <c r="P48" s="43">
        <f t="shared" si="5"/>
        <v>0.29029740510311375</v>
      </c>
      <c r="Q48" s="37">
        <f t="shared" si="6"/>
        <v>0.60042163048063613</v>
      </c>
      <c r="R48" s="37">
        <v>9.1999999999999998E-3</v>
      </c>
      <c r="S48" s="44" t="s">
        <v>1393</v>
      </c>
      <c r="T48" s="45">
        <v>1.5427081</v>
      </c>
      <c r="U48" s="45">
        <v>0.217113891</v>
      </c>
      <c r="V48" s="45">
        <v>1.8190445900000001</v>
      </c>
      <c r="W48" s="45">
        <v>1.13925005E-2</v>
      </c>
      <c r="X48" s="45">
        <v>5.7922457199999999E-2</v>
      </c>
      <c r="Y48" s="45">
        <v>167.69718900000001</v>
      </c>
      <c r="Z48" s="36">
        <v>2.98</v>
      </c>
      <c r="AA48" s="38">
        <v>615</v>
      </c>
      <c r="AB48" s="38">
        <v>701</v>
      </c>
      <c r="AC48" s="49" t="s">
        <v>506</v>
      </c>
      <c r="AD48" s="39" t="s">
        <v>1371</v>
      </c>
      <c r="AE48" s="46"/>
    </row>
    <row r="49" spans="1:31" ht="15" thickBot="1">
      <c r="A49" s="34">
        <v>47</v>
      </c>
      <c r="B49" s="34" t="s">
        <v>251</v>
      </c>
      <c r="C49" s="41" t="s">
        <v>1356</v>
      </c>
      <c r="D49" s="34" t="s">
        <v>40</v>
      </c>
      <c r="E49" s="80">
        <f t="shared" si="0"/>
        <v>1.6989467910127098</v>
      </c>
      <c r="F49" s="35">
        <f t="shared" si="1"/>
        <v>30.128245944111814</v>
      </c>
      <c r="G49" s="42" cm="1">
        <f t="array" ref="G4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29.890101011175702</v>
      </c>
      <c r="H49" s="81" cm="1">
        <f t="array" ref="H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1.6922243485983377</v>
      </c>
      <c r="I49" s="81" cm="1">
        <f t="array" ref="I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1.6989467910127098</v>
      </c>
      <c r="J49" s="81" cm="1">
        <f t="array" ref="J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1.7044232836509949</v>
      </c>
      <c r="K49" s="81" cm="1">
        <f t="array" ref="K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1.7154234021479291</v>
      </c>
      <c r="L49" s="81" cm="1">
        <f t="array" ref="L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1.7294124213858668</v>
      </c>
      <c r="M49" s="37">
        <f t="shared" si="2"/>
        <v>2.3199053549591397E-2</v>
      </c>
      <c r="N49" s="43">
        <f t="shared" si="3"/>
        <v>6.7224424143721428E-3</v>
      </c>
      <c r="O49" s="43">
        <f t="shared" si="4"/>
        <v>1.3989019237937717E-2</v>
      </c>
      <c r="P49" s="43">
        <f t="shared" si="5"/>
        <v>0.28977227023515983</v>
      </c>
      <c r="Q49" s="37">
        <f t="shared" si="6"/>
        <v>0.60299956668637911</v>
      </c>
      <c r="R49" s="37">
        <v>1.03E-2</v>
      </c>
      <c r="S49" s="44" t="s">
        <v>1393</v>
      </c>
      <c r="T49" s="45">
        <v>1.5584977499999999</v>
      </c>
      <c r="U49" s="45">
        <v>0.230767007</v>
      </c>
      <c r="V49" s="45">
        <v>1.84436099</v>
      </c>
      <c r="W49" s="45">
        <v>1.15367235E-2</v>
      </c>
      <c r="X49" s="45">
        <v>5.8609594700000003E-2</v>
      </c>
      <c r="Y49" s="45">
        <v>162.981888</v>
      </c>
      <c r="Z49" s="36">
        <v>2.96</v>
      </c>
      <c r="AA49" s="38">
        <v>625</v>
      </c>
      <c r="AB49" s="38">
        <v>716</v>
      </c>
      <c r="AC49" s="49" t="s">
        <v>506</v>
      </c>
      <c r="AD49" s="49" t="s">
        <v>506</v>
      </c>
      <c r="AE49" s="46"/>
    </row>
    <row r="50" spans="1:31" ht="15" thickBot="1">
      <c r="A50" s="34">
        <v>48</v>
      </c>
      <c r="B50" s="34" t="s">
        <v>251</v>
      </c>
      <c r="C50" s="41" t="s">
        <v>1356</v>
      </c>
      <c r="D50" s="34" t="s">
        <v>92</v>
      </c>
      <c r="E50" s="80">
        <f t="shared" si="0"/>
        <v>1.71736180990342</v>
      </c>
      <c r="F50" s="35">
        <f t="shared" si="1"/>
        <v>29.518464410723244</v>
      </c>
      <c r="G50" s="42" cm="1">
        <f t="array" ref="G5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29.282683779054299</v>
      </c>
      <c r="H50" s="81" cm="1">
        <f t="array" ref="H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1.7103318017713016</v>
      </c>
      <c r="I50" s="81" cm="1">
        <f t="array" ref="I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1.71736180990342</v>
      </c>
      <c r="J50" s="81" cm="1">
        <f t="array" ref="J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1.7230971190953357</v>
      </c>
      <c r="K50" s="81" cm="1">
        <f t="array" ref="K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1.7346339402539126</v>
      </c>
      <c r="L50" s="81" cm="1">
        <f t="array" ref="L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1.749332924904641</v>
      </c>
      <c r="M50" s="37">
        <f t="shared" si="2"/>
        <v>2.430213848261098E-2</v>
      </c>
      <c r="N50" s="43">
        <f t="shared" si="3"/>
        <v>7.0300081321184038E-3</v>
      </c>
      <c r="O50" s="43">
        <f t="shared" si="4"/>
        <v>1.4698984650728386E-2</v>
      </c>
      <c r="P50" s="43">
        <f t="shared" si="5"/>
        <v>0.28927528896885424</v>
      </c>
      <c r="Q50" s="37">
        <f t="shared" si="6"/>
        <v>0.60484325942122408</v>
      </c>
      <c r="R50" s="37">
        <v>1.0999999999999999E-2</v>
      </c>
      <c r="S50" s="44" t="s">
        <v>1393</v>
      </c>
      <c r="T50" s="45">
        <v>1.60326759</v>
      </c>
      <c r="U50" s="45">
        <v>0.24298093500000001</v>
      </c>
      <c r="V50" s="45">
        <v>1.8131359199999999</v>
      </c>
      <c r="W50" s="45">
        <v>1.1801913900000001E-2</v>
      </c>
      <c r="X50" s="45">
        <v>5.91363658E-2</v>
      </c>
      <c r="Y50" s="45">
        <v>161.21874700000001</v>
      </c>
      <c r="Z50" s="36">
        <v>3.06</v>
      </c>
      <c r="AA50" s="38">
        <v>620</v>
      </c>
      <c r="AB50" s="38">
        <v>703</v>
      </c>
      <c r="AC50" s="49" t="s">
        <v>506</v>
      </c>
      <c r="AD50" s="49" t="s">
        <v>506</v>
      </c>
      <c r="AE50" s="46"/>
    </row>
    <row r="51" spans="1:31" ht="15" thickBot="1">
      <c r="A51" s="34">
        <v>49</v>
      </c>
      <c r="B51" s="34" t="s">
        <v>251</v>
      </c>
      <c r="C51" s="41" t="s">
        <v>1356</v>
      </c>
      <c r="D51" s="34" t="s">
        <v>93</v>
      </c>
      <c r="E51" s="80">
        <f t="shared" si="0"/>
        <v>1.7399981284127659</v>
      </c>
      <c r="F51" s="35">
        <f t="shared" si="1"/>
        <v>28.296364085731941</v>
      </c>
      <c r="G51" s="42" cm="1">
        <f t="array" ref="G5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28.069326605100017</v>
      </c>
      <c r="H51" s="81" cm="1">
        <f t="array" ref="H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1.7324527386477764</v>
      </c>
      <c r="I51" s="81" cm="1">
        <f t="array" ref="I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1.7399981284127659</v>
      </c>
      <c r="J51" s="81" cm="1">
        <f t="array" ref="J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1.7461667755253723</v>
      </c>
      <c r="K51" s="81" cm="1">
        <f t="array" ref="K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1.7586044423143934</v>
      </c>
      <c r="L51" s="81" cm="1">
        <f t="array" ref="L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1.7745023708554579</v>
      </c>
      <c r="M51" s="37">
        <f t="shared" si="2"/>
        <v>2.615170366661701E-2</v>
      </c>
      <c r="N51" s="43">
        <f t="shared" si="3"/>
        <v>7.5453897649895296E-3</v>
      </c>
      <c r="O51" s="43">
        <f t="shared" si="4"/>
        <v>1.5897928541064532E-2</v>
      </c>
      <c r="P51" s="43">
        <f t="shared" si="5"/>
        <v>0.28852383237354123</v>
      </c>
      <c r="Q51" s="37">
        <f t="shared" si="6"/>
        <v>0.6079117729281418</v>
      </c>
      <c r="R51" s="37">
        <v>1.2200000000000001E-2</v>
      </c>
      <c r="S51" s="44" t="s">
        <v>1393</v>
      </c>
      <c r="T51" s="45">
        <v>1.6479764800000001</v>
      </c>
      <c r="U51" s="45">
        <v>0.26726191700000002</v>
      </c>
      <c r="V51" s="45">
        <v>2.1977284500000001</v>
      </c>
      <c r="W51" s="45">
        <v>1.21917693E-2</v>
      </c>
      <c r="X51" s="45">
        <v>5.97893039E-2</v>
      </c>
      <c r="Y51" s="45">
        <v>192.15834000000001</v>
      </c>
      <c r="Z51" s="36">
        <v>3.11</v>
      </c>
      <c r="AA51" s="38">
        <v>616</v>
      </c>
      <c r="AB51" s="38">
        <v>723</v>
      </c>
      <c r="AC51" s="49" t="s">
        <v>506</v>
      </c>
      <c r="AD51" s="49" t="s">
        <v>506</v>
      </c>
      <c r="AE51" s="46"/>
    </row>
    <row r="52" spans="1:31" ht="15" thickBot="1">
      <c r="A52" s="34">
        <v>50</v>
      </c>
      <c r="B52" s="34" t="s">
        <v>251</v>
      </c>
      <c r="C52" s="41" t="s">
        <v>1356</v>
      </c>
      <c r="D52" s="34" t="s">
        <v>41</v>
      </c>
      <c r="E52" s="80">
        <f t="shared" si="0"/>
        <v>1.7551987536141336</v>
      </c>
      <c r="F52" s="35">
        <f t="shared" si="1"/>
        <v>27.512438964645373</v>
      </c>
      <c r="G52" s="42" cm="1">
        <f t="array" ref="G5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27.2900304927349</v>
      </c>
      <c r="H52" s="81" cm="1">
        <f t="array" ref="H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1.7472950054501213</v>
      </c>
      <c r="I52" s="81" cm="1">
        <f t="array" ref="I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1.7551987536141336</v>
      </c>
      <c r="J52" s="81" cm="1">
        <f t="array" ref="J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1.7616707144499575</v>
      </c>
      <c r="K52" s="81" cm="1">
        <f t="array" ref="K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1.7747443622514065</v>
      </c>
      <c r="L52" s="81" cm="1">
        <f t="array" ref="L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1.7914980412040316</v>
      </c>
      <c r="M52" s="37">
        <f t="shared" si="2"/>
        <v>2.7449356801285241E-2</v>
      </c>
      <c r="N52" s="43">
        <f t="shared" si="3"/>
        <v>7.903748164012292E-3</v>
      </c>
      <c r="O52" s="43">
        <f t="shared" si="4"/>
        <v>1.6753678952625028E-2</v>
      </c>
      <c r="P52" s="43">
        <f t="shared" si="5"/>
        <v>0.28793928474281122</v>
      </c>
      <c r="Q52" s="37">
        <f t="shared" si="6"/>
        <v>0.61034868954891441</v>
      </c>
      <c r="R52" s="37">
        <v>1.3299999999999999E-2</v>
      </c>
      <c r="S52" s="44" t="s">
        <v>1393</v>
      </c>
      <c r="T52" s="45">
        <v>1.66755531</v>
      </c>
      <c r="U52" s="45">
        <v>0.29441186499999999</v>
      </c>
      <c r="V52" s="45">
        <v>2.4942211900000002</v>
      </c>
      <c r="W52" s="45">
        <v>1.22052137E-2</v>
      </c>
      <c r="X52" s="45">
        <v>5.9777532899999999E-2</v>
      </c>
      <c r="Y52" s="45">
        <v>214.869618</v>
      </c>
      <c r="Z52" s="36">
        <v>3.15</v>
      </c>
      <c r="AA52" s="38">
        <v>614</v>
      </c>
      <c r="AB52" s="38">
        <v>694</v>
      </c>
      <c r="AC52" s="49" t="s">
        <v>506</v>
      </c>
      <c r="AD52" s="39" t="s">
        <v>1371</v>
      </c>
      <c r="AE52" s="46"/>
    </row>
    <row r="53" spans="1:31" ht="15" thickBot="1">
      <c r="A53" s="34">
        <v>51</v>
      </c>
      <c r="B53" s="34" t="s">
        <v>251</v>
      </c>
      <c r="C53" s="41" t="s">
        <v>1356</v>
      </c>
      <c r="D53" s="34" t="s">
        <v>42</v>
      </c>
      <c r="E53" s="80">
        <f t="shared" si="0"/>
        <v>1.8051807136112414</v>
      </c>
      <c r="F53" s="35">
        <f t="shared" si="1"/>
        <v>25.425688543988588</v>
      </c>
      <c r="G53" s="42" cm="1">
        <f t="array" ref="G5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25.220144115781419</v>
      </c>
      <c r="H53" s="81" cm="1">
        <f t="array" ref="H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1.7961055627673077</v>
      </c>
      <c r="I53" s="81" cm="1">
        <f t="array" ref="I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1.8051807136112414</v>
      </c>
      <c r="J53" s="81" cm="1">
        <f t="array" ref="J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1.8126399556007624</v>
      </c>
      <c r="K53" s="81" cm="1">
        <f t="array" ref="K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1.8277735631134227</v>
      </c>
      <c r="L53" s="81" cm="1">
        <f t="array" ref="L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1.8472865738919877</v>
      </c>
      <c r="M53" s="37">
        <f t="shared" si="2"/>
        <v>3.1668000346114944E-2</v>
      </c>
      <c r="N53" s="43">
        <f t="shared" si="3"/>
        <v>9.0751508439337325E-3</v>
      </c>
      <c r="O53" s="43">
        <f t="shared" si="4"/>
        <v>1.9513010778565043E-2</v>
      </c>
      <c r="P53" s="43">
        <f t="shared" si="5"/>
        <v>0.28657164155447157</v>
      </c>
      <c r="Q53" s="37">
        <f t="shared" si="6"/>
        <v>0.61617438945616643</v>
      </c>
      <c r="R53" s="37">
        <v>1.5800000000000002E-2</v>
      </c>
      <c r="S53" s="44" t="s">
        <v>1393</v>
      </c>
      <c r="T53" s="45">
        <v>1.77227611</v>
      </c>
      <c r="U53" s="45">
        <v>0.34569125000000001</v>
      </c>
      <c r="V53" s="45">
        <v>2.4078850100000002</v>
      </c>
      <c r="W53" s="45">
        <v>1.31182633E-2</v>
      </c>
      <c r="X53" s="45">
        <v>6.14479619E-2</v>
      </c>
      <c r="Y53" s="45">
        <v>200.753254</v>
      </c>
      <c r="Z53" s="36">
        <v>3.37</v>
      </c>
      <c r="AA53" s="38">
        <v>607</v>
      </c>
      <c r="AB53" s="38">
        <v>690</v>
      </c>
      <c r="AC53" s="49" t="s">
        <v>506</v>
      </c>
      <c r="AD53" s="39" t="s">
        <v>1371</v>
      </c>
      <c r="AE53" s="46"/>
    </row>
    <row r="54" spans="1:31" ht="15" thickBot="1">
      <c r="A54" s="34">
        <v>52</v>
      </c>
      <c r="B54" s="34" t="s">
        <v>251</v>
      </c>
      <c r="C54" s="41" t="s">
        <v>1356</v>
      </c>
      <c r="D54" s="34" t="s">
        <v>43</v>
      </c>
      <c r="E54" s="80">
        <f t="shared" si="0"/>
        <v>1.728249770106842</v>
      </c>
      <c r="F54" s="35">
        <f t="shared" si="1"/>
        <v>28.460960305019999</v>
      </c>
      <c r="G54" s="42" cm="1">
        <f t="array" ref="G5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28.232527471830874</v>
      </c>
      <c r="H54" s="81" cm="1">
        <f t="array" ref="H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1.7208643947782081</v>
      </c>
      <c r="I54" s="81" cm="1">
        <f t="array" ref="I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1.728249770106842</v>
      </c>
      <c r="J54" s="81" cm="1">
        <f t="array" ref="J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1.7342853060344015</v>
      </c>
      <c r="K54" s="81" cm="1">
        <f t="array" ref="K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1.7464520686410043</v>
      </c>
      <c r="L54" s="81" cm="1">
        <f t="array" ref="L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1.7620026513499802</v>
      </c>
      <c r="M54" s="37">
        <f t="shared" si="2"/>
        <v>2.5587673862796256E-2</v>
      </c>
      <c r="N54" s="43">
        <f t="shared" si="3"/>
        <v>7.3853753286339252E-3</v>
      </c>
      <c r="O54" s="43">
        <f t="shared" si="4"/>
        <v>1.5550582708975913E-2</v>
      </c>
      <c r="P54" s="43">
        <f t="shared" si="5"/>
        <v>0.28863019625133057</v>
      </c>
      <c r="Q54" s="37">
        <f t="shared" si="6"/>
        <v>0.60773725631957554</v>
      </c>
      <c r="R54" s="37">
        <v>1.23E-2</v>
      </c>
      <c r="S54" s="44" t="s">
        <v>1393</v>
      </c>
      <c r="T54" s="45">
        <v>1.61549392</v>
      </c>
      <c r="U54" s="45">
        <v>0.26243323899999998</v>
      </c>
      <c r="V54" s="45">
        <v>2.0942618899999998</v>
      </c>
      <c r="W54" s="45">
        <v>1.19830897E-2</v>
      </c>
      <c r="X54" s="45">
        <v>5.9651023999999997E-2</v>
      </c>
      <c r="Y54" s="45">
        <v>181.657554</v>
      </c>
      <c r="Z54" s="36">
        <v>3.06</v>
      </c>
      <c r="AA54" s="38">
        <v>621</v>
      </c>
      <c r="AB54" s="38">
        <v>703</v>
      </c>
      <c r="AC54" s="49" t="s">
        <v>506</v>
      </c>
      <c r="AD54" s="39" t="s">
        <v>1371</v>
      </c>
      <c r="AE54" s="46"/>
    </row>
    <row r="55" spans="1:31" ht="15" thickBot="1">
      <c r="A55" s="34">
        <v>53</v>
      </c>
      <c r="B55" s="34" t="s">
        <v>251</v>
      </c>
      <c r="C55" s="41" t="s">
        <v>1356</v>
      </c>
      <c r="D55" s="34" t="s">
        <v>44</v>
      </c>
      <c r="E55" s="80">
        <f t="shared" si="0"/>
        <v>1.7847227253040887</v>
      </c>
      <c r="F55" s="35">
        <f t="shared" si="1"/>
        <v>25.683774838457573</v>
      </c>
      <c r="G55" s="42" cm="1">
        <f t="array" ref="G5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25.474614324403632</v>
      </c>
      <c r="H55" s="81" cm="1">
        <f t="array" ref="H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1.7759642491716883</v>
      </c>
      <c r="I55" s="81" cm="1">
        <f t="array" ref="I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1.7847227253040887</v>
      </c>
      <c r="J55" s="81" cm="1">
        <f t="array" ref="J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1.79191900598981</v>
      </c>
      <c r="K55" s="81" cm="1">
        <f t="array" ref="K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1.8065174965132389</v>
      </c>
      <c r="L55" s="81" cm="1">
        <f t="array" ref="L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1.8253451988245015</v>
      </c>
      <c r="M55" s="37">
        <f t="shared" si="2"/>
        <v>3.0553247341550627E-2</v>
      </c>
      <c r="N55" s="43">
        <f t="shared" si="3"/>
        <v>8.758476132400439E-3</v>
      </c>
      <c r="O55" s="43">
        <f t="shared" si="4"/>
        <v>1.8827702311262628E-2</v>
      </c>
      <c r="P55" s="43">
        <f t="shared" si="5"/>
        <v>0.28666269200424482</v>
      </c>
      <c r="Q55" s="37">
        <f t="shared" si="6"/>
        <v>0.61622589902769698</v>
      </c>
      <c r="R55" s="37">
        <v>1.6199999999999999E-2</v>
      </c>
      <c r="S55" s="44" t="s">
        <v>1393</v>
      </c>
      <c r="T55" s="45">
        <v>1.7267747099999999</v>
      </c>
      <c r="U55" s="45">
        <v>0.32456862800000003</v>
      </c>
      <c r="V55" s="45">
        <v>2.6581680900000002</v>
      </c>
      <c r="W55" s="45">
        <v>1.29369958E-2</v>
      </c>
      <c r="X55" s="45">
        <v>6.1825524499999999E-2</v>
      </c>
      <c r="Y55" s="45">
        <v>221.90463700000001</v>
      </c>
      <c r="Z55" s="36">
        <v>3.24</v>
      </c>
      <c r="AA55" s="38">
        <v>608</v>
      </c>
      <c r="AB55" s="38">
        <v>686</v>
      </c>
      <c r="AC55" s="49" t="s">
        <v>506</v>
      </c>
      <c r="AD55" s="39" t="s">
        <v>1371</v>
      </c>
      <c r="AE55" s="46"/>
    </row>
    <row r="56" spans="1:31" ht="15" thickBot="1">
      <c r="A56" s="34">
        <v>54</v>
      </c>
      <c r="B56" s="34" t="s">
        <v>251</v>
      </c>
      <c r="C56" s="41" t="s">
        <v>1356</v>
      </c>
      <c r="D56" s="34" t="s">
        <v>45</v>
      </c>
      <c r="E56" s="80">
        <f t="shared" si="0"/>
        <v>1.740768758444307</v>
      </c>
      <c r="F56" s="35">
        <f t="shared" si="1"/>
        <v>27.789712706147007</v>
      </c>
      <c r="G56" s="42" cm="1">
        <f t="array" ref="G5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27.565294795774761</v>
      </c>
      <c r="H56" s="81" cm="1">
        <f t="array" ref="H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1.7330883767200465</v>
      </c>
      <c r="I56" s="81" cm="1">
        <f t="array" ref="I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1.740768758444307</v>
      </c>
      <c r="J56" s="81" cm="1">
        <f t="array" ref="J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1.7470543155212235</v>
      </c>
      <c r="K56" s="81" cm="1">
        <f t="array" ref="K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1.7597445989803238</v>
      </c>
      <c r="L56" s="81" cm="1">
        <f t="array" ref="L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1.7759948528601406</v>
      </c>
      <c r="M56" s="37">
        <f t="shared" si="2"/>
        <v>2.6656222260277307E-2</v>
      </c>
      <c r="N56" s="43">
        <f t="shared" si="3"/>
        <v>7.6803817242605543E-3</v>
      </c>
      <c r="O56" s="43">
        <f t="shared" si="4"/>
        <v>1.6250253879816823E-2</v>
      </c>
      <c r="P56" s="43">
        <f t="shared" si="5"/>
        <v>0.28812716405451577</v>
      </c>
      <c r="Q56" s="37">
        <f t="shared" si="6"/>
        <v>0.60962328874458338</v>
      </c>
      <c r="R56" s="37">
        <v>1.2999999999999999E-2</v>
      </c>
      <c r="S56" s="44" t="s">
        <v>1393</v>
      </c>
      <c r="T56" s="45">
        <v>1.62224674</v>
      </c>
      <c r="U56" s="45">
        <v>0.29384458899999999</v>
      </c>
      <c r="V56" s="45">
        <v>1.9922516400000001</v>
      </c>
      <c r="W56" s="45">
        <v>1.18368386E-2</v>
      </c>
      <c r="X56" s="45">
        <v>5.9020802499999997E-2</v>
      </c>
      <c r="Y56" s="45">
        <v>171.95997600000001</v>
      </c>
      <c r="Z56" s="36">
        <v>3.1</v>
      </c>
      <c r="AA56" s="38">
        <v>619</v>
      </c>
      <c r="AB56" s="38">
        <v>700</v>
      </c>
      <c r="AC56" s="49" t="s">
        <v>506</v>
      </c>
      <c r="AD56" s="49" t="s">
        <v>506</v>
      </c>
      <c r="AE56" s="46"/>
    </row>
    <row r="57" spans="1:31" ht="15" thickBot="1">
      <c r="A57" s="34">
        <v>55</v>
      </c>
      <c r="B57" s="34" t="s">
        <v>251</v>
      </c>
      <c r="C57" s="41" t="s">
        <v>1356</v>
      </c>
      <c r="D57" s="34" t="s">
        <v>46</v>
      </c>
      <c r="E57" s="80">
        <f t="shared" si="0"/>
        <v>1.7618207428267976</v>
      </c>
      <c r="F57" s="35">
        <f t="shared" si="1"/>
        <v>26.518223653500911</v>
      </c>
      <c r="G57" s="42" cm="1">
        <f t="array" ref="G5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26.303257545599447</v>
      </c>
      <c r="H57" s="81" cm="1">
        <f t="array" ref="H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1.7535669421391611</v>
      </c>
      <c r="I57" s="81" cm="1">
        <f t="array" ref="I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1.7618207428267976</v>
      </c>
      <c r="J57" s="81" cm="1">
        <f t="array" ref="J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1.7685901646236237</v>
      </c>
      <c r="K57" s="81" cm="1">
        <f t="array" ref="K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1.7822951387476931</v>
      </c>
      <c r="L57" s="81" cm="1">
        <f t="array" ref="L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1.799923537750046</v>
      </c>
      <c r="M57" s="37">
        <f t="shared" si="2"/>
        <v>2.8728196608531986E-2</v>
      </c>
      <c r="N57" s="43">
        <f t="shared" si="3"/>
        <v>8.2538006876364811E-3</v>
      </c>
      <c r="O57" s="43">
        <f t="shared" si="4"/>
        <v>1.7628399002352912E-2</v>
      </c>
      <c r="P57" s="43">
        <f t="shared" si="5"/>
        <v>0.28730660681934994</v>
      </c>
      <c r="Q57" s="37">
        <f t="shared" si="6"/>
        <v>0.61362706620844609</v>
      </c>
      <c r="R57" s="37">
        <v>1.4999999999999999E-2</v>
      </c>
      <c r="S57" s="44" t="s">
        <v>1393</v>
      </c>
      <c r="T57" s="45">
        <v>1.68915108</v>
      </c>
      <c r="U57" s="45">
        <v>0.29046202399999999</v>
      </c>
      <c r="V57" s="45">
        <v>2.3797151599999999</v>
      </c>
      <c r="W57" s="45">
        <v>1.28202514E-2</v>
      </c>
      <c r="X57" s="45">
        <v>6.1809084100000002E-2</v>
      </c>
      <c r="Y57" s="45">
        <v>201.09435199999999</v>
      </c>
      <c r="Z57" s="36">
        <v>3.17</v>
      </c>
      <c r="AA57" s="38">
        <v>616</v>
      </c>
      <c r="AB57" s="38">
        <v>693</v>
      </c>
      <c r="AC57" s="49" t="s">
        <v>506</v>
      </c>
      <c r="AD57" s="39" t="s">
        <v>1371</v>
      </c>
      <c r="AE57" s="46"/>
    </row>
    <row r="58" spans="1:31" ht="15" thickBot="1">
      <c r="A58" s="34">
        <v>56</v>
      </c>
      <c r="B58" s="34" t="s">
        <v>251</v>
      </c>
      <c r="C58" s="41" t="s">
        <v>1356</v>
      </c>
      <c r="D58" s="34" t="s">
        <v>47</v>
      </c>
      <c r="E58" s="80">
        <f t="shared" si="0"/>
        <v>1.7215067758948663</v>
      </c>
      <c r="F58" s="35">
        <f t="shared" si="1"/>
        <v>29.232700573233874</v>
      </c>
      <c r="G58" s="42" cm="1">
        <f t="array" ref="G5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28.999096650359817</v>
      </c>
      <c r="H58" s="81" cm="1">
        <f t="array" ref="H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1.7143711467369158</v>
      </c>
      <c r="I58" s="81" cm="1">
        <f t="array" ref="I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1.7215067758948663</v>
      </c>
      <c r="J58" s="81" cm="1">
        <f t="array" ref="J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1.7273309881099776</v>
      </c>
      <c r="K58" s="81" cm="1">
        <f t="array" ref="K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1.7390526425189201</v>
      </c>
      <c r="L58" s="81" cm="1">
        <f t="array" ref="L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1.7539955543586045</v>
      </c>
      <c r="M58" s="37">
        <f t="shared" si="2"/>
        <v>2.4681495782004292E-2</v>
      </c>
      <c r="N58" s="43">
        <f t="shared" si="3"/>
        <v>7.1356291579505182E-3</v>
      </c>
      <c r="O58" s="43">
        <f t="shared" si="4"/>
        <v>1.4942911839684436E-2</v>
      </c>
      <c r="P58" s="43">
        <f t="shared" si="5"/>
        <v>0.28910845683644626</v>
      </c>
      <c r="Q58" s="37">
        <f t="shared" si="6"/>
        <v>0.60542975076006422</v>
      </c>
      <c r="R58" s="37">
        <v>1.11E-2</v>
      </c>
      <c r="S58" s="44" t="s">
        <v>1393</v>
      </c>
      <c r="T58" s="45">
        <v>1.5992160799999999</v>
      </c>
      <c r="U58" s="45">
        <v>0.25953216400000001</v>
      </c>
      <c r="V58" s="45">
        <v>2.12454543</v>
      </c>
      <c r="W58" s="45">
        <v>1.16469304E-2</v>
      </c>
      <c r="X58" s="45">
        <v>5.8482488300000003E-2</v>
      </c>
      <c r="Y58" s="45">
        <v>186.92777899999999</v>
      </c>
      <c r="Z58" s="36">
        <v>3.07</v>
      </c>
      <c r="AA58" s="38">
        <v>622</v>
      </c>
      <c r="AB58" s="38">
        <v>703</v>
      </c>
      <c r="AC58" s="49" t="s">
        <v>506</v>
      </c>
      <c r="AD58" s="49" t="s">
        <v>506</v>
      </c>
      <c r="AE58" s="46"/>
    </row>
    <row r="59" spans="1:31" ht="15" thickBot="1">
      <c r="A59" s="34">
        <v>57</v>
      </c>
      <c r="B59" s="34" t="s">
        <v>251</v>
      </c>
      <c r="C59" s="41" t="s">
        <v>1356</v>
      </c>
      <c r="D59" s="34" t="s">
        <v>94</v>
      </c>
      <c r="E59" s="80">
        <f t="shared" si="0"/>
        <v>1.846659679775239</v>
      </c>
      <c r="F59" s="35">
        <f t="shared" si="1"/>
        <v>23.778245460006783</v>
      </c>
      <c r="G59" s="42" cm="1">
        <f t="array" ref="G5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23.589772004073772</v>
      </c>
      <c r="H59" s="81" cm="1">
        <f t="array" ref="H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1.8364879394791955</v>
      </c>
      <c r="I59" s="81" cm="1">
        <f t="array" ref="I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1.846659679775239</v>
      </c>
      <c r="J59" s="81" cm="1">
        <f t="array" ref="J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1.8550401186521848</v>
      </c>
      <c r="K59" s="81" cm="1">
        <f t="array" ref="K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1.8720944219338937</v>
      </c>
      <c r="L59" s="81" cm="1">
        <f t="array" ref="L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1.8941901971906421</v>
      </c>
      <c r="M59" s="37">
        <f t="shared" si="2"/>
        <v>3.5606482454698218E-2</v>
      </c>
      <c r="N59" s="43">
        <f t="shared" si="3"/>
        <v>1.0171740296043508E-2</v>
      </c>
      <c r="O59" s="43">
        <f t="shared" si="4"/>
        <v>2.2095775256748329E-2</v>
      </c>
      <c r="P59" s="43">
        <f t="shared" si="5"/>
        <v>0.28567102378014775</v>
      </c>
      <c r="Q59" s="37">
        <f t="shared" si="6"/>
        <v>0.62055484657493387</v>
      </c>
      <c r="R59" s="37">
        <v>1.7500000000000002E-2</v>
      </c>
      <c r="S59" s="44" t="s">
        <v>1393</v>
      </c>
      <c r="T59" s="45">
        <v>1.8790488599999999</v>
      </c>
      <c r="U59" s="45">
        <v>0.36971977499999997</v>
      </c>
      <c r="V59" s="45">
        <v>2.3373086299999999</v>
      </c>
      <c r="W59" s="45">
        <v>1.4412177E-2</v>
      </c>
      <c r="X59" s="45">
        <v>6.3881799000000003E-2</v>
      </c>
      <c r="Y59" s="45">
        <v>182.66818000000001</v>
      </c>
      <c r="Z59" s="36">
        <v>3.54</v>
      </c>
      <c r="AA59" s="38">
        <v>630</v>
      </c>
      <c r="AB59" s="38">
        <v>692</v>
      </c>
      <c r="AC59" s="49" t="s">
        <v>506</v>
      </c>
      <c r="AD59" s="39" t="s">
        <v>1371</v>
      </c>
      <c r="AE59" s="46"/>
    </row>
    <row r="60" spans="1:31" ht="15" thickBot="1">
      <c r="A60" s="34">
        <v>58</v>
      </c>
      <c r="B60" s="34" t="s">
        <v>251</v>
      </c>
      <c r="C60" s="41" t="s">
        <v>1356</v>
      </c>
      <c r="D60" s="34" t="s">
        <v>95</v>
      </c>
      <c r="E60" s="80">
        <f t="shared" si="0"/>
        <v>1.846659679775239</v>
      </c>
      <c r="F60" s="35">
        <f t="shared" si="1"/>
        <v>23.778245460006783</v>
      </c>
      <c r="G60" s="42" cm="1">
        <f t="array" ref="G6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23.589772004073772</v>
      </c>
      <c r="H60" s="81" cm="1">
        <f t="array" ref="H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1.8364879394791955</v>
      </c>
      <c r="I60" s="81" cm="1">
        <f t="array" ref="I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1.846659679775239</v>
      </c>
      <c r="J60" s="81" cm="1">
        <f t="array" ref="J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1.8550401186521848</v>
      </c>
      <c r="K60" s="81" cm="1">
        <f t="array" ref="K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1.8720944219338937</v>
      </c>
      <c r="L60" s="81" cm="1">
        <f t="array" ref="L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1.8941901971906421</v>
      </c>
      <c r="M60" s="37">
        <f t="shared" si="2"/>
        <v>3.5606482454698218E-2</v>
      </c>
      <c r="N60" s="43">
        <f t="shared" si="3"/>
        <v>1.0171740296043508E-2</v>
      </c>
      <c r="O60" s="43">
        <f t="shared" si="4"/>
        <v>2.2095775256748329E-2</v>
      </c>
      <c r="P60" s="43">
        <f t="shared" si="5"/>
        <v>0.28567102378014775</v>
      </c>
      <c r="Q60" s="37">
        <f t="shared" si="6"/>
        <v>0.62055484657493387</v>
      </c>
      <c r="R60" s="37">
        <v>1.7500000000000002E-2</v>
      </c>
      <c r="S60" s="44" t="s">
        <v>1393</v>
      </c>
      <c r="T60" s="45">
        <v>1.8790488599999999</v>
      </c>
      <c r="U60" s="45">
        <v>0.36971977499999997</v>
      </c>
      <c r="V60" s="45">
        <v>2.3373086299999999</v>
      </c>
      <c r="W60" s="45">
        <v>1.4412177E-2</v>
      </c>
      <c r="X60" s="45">
        <v>6.3881799000000003E-2</v>
      </c>
      <c r="Y60" s="45">
        <v>182.66818000000001</v>
      </c>
      <c r="Z60" s="36">
        <v>3.54</v>
      </c>
      <c r="AA60" s="38">
        <v>630</v>
      </c>
      <c r="AB60" s="38">
        <v>692</v>
      </c>
      <c r="AC60" s="49" t="s">
        <v>506</v>
      </c>
      <c r="AD60" s="39" t="s">
        <v>1371</v>
      </c>
      <c r="AE60" s="46" t="s">
        <v>770</v>
      </c>
    </row>
    <row r="61" spans="1:31" ht="15" thickBot="1">
      <c r="A61" s="34">
        <v>59</v>
      </c>
      <c r="B61" s="34" t="s">
        <v>251</v>
      </c>
      <c r="C61" s="41" t="s">
        <v>1356</v>
      </c>
      <c r="D61" s="34" t="s">
        <v>1135</v>
      </c>
      <c r="E61" s="80">
        <f t="shared" si="0"/>
        <v>1.8466592293329231</v>
      </c>
      <c r="F61" s="35">
        <f t="shared" si="1"/>
        <v>23.86414366347055</v>
      </c>
      <c r="G61" s="42" cm="1">
        <f t="array" ref="G6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23.67317310792167</v>
      </c>
      <c r="H61" s="81" cm="1">
        <f t="array" ref="H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1.8365268256996248</v>
      </c>
      <c r="I61" s="81" cm="1">
        <f t="array" ref="I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1.8466592293329231</v>
      </c>
      <c r="J61" s="81" cm="1">
        <f t="array" ref="J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1.8550087815857068</v>
      </c>
      <c r="K61" s="81" cm="1">
        <f t="array" ref="K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1.8720051249117153</v>
      </c>
      <c r="L61" s="81" cm="1">
        <f t="array" ref="L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1.8940353565435957</v>
      </c>
      <c r="M61" s="37">
        <f t="shared" si="2"/>
        <v>3.5478299212090558E-2</v>
      </c>
      <c r="N61" s="43">
        <f t="shared" si="3"/>
        <v>1.013240363329837E-2</v>
      </c>
      <c r="O61" s="43">
        <f t="shared" si="4"/>
        <v>2.2030231631880337E-2</v>
      </c>
      <c r="P61" s="43">
        <f t="shared" si="5"/>
        <v>0.28559440160100386</v>
      </c>
      <c r="Q61" s="37">
        <f t="shared" si="6"/>
        <v>0.62094948521017912</v>
      </c>
      <c r="R61" s="37">
        <v>1.7899999999999999E-2</v>
      </c>
      <c r="S61" s="44" t="s">
        <v>1393</v>
      </c>
      <c r="T61" s="45">
        <v>1.8730806900000001</v>
      </c>
      <c r="U61" s="45">
        <v>0.37646026199999999</v>
      </c>
      <c r="V61" s="45">
        <v>2.3744177299999998</v>
      </c>
      <c r="W61" s="45">
        <v>1.4136463599999999E-2</v>
      </c>
      <c r="X61" s="45">
        <v>6.3637487699999995E-2</v>
      </c>
      <c r="Y61" s="45">
        <v>184.89869999999999</v>
      </c>
      <c r="Z61" s="36">
        <v>3.54</v>
      </c>
      <c r="AA61" s="38">
        <v>630</v>
      </c>
      <c r="AB61" s="38">
        <v>692</v>
      </c>
      <c r="AC61" s="49" t="s">
        <v>506</v>
      </c>
      <c r="AD61" s="39" t="s">
        <v>1371</v>
      </c>
      <c r="AE61" s="46" t="s">
        <v>1143</v>
      </c>
    </row>
    <row r="62" spans="1:31" ht="15" thickBot="1">
      <c r="A62" s="34">
        <v>60</v>
      </c>
      <c r="B62" s="34" t="s">
        <v>251</v>
      </c>
      <c r="C62" s="41" t="s">
        <v>1356</v>
      </c>
      <c r="D62" s="34" t="s">
        <v>48</v>
      </c>
      <c r="E62" s="80">
        <f t="shared" si="0"/>
        <v>1.9629999430055658</v>
      </c>
      <c r="F62" s="35">
        <f t="shared" si="1"/>
        <v>24.114710753865129</v>
      </c>
      <c r="G62" s="42" cm="1">
        <f t="array" ref="G6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23.918542680529228</v>
      </c>
      <c r="H62" s="81" cm="1">
        <f t="array" ref="H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1.9515972952060412</v>
      </c>
      <c r="I62" s="81" cm="1">
        <f t="array" ref="I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1.9629999430055658</v>
      </c>
      <c r="J62" s="81" cm="1">
        <f t="array" ref="J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1.9723975709130019</v>
      </c>
      <c r="K62" s="81" cm="1">
        <f t="array" ref="K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1.9915314230848595</v>
      </c>
      <c r="L62" s="81" cm="1">
        <f t="array" ref="L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2.0163413759607458</v>
      </c>
      <c r="M62" s="37">
        <f t="shared" si="2"/>
        <v>3.9934127878818337E-2</v>
      </c>
      <c r="N62" s="43">
        <f t="shared" si="3"/>
        <v>1.1402647799524601E-2</v>
      </c>
      <c r="O62" s="43">
        <f t="shared" si="4"/>
        <v>2.4809952875886276E-2</v>
      </c>
      <c r="P62" s="43">
        <f t="shared" si="5"/>
        <v>0.28553641722504569</v>
      </c>
      <c r="Q62" s="37">
        <f t="shared" si="6"/>
        <v>0.62127193440089745</v>
      </c>
      <c r="R62" s="37">
        <v>1.8700000000000001E-2</v>
      </c>
      <c r="S62" s="44" t="s">
        <v>1393</v>
      </c>
      <c r="T62" s="45">
        <v>2.21103256</v>
      </c>
      <c r="U62" s="45">
        <v>0.450346986</v>
      </c>
      <c r="V62" s="45">
        <v>2.4774666299999999</v>
      </c>
      <c r="W62" s="45">
        <v>1.42330268E-2</v>
      </c>
      <c r="X62" s="45">
        <v>6.3857339200000002E-2</v>
      </c>
      <c r="Y62" s="45">
        <v>161.9376</v>
      </c>
      <c r="Z62" s="36">
        <v>4.2</v>
      </c>
      <c r="AA62" s="38">
        <v>677</v>
      </c>
      <c r="AB62" s="38">
        <v>732</v>
      </c>
      <c r="AC62" s="49" t="s">
        <v>506</v>
      </c>
      <c r="AD62" s="39" t="s">
        <v>1371</v>
      </c>
      <c r="AE62" s="46"/>
    </row>
    <row r="63" spans="1:31" ht="15" thickBot="1">
      <c r="A63" s="34">
        <v>61</v>
      </c>
      <c r="B63" s="34" t="s">
        <v>251</v>
      </c>
      <c r="C63" s="41" t="s">
        <v>1358</v>
      </c>
      <c r="D63" s="34" t="s">
        <v>96</v>
      </c>
      <c r="E63" s="80">
        <f t="shared" si="0"/>
        <v>1.6516001859771898</v>
      </c>
      <c r="F63" s="35">
        <f t="shared" si="1"/>
        <v>58.5451462052606</v>
      </c>
      <c r="G63" s="42" cm="1">
        <f t="array" ref="G6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58.338297513595172</v>
      </c>
      <c r="H63" s="81" cm="1">
        <f t="array" ref="H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1.6481921602990712</v>
      </c>
      <c r="I63" s="81" cm="1">
        <f t="array" ref="I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1.6516001859771898</v>
      </c>
      <c r="J63" s="81" cm="1">
        <f t="array" ref="J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1.6542549890761356</v>
      </c>
      <c r="K63" s="81" cm="1">
        <f t="array" ref="K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1.6593220357577927</v>
      </c>
      <c r="L63" s="81" cm="1">
        <f t="array" ref="L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1.6653212739144563</v>
      </c>
      <c r="M63" s="37">
        <f t="shared" si="2"/>
        <v>1.1129875458721461E-2</v>
      </c>
      <c r="N63" s="43">
        <f t="shared" si="3"/>
        <v>3.408025678118598E-3</v>
      </c>
      <c r="O63" s="43">
        <f t="shared" si="4"/>
        <v>5.9992381566635888E-3</v>
      </c>
      <c r="P63" s="43">
        <f t="shared" si="5"/>
        <v>0.30620519436702603</v>
      </c>
      <c r="Q63" s="37">
        <f t="shared" si="6"/>
        <v>0.53902113989627232</v>
      </c>
      <c r="R63" s="37">
        <v>-7.7999999999999996E-3</v>
      </c>
      <c r="S63" s="44" t="s">
        <v>1393</v>
      </c>
      <c r="T63" s="45">
        <v>0.90527714299999995</v>
      </c>
      <c r="U63" s="45">
        <v>0.77795568400000004</v>
      </c>
      <c r="V63" s="45">
        <v>1.18137286</v>
      </c>
      <c r="W63" s="45">
        <v>1.5560650699999999E-2</v>
      </c>
      <c r="X63" s="45">
        <v>2.8471862600000001E-3</v>
      </c>
      <c r="Y63" s="45">
        <v>88.073790000000002</v>
      </c>
      <c r="Z63" s="36">
        <v>3.24</v>
      </c>
      <c r="AA63" s="38">
        <v>619</v>
      </c>
      <c r="AB63" s="38">
        <v>683</v>
      </c>
      <c r="AC63" s="49" t="s">
        <v>506</v>
      </c>
      <c r="AD63" s="39" t="s">
        <v>1371</v>
      </c>
      <c r="AE63" s="46" t="s">
        <v>769</v>
      </c>
    </row>
    <row r="64" spans="1:31" ht="15" thickBot="1">
      <c r="A64" s="34">
        <v>62</v>
      </c>
      <c r="B64" s="34" t="s">
        <v>251</v>
      </c>
      <c r="C64" s="41" t="s">
        <v>1358</v>
      </c>
      <c r="D64" s="34" t="s">
        <v>49</v>
      </c>
      <c r="E64" s="80">
        <f t="shared" si="0"/>
        <v>1.7129948783370617</v>
      </c>
      <c r="F64" s="35">
        <f t="shared" si="1"/>
        <v>53.867696805828494</v>
      </c>
      <c r="G64" s="42" cm="1">
        <f t="array" ref="G6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53.635907438832135</v>
      </c>
      <c r="H64" s="81" cm="1">
        <f t="array" ref="H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1.7089738499745122</v>
      </c>
      <c r="I64" s="81" cm="1">
        <f t="array" ref="I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1.7129948783370617</v>
      </c>
      <c r="J64" s="81" cm="1">
        <f t="array" ref="J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1.7161496990660619</v>
      </c>
      <c r="K64" s="81" cm="1">
        <f t="array" ref="K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1.7222098879084733</v>
      </c>
      <c r="L64" s="81" cm="1">
        <f t="array" ref="L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1.7294351893684452</v>
      </c>
      <c r="M64" s="37">
        <f t="shared" si="2"/>
        <v>1.3236037933961109E-2</v>
      </c>
      <c r="N64" s="43">
        <f t="shared" si="3"/>
        <v>4.0210283625494725E-3</v>
      </c>
      <c r="O64" s="43">
        <f t="shared" si="4"/>
        <v>7.2253014599719112E-3</v>
      </c>
      <c r="P64" s="43">
        <f t="shared" si="5"/>
        <v>0.30379395878220422</v>
      </c>
      <c r="Q64" s="37">
        <f t="shared" si="6"/>
        <v>0.54588098765063131</v>
      </c>
      <c r="R64" s="37">
        <v>-8.3999999999999995E-3</v>
      </c>
      <c r="S64" s="44" t="s">
        <v>1393</v>
      </c>
      <c r="T64" s="45">
        <v>1.30663291</v>
      </c>
      <c r="U64" s="45">
        <v>0.57137725299999997</v>
      </c>
      <c r="V64" s="45">
        <v>1.2430360499999999</v>
      </c>
      <c r="W64" s="45">
        <v>6.1186244800000003E-3</v>
      </c>
      <c r="X64" s="45">
        <v>2.1272147000000002E-2</v>
      </c>
      <c r="Y64" s="45">
        <v>90.628568599999994</v>
      </c>
      <c r="Z64" s="36">
        <v>3.79</v>
      </c>
      <c r="AA64" s="38">
        <v>627</v>
      </c>
      <c r="AB64" s="38">
        <v>698</v>
      </c>
      <c r="AC64" s="49" t="s">
        <v>506</v>
      </c>
      <c r="AD64" s="39" t="s">
        <v>1371</v>
      </c>
      <c r="AE64" s="46"/>
    </row>
    <row r="65" spans="1:31" ht="15" thickBot="1">
      <c r="A65" s="34">
        <v>63</v>
      </c>
      <c r="B65" s="34" t="s">
        <v>251</v>
      </c>
      <c r="C65" s="41" t="s">
        <v>1358</v>
      </c>
      <c r="D65" s="34" t="s">
        <v>97</v>
      </c>
      <c r="E65" s="80">
        <f t="shared" si="0"/>
        <v>1.6910018821647599</v>
      </c>
      <c r="F65" s="35">
        <f t="shared" si="1"/>
        <v>54.823226492555712</v>
      </c>
      <c r="G65" s="42" cm="1">
        <f t="array" ref="G6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54.590512098693544</v>
      </c>
      <c r="H65" s="81" cm="1">
        <f t="array" ref="H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1.6871692199251147</v>
      </c>
      <c r="I65" s="81" cm="1">
        <f t="array" ref="I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1.6910018821647599</v>
      </c>
      <c r="J65" s="81" cm="1">
        <f t="array" ref="J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1.6940063462766022</v>
      </c>
      <c r="K65" s="81" cm="1">
        <f t="array" ref="K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1.6997734011521826</v>
      </c>
      <c r="L65" s="81" cm="1">
        <f t="array" ref="L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1.7066427835912172</v>
      </c>
      <c r="M65" s="37">
        <f t="shared" si="2"/>
        <v>1.2604181227067857E-2</v>
      </c>
      <c r="N65" s="43">
        <f t="shared" si="3"/>
        <v>3.8326622396451793E-3</v>
      </c>
      <c r="O65" s="43">
        <f t="shared" si="4"/>
        <v>6.8693824390346769E-3</v>
      </c>
      <c r="P65" s="43">
        <f t="shared" si="5"/>
        <v>0.30407863633493482</v>
      </c>
      <c r="Q65" s="37">
        <f t="shared" si="6"/>
        <v>0.54500822507077828</v>
      </c>
      <c r="R65" s="37">
        <v>-7.9000000000000008E-3</v>
      </c>
      <c r="S65" s="44" t="s">
        <v>1393</v>
      </c>
      <c r="T65" s="45">
        <v>1.16195687</v>
      </c>
      <c r="U65" s="45">
        <v>0.64486009899999996</v>
      </c>
      <c r="V65" s="45">
        <v>1.25062221</v>
      </c>
      <c r="W65" s="45">
        <v>1.5965950900000001E-2</v>
      </c>
      <c r="X65" s="45">
        <v>5.0550246699999999E-4</v>
      </c>
      <c r="Y65" s="45">
        <v>93.828416899999993</v>
      </c>
      <c r="Z65" s="36">
        <v>3.63</v>
      </c>
      <c r="AA65" s="38">
        <v>649</v>
      </c>
      <c r="AB65" s="38">
        <v>707</v>
      </c>
      <c r="AC65" s="49" t="s">
        <v>506</v>
      </c>
      <c r="AD65" s="49" t="s">
        <v>506</v>
      </c>
      <c r="AE65" s="46"/>
    </row>
    <row r="66" spans="1:31" ht="15" thickBot="1">
      <c r="A66" s="34">
        <v>64</v>
      </c>
      <c r="B66" s="34" t="s">
        <v>251</v>
      </c>
      <c r="C66" s="41" t="s">
        <v>1358</v>
      </c>
      <c r="D66" s="34" t="s">
        <v>50</v>
      </c>
      <c r="E66" s="80">
        <f t="shared" si="0"/>
        <v>1.7199953010019078</v>
      </c>
      <c r="F66" s="35">
        <f t="shared" si="1"/>
        <v>50.231163622147136</v>
      </c>
      <c r="G66" s="42" cm="1">
        <f t="array" ref="G6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49.982386551092787</v>
      </c>
      <c r="H66" s="81" cm="1">
        <f t="array" ref="H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1.715670285187227</v>
      </c>
      <c r="I66" s="81" cm="1">
        <f t="array" ref="I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1.7199953010019078</v>
      </c>
      <c r="J66" s="81" cm="1">
        <f t="array" ref="J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1.7234090824797756</v>
      </c>
      <c r="K66" s="81" cm="1">
        <f t="array" ref="K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1.7300039228950435</v>
      </c>
      <c r="L66" s="81" cm="1">
        <f t="array" ref="L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1.7379183167971977</v>
      </c>
      <c r="M66" s="37">
        <f t="shared" si="2"/>
        <v>1.4333637707816482E-2</v>
      </c>
      <c r="N66" s="43">
        <f t="shared" si="3"/>
        <v>4.3250158146808104E-3</v>
      </c>
      <c r="O66" s="43">
        <f t="shared" si="4"/>
        <v>7.9143939021542042E-3</v>
      </c>
      <c r="P66" s="43">
        <f t="shared" si="5"/>
        <v>0.30173888184171654</v>
      </c>
      <c r="Q66" s="37">
        <f t="shared" si="6"/>
        <v>0.55215529117484896</v>
      </c>
      <c r="R66" s="37">
        <v>-8.0999999999999996E-3</v>
      </c>
      <c r="S66" s="44" t="s">
        <v>1393</v>
      </c>
      <c r="T66" s="45">
        <v>1.5281257500000001</v>
      </c>
      <c r="U66" s="45">
        <v>0.36796526699999998</v>
      </c>
      <c r="V66" s="45">
        <v>1.1175178400000001</v>
      </c>
      <c r="W66" s="45">
        <v>7.7681764399999999E-3</v>
      </c>
      <c r="X66" s="45">
        <v>2.72026548E-2</v>
      </c>
      <c r="Y66" s="45">
        <v>88.869739999999993</v>
      </c>
      <c r="Z66" s="36">
        <v>3.86</v>
      </c>
      <c r="AA66" s="38">
        <v>628</v>
      </c>
      <c r="AB66" s="38">
        <v>692</v>
      </c>
      <c r="AC66" s="49" t="s">
        <v>506</v>
      </c>
      <c r="AD66" s="39" t="s">
        <v>1371</v>
      </c>
      <c r="AE66" s="46"/>
    </row>
    <row r="67" spans="1:31" ht="15" thickBot="1">
      <c r="A67" s="34">
        <v>65</v>
      </c>
      <c r="B67" s="34" t="s">
        <v>251</v>
      </c>
      <c r="C67" s="41" t="s">
        <v>1358</v>
      </c>
      <c r="D67" s="34" t="s">
        <v>51</v>
      </c>
      <c r="E67" s="80">
        <f t="shared" ref="E67:E130" si="7">I67</f>
        <v>1.6778998865801633</v>
      </c>
      <c r="F67" s="35">
        <f t="shared" ref="F67:F130" si="8">(I67-1)/M67</f>
        <v>55.341852314249884</v>
      </c>
      <c r="G67" s="42" cm="1">
        <f t="array" ref="G6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55.078395571138991</v>
      </c>
      <c r="H67" s="81" cm="1">
        <f t="array" ref="H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1.67418832668741</v>
      </c>
      <c r="I67" s="81" cm="1">
        <f t="array" ref="I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1.6778998865801633</v>
      </c>
      <c r="J67" s="81" cm="1">
        <f t="array" ref="J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1.68081961332029</v>
      </c>
      <c r="K67" s="81" cm="1">
        <f t="array" ref="K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1.6864376435828912</v>
      </c>
      <c r="L67" s="81" cm="1">
        <f t="array" ref="L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1.6931413803249025</v>
      </c>
      <c r="M67" s="37">
        <f t="shared" ref="M67:M130" si="9">K67-H67</f>
        <v>1.2249316895481144E-2</v>
      </c>
      <c r="N67" s="43">
        <f t="shared" ref="N67:N130" si="10">I67-H67</f>
        <v>3.7115598927532911E-3</v>
      </c>
      <c r="O67" s="43">
        <f t="shared" ref="O67:O130" si="11">L67-K67</f>
        <v>6.7037367420113014E-3</v>
      </c>
      <c r="P67" s="43">
        <f t="shared" ref="P67:P130" si="12">(I67-H67)/M67</f>
        <v>0.30300137749905964</v>
      </c>
      <c r="Q67" s="37">
        <f t="shared" ref="Q67:Q130" si="13">(L67-K67)/M67</f>
        <v>0.54727433368013811</v>
      </c>
      <c r="R67" s="37">
        <v>-4.7000000000000002E-3</v>
      </c>
      <c r="S67" s="44" t="s">
        <v>1393</v>
      </c>
      <c r="T67" s="45">
        <v>0.99205389499999996</v>
      </c>
      <c r="U67" s="45">
        <v>0.77137773099999996</v>
      </c>
      <c r="V67" s="45">
        <v>1.18296264</v>
      </c>
      <c r="W67" s="45">
        <v>1.67095063E-2</v>
      </c>
      <c r="X67" s="45">
        <v>2.3675015600000001E-3</v>
      </c>
      <c r="Y67" s="45">
        <v>105.90107999999999</v>
      </c>
      <c r="Z67" s="36">
        <v>4.01</v>
      </c>
      <c r="AA67" s="38">
        <v>652</v>
      </c>
      <c r="AB67" s="38">
        <v>716</v>
      </c>
      <c r="AC67" s="49" t="s">
        <v>506</v>
      </c>
      <c r="AD67" s="49" t="s">
        <v>506</v>
      </c>
      <c r="AE67" s="46"/>
    </row>
    <row r="68" spans="1:31" ht="15" thickBot="1">
      <c r="A68" s="34">
        <v>66</v>
      </c>
      <c r="B68" s="34" t="s">
        <v>251</v>
      </c>
      <c r="C68" s="41" t="s">
        <v>1358</v>
      </c>
      <c r="D68" s="34" t="s">
        <v>1136</v>
      </c>
      <c r="E68" s="80">
        <f t="shared" si="7"/>
        <v>1.6779002521496926</v>
      </c>
      <c r="F68" s="35">
        <f t="shared" si="8"/>
        <v>55.347541833773562</v>
      </c>
      <c r="G68" s="42" cm="1">
        <f t="array" ref="G6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55.122124503708797</v>
      </c>
      <c r="H68" s="81" cm="1">
        <f t="array" ref="H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1.6741705510445075</v>
      </c>
      <c r="I68" s="81" cm="1">
        <f t="array" ref="I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1.6779002521496926</v>
      </c>
      <c r="J68" s="81" cm="1">
        <f t="array" ref="J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1.6808206724819978</v>
      </c>
      <c r="K68" s="81" cm="1">
        <f t="array" ref="K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1.6864186153611784</v>
      </c>
      <c r="L68" s="81" cm="1">
        <f t="array" ref="L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1.6930743106612882</v>
      </c>
      <c r="M68" s="37">
        <f t="shared" si="9"/>
        <v>1.2248064316670915E-2</v>
      </c>
      <c r="N68" s="43">
        <f t="shared" si="10"/>
        <v>3.7297011051851126E-3</v>
      </c>
      <c r="O68" s="43">
        <f t="shared" si="11"/>
        <v>6.6556953001097874E-3</v>
      </c>
      <c r="P68" s="43">
        <f t="shared" si="12"/>
        <v>0.30451351403409876</v>
      </c>
      <c r="Q68" s="37">
        <f t="shared" si="13"/>
        <v>0.5434079319007723</v>
      </c>
      <c r="R68" s="37">
        <v>-8.5000000000000006E-3</v>
      </c>
      <c r="S68" s="44" t="s">
        <v>1393</v>
      </c>
      <c r="T68" s="45">
        <v>1.09887025</v>
      </c>
      <c r="U68" s="45">
        <v>0.665500482</v>
      </c>
      <c r="V68" s="45">
        <v>1.07183658</v>
      </c>
      <c r="W68" s="45">
        <v>5.3810375400000004E-3</v>
      </c>
      <c r="X68" s="45">
        <v>1.8671770899999999E-2</v>
      </c>
      <c r="Y68" s="45">
        <v>83.081649999999996</v>
      </c>
      <c r="Z68" s="36">
        <v>3.59</v>
      </c>
      <c r="AA68" s="38">
        <v>690</v>
      </c>
      <c r="AB68" s="38">
        <v>750</v>
      </c>
      <c r="AC68" s="49" t="s">
        <v>506</v>
      </c>
      <c r="AD68" s="39" t="s">
        <v>1371</v>
      </c>
      <c r="AE68" s="46" t="s">
        <v>769</v>
      </c>
    </row>
    <row r="69" spans="1:31" ht="15" thickBot="1">
      <c r="A69" s="34">
        <v>67</v>
      </c>
      <c r="B69" s="34" t="s">
        <v>251</v>
      </c>
      <c r="C69" s="41" t="s">
        <v>1358</v>
      </c>
      <c r="D69" s="34" t="s">
        <v>52</v>
      </c>
      <c r="E69" s="80">
        <f t="shared" si="7"/>
        <v>1.6967968826138047</v>
      </c>
      <c r="F69" s="35">
        <f t="shared" si="8"/>
        <v>55.532897002712772</v>
      </c>
      <c r="G69" s="42" cm="1">
        <f t="array" ref="G6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55.309554712332137</v>
      </c>
      <c r="H69" s="81" cm="1">
        <f t="array" ref="H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1.6929738338121625</v>
      </c>
      <c r="I69" s="81" cm="1">
        <f t="array" ref="I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1.6967968826138047</v>
      </c>
      <c r="J69" s="81" cm="1">
        <f t="array" ref="J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1.6997882455193545</v>
      </c>
      <c r="K69" s="81" cm="1">
        <f t="array" ref="K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1.7055212952309278</v>
      </c>
      <c r="L69" s="81" cm="1">
        <f t="array" ref="L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1.7123398547136353</v>
      </c>
      <c r="M69" s="37">
        <f t="shared" si="9"/>
        <v>1.2547461418765282E-2</v>
      </c>
      <c r="N69" s="43">
        <f t="shared" si="10"/>
        <v>3.8230488016421926E-3</v>
      </c>
      <c r="O69" s="43">
        <f t="shared" si="11"/>
        <v>6.8185594827074869E-3</v>
      </c>
      <c r="P69" s="43">
        <f t="shared" si="12"/>
        <v>0.30468703381902051</v>
      </c>
      <c r="Q69" s="37">
        <f t="shared" si="13"/>
        <v>0.54342143443533764</v>
      </c>
      <c r="R69" s="37">
        <v>-8.2000000000000007E-3</v>
      </c>
      <c r="S69" s="44" t="s">
        <v>1393</v>
      </c>
      <c r="T69" s="45">
        <v>1.2372097</v>
      </c>
      <c r="U69" s="45">
        <v>0.589722623</v>
      </c>
      <c r="V69" s="45">
        <v>1.3192188</v>
      </c>
      <c r="W69" s="45">
        <v>1.5355132000000001E-2</v>
      </c>
      <c r="X69" s="45">
        <v>-3.0789625000000003E-4</v>
      </c>
      <c r="Y69" s="45">
        <v>93.720294699999997</v>
      </c>
      <c r="Z69" s="36">
        <v>3.7</v>
      </c>
      <c r="AA69" s="38">
        <v>643</v>
      </c>
      <c r="AB69" s="38">
        <v>700</v>
      </c>
      <c r="AC69" s="49" t="s">
        <v>506</v>
      </c>
      <c r="AD69" s="39" t="s">
        <v>1371</v>
      </c>
      <c r="AE69" s="46"/>
    </row>
    <row r="70" spans="1:31" ht="15" thickBot="1">
      <c r="A70" s="34">
        <v>68</v>
      </c>
      <c r="B70" s="34" t="s">
        <v>251</v>
      </c>
      <c r="C70" s="41" t="s">
        <v>1358</v>
      </c>
      <c r="D70" s="34" t="s">
        <v>53</v>
      </c>
      <c r="E70" s="80">
        <f t="shared" si="7"/>
        <v>1.7291568774075483</v>
      </c>
      <c r="F70" s="35">
        <f t="shared" si="8"/>
        <v>54.680659658866752</v>
      </c>
      <c r="G70" s="42" cm="1">
        <f t="array" ref="G7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54.451965693361984</v>
      </c>
      <c r="H70" s="81" cm="1">
        <f t="array" ref="H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1.7251007652672952</v>
      </c>
      <c r="I70" s="81" cm="1">
        <f t="array" ref="I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1.7291568774075483</v>
      </c>
      <c r="J70" s="81" cm="1">
        <f t="array" ref="J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1.7323358005635709</v>
      </c>
      <c r="K70" s="81" cm="1">
        <f t="array" ref="K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1.7384355875235828</v>
      </c>
      <c r="L70" s="81" cm="1">
        <f t="array" ref="L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1.7456967438821855</v>
      </c>
      <c r="M70" s="37">
        <f t="shared" si="9"/>
        <v>1.3334822256287682E-2</v>
      </c>
      <c r="N70" s="43">
        <f t="shared" si="10"/>
        <v>4.056112140253143E-3</v>
      </c>
      <c r="O70" s="43">
        <f t="shared" si="11"/>
        <v>7.2611563586026939E-3</v>
      </c>
      <c r="P70" s="43">
        <f t="shared" si="12"/>
        <v>0.30417444359564605</v>
      </c>
      <c r="Q70" s="37">
        <f t="shared" si="13"/>
        <v>0.54452592010957535</v>
      </c>
      <c r="R70" s="37">
        <v>-8.6E-3</v>
      </c>
      <c r="S70" s="44" t="s">
        <v>1393</v>
      </c>
      <c r="T70" s="45">
        <v>1.5027631800000001</v>
      </c>
      <c r="U70" s="45">
        <v>0.43022449699999998</v>
      </c>
      <c r="V70" s="45">
        <v>1.3472606</v>
      </c>
      <c r="W70" s="45">
        <v>1.45462356E-2</v>
      </c>
      <c r="X70" s="45">
        <v>-3.3278415299999998E-3</v>
      </c>
      <c r="Y70" s="45">
        <v>93.350834199999994</v>
      </c>
      <c r="Z70" s="36">
        <v>4.18</v>
      </c>
      <c r="AA70" s="38">
        <v>679</v>
      </c>
      <c r="AB70" s="38">
        <v>731</v>
      </c>
      <c r="AC70" s="49" t="s">
        <v>506</v>
      </c>
      <c r="AD70" s="39" t="s">
        <v>1371</v>
      </c>
      <c r="AE70" s="46"/>
    </row>
    <row r="71" spans="1:31" ht="15" thickBot="1">
      <c r="A71" s="34">
        <v>69</v>
      </c>
      <c r="B71" s="34" t="s">
        <v>251</v>
      </c>
      <c r="C71" s="41" t="s">
        <v>1358</v>
      </c>
      <c r="D71" s="34" t="s">
        <v>1137</v>
      </c>
      <c r="E71" s="80">
        <f t="shared" si="7"/>
        <v>1.7291564088335576</v>
      </c>
      <c r="F71" s="35">
        <f t="shared" si="8"/>
        <v>54.593414719264238</v>
      </c>
      <c r="G71" s="42" cm="1">
        <f t="array" ref="G7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54.367687869273411</v>
      </c>
      <c r="H71" s="81" cm="1">
        <f t="array" ref="H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1.7250926254361778</v>
      </c>
      <c r="I71" s="81" cm="1">
        <f t="array" ref="I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1.7291564088335576</v>
      </c>
      <c r="J71" s="81" cm="1">
        <f t="array" ref="J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1.7323406405376227</v>
      </c>
      <c r="K71" s="81" cm="1">
        <f t="array" ref="K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1.7384487492943959</v>
      </c>
      <c r="L71" s="81" cm="1">
        <f t="array" ref="L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1.7457181198075427</v>
      </c>
      <c r="M71" s="37">
        <f t="shared" si="9"/>
        <v>1.335612385821805E-2</v>
      </c>
      <c r="N71" s="43">
        <f t="shared" si="10"/>
        <v>4.0637833973797832E-3</v>
      </c>
      <c r="O71" s="43">
        <f t="shared" si="11"/>
        <v>7.2693705131468001E-3</v>
      </c>
      <c r="P71" s="43">
        <f t="shared" si="12"/>
        <v>0.30426368013046906</v>
      </c>
      <c r="Q71" s="37">
        <f t="shared" si="13"/>
        <v>0.54427246934176499</v>
      </c>
      <c r="R71" s="37">
        <v>-8.8999999999999999E-3</v>
      </c>
      <c r="S71" s="44" t="s">
        <v>1393</v>
      </c>
      <c r="T71" s="45">
        <v>1.4313172700000001</v>
      </c>
      <c r="U71" s="45">
        <v>0.50129685499999999</v>
      </c>
      <c r="V71" s="45">
        <v>1.15464835</v>
      </c>
      <c r="W71" s="45">
        <v>6.8278322199999998E-3</v>
      </c>
      <c r="X71" s="45">
        <v>2.1584032900000001E-2</v>
      </c>
      <c r="Y71" s="45">
        <v>80.983270000000005</v>
      </c>
      <c r="Z71" s="36">
        <v>4.18</v>
      </c>
      <c r="AA71" s="38">
        <v>679</v>
      </c>
      <c r="AB71" s="38">
        <v>731</v>
      </c>
      <c r="AC71" s="49" t="s">
        <v>506</v>
      </c>
      <c r="AD71" s="39" t="s">
        <v>1371</v>
      </c>
      <c r="AE71" s="46" t="s">
        <v>1143</v>
      </c>
    </row>
    <row r="72" spans="1:31" ht="15" thickBot="1">
      <c r="A72" s="34">
        <v>70</v>
      </c>
      <c r="B72" s="34" t="s">
        <v>251</v>
      </c>
      <c r="C72" s="41" t="s">
        <v>1358</v>
      </c>
      <c r="D72" s="34" t="s">
        <v>98</v>
      </c>
      <c r="E72" s="80">
        <f t="shared" si="7"/>
        <v>1.7291595240841462</v>
      </c>
      <c r="F72" s="35">
        <f t="shared" si="8"/>
        <v>54.095863374697636</v>
      </c>
      <c r="G72" s="42" cm="1">
        <f t="array" ref="G7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53.869222122694481</v>
      </c>
      <c r="H72" s="81" cm="1">
        <f t="array" ref="H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1.7250610338810051</v>
      </c>
      <c r="I72" s="81" cm="1">
        <f t="array" ref="I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1.7291595240841462</v>
      </c>
      <c r="J72" s="81" cm="1">
        <f t="array" ref="J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1.732372702700913</v>
      </c>
      <c r="K72" s="81" cm="1">
        <f t="array" ref="K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1.7385400594218969</v>
      </c>
      <c r="L72" s="81" cm="1">
        <f t="array" ref="L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1.7458850228268485</v>
      </c>
      <c r="M72" s="37">
        <f t="shared" si="9"/>
        <v>1.3479025540891865E-2</v>
      </c>
      <c r="N72" s="43">
        <f t="shared" si="10"/>
        <v>4.0984902031411252E-3</v>
      </c>
      <c r="O72" s="43">
        <f t="shared" si="11"/>
        <v>7.3449634049516099E-3</v>
      </c>
      <c r="P72" s="43">
        <f t="shared" si="12"/>
        <v>0.30406428051548456</v>
      </c>
      <c r="Q72" s="37">
        <f t="shared" si="13"/>
        <v>0.54491798258478685</v>
      </c>
      <c r="R72" s="37">
        <v>-9.1999999999999998E-3</v>
      </c>
      <c r="S72" s="44" t="s">
        <v>1393</v>
      </c>
      <c r="T72" s="45">
        <v>0.973997577</v>
      </c>
      <c r="U72" s="45">
        <v>0.95818632199999998</v>
      </c>
      <c r="V72" s="45">
        <v>1.2016335899999999</v>
      </c>
      <c r="W72" s="45">
        <v>3.79332678E-3</v>
      </c>
      <c r="X72" s="45">
        <v>1.7757458100000002E-2</v>
      </c>
      <c r="Y72" s="45">
        <v>83.798959999999994</v>
      </c>
      <c r="Z72" s="36">
        <v>3.98</v>
      </c>
      <c r="AA72" s="38">
        <v>657</v>
      </c>
      <c r="AB72" s="38">
        <v>708</v>
      </c>
      <c r="AC72" s="49" t="s">
        <v>506</v>
      </c>
      <c r="AD72" s="39" t="s">
        <v>1371</v>
      </c>
      <c r="AE72" s="46"/>
    </row>
    <row r="73" spans="1:31" ht="15" thickBot="1">
      <c r="A73" s="34">
        <v>71</v>
      </c>
      <c r="B73" s="34" t="s">
        <v>251</v>
      </c>
      <c r="C73" s="41" t="s">
        <v>1358</v>
      </c>
      <c r="D73" s="34" t="s">
        <v>99</v>
      </c>
      <c r="E73" s="80">
        <f t="shared" si="7"/>
        <v>1.6993002704427389</v>
      </c>
      <c r="F73" s="35">
        <f t="shared" si="8"/>
        <v>51.11279807985747</v>
      </c>
      <c r="G73" s="42" cm="1">
        <f t="array" ref="G7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50.8166034537415</v>
      </c>
      <c r="H73" s="81" cm="1">
        <f t="array" ref="H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1.6951963284418194</v>
      </c>
      <c r="I73" s="81" cm="1">
        <f t="array" ref="I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1.6993002704427389</v>
      </c>
      <c r="J73" s="81" cm="1">
        <f t="array" ref="J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1.7025590458561988</v>
      </c>
      <c r="K73" s="81" cm="1">
        <f t="array" ref="K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1.7088778386841303</v>
      </c>
      <c r="L73" s="81" cm="1">
        <f t="array" ref="L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1.7164744211458962</v>
      </c>
      <c r="M73" s="37">
        <f t="shared" si="9"/>
        <v>1.3681510242310901E-2</v>
      </c>
      <c r="N73" s="43">
        <f t="shared" si="10"/>
        <v>4.1039420009194583E-3</v>
      </c>
      <c r="O73" s="43">
        <f t="shared" si="11"/>
        <v>7.5965824617658662E-3</v>
      </c>
      <c r="P73" s="43">
        <f t="shared" si="12"/>
        <v>0.29996264507610926</v>
      </c>
      <c r="Q73" s="37">
        <f t="shared" si="13"/>
        <v>0.55524443772829801</v>
      </c>
      <c r="R73" s="37">
        <v>-3.5999999999999999E-3</v>
      </c>
      <c r="S73" s="44" t="s">
        <v>1393</v>
      </c>
      <c r="T73" s="45">
        <v>1.06788467</v>
      </c>
      <c r="U73" s="45">
        <v>0.75873535000000003</v>
      </c>
      <c r="V73" s="45">
        <v>1.0280468199999999</v>
      </c>
      <c r="W73" s="45">
        <v>5.1889605799999997E-3</v>
      </c>
      <c r="X73" s="45">
        <v>2.04004357E-2</v>
      </c>
      <c r="Y73" s="45">
        <v>120.82632</v>
      </c>
      <c r="Z73" s="36">
        <v>4.38</v>
      </c>
      <c r="AA73" s="38">
        <v>633</v>
      </c>
      <c r="AB73" s="38">
        <v>717</v>
      </c>
      <c r="AC73" s="49" t="s">
        <v>506</v>
      </c>
      <c r="AD73" s="39" t="s">
        <v>1371</v>
      </c>
      <c r="AE73" s="46"/>
    </row>
    <row r="74" spans="1:31" ht="15" thickBot="1">
      <c r="A74" s="34">
        <v>72</v>
      </c>
      <c r="B74" s="34" t="s">
        <v>251</v>
      </c>
      <c r="C74" s="41" t="s">
        <v>1358</v>
      </c>
      <c r="D74" s="34" t="s">
        <v>54</v>
      </c>
      <c r="E74" s="80">
        <f t="shared" si="7"/>
        <v>1.7029995174107686</v>
      </c>
      <c r="F74" s="35">
        <f t="shared" si="8"/>
        <v>52.380028097955758</v>
      </c>
      <c r="G74" s="42" cm="1">
        <f t="array" ref="G7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52.109856336608367</v>
      </c>
      <c r="H74" s="81" cm="1">
        <f t="array" ref="H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1.6989519079025559</v>
      </c>
      <c r="I74" s="81" cm="1">
        <f t="array" ref="I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1.7029995174107686</v>
      </c>
      <c r="J74" s="81" cm="1">
        <f t="array" ref="J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1.706197806944896</v>
      </c>
      <c r="K74" s="81" cm="1">
        <f t="array" ref="K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1.7123730446017591</v>
      </c>
      <c r="L74" s="81" cm="1">
        <f t="array" ref="L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1.7197642484575317</v>
      </c>
      <c r="M74" s="37">
        <f t="shared" si="9"/>
        <v>1.3421136699203196E-2</v>
      </c>
      <c r="N74" s="43">
        <f t="shared" si="10"/>
        <v>4.0476095082127017E-3</v>
      </c>
      <c r="O74" s="43">
        <f t="shared" si="11"/>
        <v>7.3912038557726323E-3</v>
      </c>
      <c r="P74" s="43">
        <f t="shared" si="12"/>
        <v>0.30158470172299234</v>
      </c>
      <c r="Q74" s="37">
        <f t="shared" si="13"/>
        <v>0.5507137004432302</v>
      </c>
      <c r="R74" s="37">
        <v>-6.1000000000000004E-3</v>
      </c>
      <c r="S74" s="44" t="s">
        <v>1393</v>
      </c>
      <c r="T74" s="45">
        <v>0.93525077899999998</v>
      </c>
      <c r="U74" s="45">
        <v>0.90598870600000003</v>
      </c>
      <c r="V74" s="45">
        <v>1.4335121200000001</v>
      </c>
      <c r="W74" s="45">
        <v>1.8083604699999999E-2</v>
      </c>
      <c r="X74" s="45">
        <v>4.0845264299999998E-3</v>
      </c>
      <c r="Y74" s="45">
        <v>138.68341000000001</v>
      </c>
      <c r="Z74" s="36">
        <v>3.85</v>
      </c>
      <c r="AA74" s="38">
        <v>769</v>
      </c>
      <c r="AB74" s="38">
        <v>879</v>
      </c>
      <c r="AC74" s="49" t="s">
        <v>506</v>
      </c>
      <c r="AD74" s="39" t="s">
        <v>1371</v>
      </c>
      <c r="AE74" s="46"/>
    </row>
    <row r="75" spans="1:31" ht="15" thickBot="1">
      <c r="A75" s="34">
        <v>73</v>
      </c>
      <c r="B75" s="34" t="s">
        <v>251</v>
      </c>
      <c r="C75" s="41" t="s">
        <v>1358</v>
      </c>
      <c r="D75" s="34" t="s">
        <v>100</v>
      </c>
      <c r="E75" s="80">
        <f t="shared" si="7"/>
        <v>1.6510001794516234</v>
      </c>
      <c r="F75" s="35">
        <f t="shared" si="8"/>
        <v>56.239042527320947</v>
      </c>
      <c r="G75" s="42" cm="1">
        <f t="array" ref="G7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56.018729589989086</v>
      </c>
      <c r="H75" s="81" cm="1">
        <f t="array" ref="H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1.6474696331916725</v>
      </c>
      <c r="I75" s="81" cm="1">
        <f t="array" ref="I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1.6510001794516234</v>
      </c>
      <c r="J75" s="81" cm="1">
        <f t="array" ref="J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1.6537605656473742</v>
      </c>
      <c r="K75" s="81" cm="1">
        <f t="array" ref="K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1.6590452246348477</v>
      </c>
      <c r="L75" s="81" cm="1">
        <f t="array" ref="L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1.6653205171712917</v>
      </c>
      <c r="M75" s="37">
        <f t="shared" si="9"/>
        <v>1.1575591443175215E-2</v>
      </c>
      <c r="N75" s="43">
        <f t="shared" si="10"/>
        <v>3.5305462599508619E-3</v>
      </c>
      <c r="O75" s="43">
        <f t="shared" si="11"/>
        <v>6.2752925364439882E-3</v>
      </c>
      <c r="P75" s="43">
        <f t="shared" si="12"/>
        <v>0.30499921125260654</v>
      </c>
      <c r="Q75" s="37">
        <f t="shared" si="13"/>
        <v>0.54211420360242601</v>
      </c>
      <c r="R75" s="37">
        <v>-8.5000000000000006E-3</v>
      </c>
      <c r="S75" s="44" t="s">
        <v>1393</v>
      </c>
      <c r="T75" s="45">
        <v>0.92008508700000002</v>
      </c>
      <c r="U75" s="45">
        <v>0.75864611500000001</v>
      </c>
      <c r="V75" s="45">
        <v>1.0707309599999999</v>
      </c>
      <c r="W75" s="45">
        <v>1.60829667E-2</v>
      </c>
      <c r="X75" s="45">
        <v>2.9205930600000002E-3</v>
      </c>
      <c r="Y75" s="45">
        <v>85.121120000000005</v>
      </c>
      <c r="Z75" s="36">
        <v>3.36</v>
      </c>
      <c r="AA75" s="38">
        <v>688</v>
      </c>
      <c r="AB75" s="38">
        <v>748</v>
      </c>
      <c r="AC75" s="49" t="s">
        <v>506</v>
      </c>
      <c r="AD75" s="39" t="s">
        <v>1371</v>
      </c>
      <c r="AE75" s="46" t="s">
        <v>769</v>
      </c>
    </row>
    <row r="76" spans="1:31" ht="15" thickBot="1">
      <c r="A76" s="34">
        <v>74</v>
      </c>
      <c r="B76" s="34" t="s">
        <v>251</v>
      </c>
      <c r="C76" s="41" t="s">
        <v>1358</v>
      </c>
      <c r="D76" s="34" t="s">
        <v>55</v>
      </c>
      <c r="E76" s="80">
        <f t="shared" si="7"/>
        <v>1.6934950481562243</v>
      </c>
      <c r="F76" s="35">
        <f t="shared" si="8"/>
        <v>50.811260945358818</v>
      </c>
      <c r="G76" s="42" cm="1">
        <f t="array" ref="G7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50.53009006702095</v>
      </c>
      <c r="H76" s="81" cm="1">
        <f t="array" ref="H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1.6893931001505678</v>
      </c>
      <c r="I76" s="81" cm="1">
        <f t="array" ref="I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1.6934950481562243</v>
      </c>
      <c r="J76" s="81" cm="1">
        <f t="array" ref="J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1.6967451842427357</v>
      </c>
      <c r="K76" s="81" cm="1">
        <f t="array" ref="K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1.7030415519947759</v>
      </c>
      <c r="L76" s="81" cm="1">
        <f t="array" ref="L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1.7106126393741479</v>
      </c>
      <c r="M76" s="37">
        <f t="shared" si="9"/>
        <v>1.3648451844208154E-2</v>
      </c>
      <c r="N76" s="43">
        <f t="shared" si="10"/>
        <v>4.1019480056565527E-3</v>
      </c>
      <c r="O76" s="43">
        <f t="shared" si="11"/>
        <v>7.5710873793719546E-3</v>
      </c>
      <c r="P76" s="43">
        <f t="shared" si="12"/>
        <v>0.30054309840256732</v>
      </c>
      <c r="Q76" s="37">
        <f t="shared" si="13"/>
        <v>0.55472133145890945</v>
      </c>
      <c r="R76" s="37">
        <v>-4.7000000000000002E-3</v>
      </c>
      <c r="S76" s="44" t="s">
        <v>1393</v>
      </c>
      <c r="T76" s="45">
        <v>1.06368789</v>
      </c>
      <c r="U76" s="45">
        <v>0.74493906700000001</v>
      </c>
      <c r="V76" s="45">
        <v>1.59178942</v>
      </c>
      <c r="W76" s="45">
        <v>1.8519964E-2</v>
      </c>
      <c r="X76" s="45">
        <v>1.1629586200000001E-3</v>
      </c>
      <c r="Y76" s="45">
        <v>156.63602499999999</v>
      </c>
      <c r="Z76" s="36">
        <v>4.03</v>
      </c>
      <c r="AA76" s="38">
        <v>678</v>
      </c>
      <c r="AB76" s="38">
        <v>770</v>
      </c>
      <c r="AC76" s="49" t="s">
        <v>506</v>
      </c>
      <c r="AD76" s="49" t="s">
        <v>506</v>
      </c>
      <c r="AE76" s="46"/>
    </row>
    <row r="77" spans="1:31" ht="15" thickBot="1">
      <c r="A77" s="34">
        <v>75</v>
      </c>
      <c r="B77" s="34" t="s">
        <v>251</v>
      </c>
      <c r="C77" s="41" t="s">
        <v>1358</v>
      </c>
      <c r="D77" s="34" t="s">
        <v>56</v>
      </c>
      <c r="E77" s="80">
        <f t="shared" si="7"/>
        <v>1.7339968686234626</v>
      </c>
      <c r="F77" s="35">
        <f t="shared" si="8"/>
        <v>51.471182164227976</v>
      </c>
      <c r="G77" s="42" cm="1">
        <f t="array" ref="G7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51.236509350188577</v>
      </c>
      <c r="H77" s="81" cm="1">
        <f t="array" ref="H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1.7296787550278505</v>
      </c>
      <c r="I77" s="81" cm="1">
        <f t="array" ref="I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1.7339968686234626</v>
      </c>
      <c r="J77" s="81" cm="1">
        <f t="array" ref="J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1.7373946580161121</v>
      </c>
      <c r="K77" s="81" cm="1">
        <f t="array" ref="K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1.7439391010653966</v>
      </c>
      <c r="L77" s="81" cm="1">
        <f t="array" ref="L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1.7517645561464825</v>
      </c>
      <c r="M77" s="37">
        <f t="shared" si="9"/>
        <v>1.4260346037546112E-2</v>
      </c>
      <c r="N77" s="43">
        <f t="shared" si="10"/>
        <v>4.318113595612072E-3</v>
      </c>
      <c r="O77" s="43">
        <f t="shared" si="11"/>
        <v>7.8254550810858969E-3</v>
      </c>
      <c r="P77" s="43">
        <f t="shared" si="12"/>
        <v>0.30280566714460477</v>
      </c>
      <c r="Q77" s="37">
        <f t="shared" si="13"/>
        <v>0.54875632474010316</v>
      </c>
      <c r="R77" s="37">
        <v>-9.5999999999999992E-3</v>
      </c>
      <c r="S77" s="44" t="s">
        <v>1393</v>
      </c>
      <c r="T77" s="45">
        <v>1.1396274200000001</v>
      </c>
      <c r="U77" s="45">
        <v>0.80522783799999997</v>
      </c>
      <c r="V77" s="45">
        <v>1.2948806100000001</v>
      </c>
      <c r="W77" s="45">
        <v>4.9329486199999996E-3</v>
      </c>
      <c r="X77" s="45">
        <v>2.0247996000000001E-2</v>
      </c>
      <c r="Y77" s="45">
        <v>93.474650699999998</v>
      </c>
      <c r="Z77" s="36">
        <v>4.04</v>
      </c>
      <c r="AA77" s="38">
        <v>641</v>
      </c>
      <c r="AB77" s="38">
        <v>696</v>
      </c>
      <c r="AC77" s="49" t="s">
        <v>506</v>
      </c>
      <c r="AD77" s="49" t="s">
        <v>506</v>
      </c>
      <c r="AE77" s="46"/>
    </row>
    <row r="78" spans="1:31" ht="15" thickBot="1">
      <c r="A78" s="34">
        <v>76</v>
      </c>
      <c r="B78" s="34" t="s">
        <v>251</v>
      </c>
      <c r="C78" s="41" t="s">
        <v>1358</v>
      </c>
      <c r="D78" s="34" t="s">
        <v>57</v>
      </c>
      <c r="E78" s="80">
        <f t="shared" si="7"/>
        <v>1.7409988698129859</v>
      </c>
      <c r="F78" s="35">
        <f t="shared" si="8"/>
        <v>52.637126471728891</v>
      </c>
      <c r="G78" s="42" cm="1">
        <f t="array" ref="G7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52.408343024569326</v>
      </c>
      <c r="H78" s="81" cm="1">
        <f t="array" ref="H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1.7367266495796825</v>
      </c>
      <c r="I78" s="81" cm="1">
        <f t="array" ref="I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1.7409988698129859</v>
      </c>
      <c r="J78" s="81" cm="1">
        <f t="array" ref="J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1.7443538793214706</v>
      </c>
      <c r="K78" s="81" cm="1">
        <f t="array" ref="K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1.7508041442964766</v>
      </c>
      <c r="L78" s="81" cm="1">
        <f t="array" ref="L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1.7585013553210014</v>
      </c>
      <c r="M78" s="37">
        <f t="shared" si="9"/>
        <v>1.4077494716794092E-2</v>
      </c>
      <c r="N78" s="43">
        <f t="shared" si="10"/>
        <v>4.2722202333034254E-3</v>
      </c>
      <c r="O78" s="43">
        <f t="shared" si="11"/>
        <v>7.6972110245248082E-3</v>
      </c>
      <c r="P78" s="43">
        <f t="shared" si="12"/>
        <v>0.3034787310704351</v>
      </c>
      <c r="Q78" s="37">
        <f t="shared" si="13"/>
        <v>0.54677420800891741</v>
      </c>
      <c r="R78" s="37">
        <v>-9.5999999999999992E-3</v>
      </c>
      <c r="S78" s="44" t="s">
        <v>1393</v>
      </c>
      <c r="T78" s="45">
        <v>1.11073292</v>
      </c>
      <c r="U78" s="45">
        <v>0.85934777299999998</v>
      </c>
      <c r="V78" s="45">
        <v>1.26707433</v>
      </c>
      <c r="W78" s="45">
        <v>4.6418124800000002E-3</v>
      </c>
      <c r="X78" s="45">
        <v>1.9298926099999999E-2</v>
      </c>
      <c r="Y78" s="45">
        <v>87.391769800000006</v>
      </c>
      <c r="Z78" s="36">
        <v>4.04</v>
      </c>
      <c r="AA78" s="38">
        <v>668</v>
      </c>
      <c r="AB78" s="38">
        <v>724</v>
      </c>
      <c r="AC78" s="49" t="s">
        <v>506</v>
      </c>
      <c r="AD78" s="49" t="s">
        <v>506</v>
      </c>
      <c r="AE78" s="46"/>
    </row>
    <row r="79" spans="1:31" ht="15" thickBot="1">
      <c r="A79" s="34">
        <v>77</v>
      </c>
      <c r="B79" s="34" t="s">
        <v>251</v>
      </c>
      <c r="C79" s="41" t="s">
        <v>1358</v>
      </c>
      <c r="D79" s="34" t="s">
        <v>1138</v>
      </c>
      <c r="E79" s="80">
        <f t="shared" si="7"/>
        <v>1.740999440750816</v>
      </c>
      <c r="F79" s="35">
        <f t="shared" si="8"/>
        <v>52.602574978217277</v>
      </c>
      <c r="G79" s="42" cm="1">
        <f t="array" ref="G7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52.360177271272129</v>
      </c>
      <c r="H79" s="81" cm="1">
        <f t="array" ref="H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1.7367329775855964</v>
      </c>
      <c r="I79" s="81" cm="1">
        <f t="array" ref="I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1.740999440750816</v>
      </c>
      <c r="J79" s="81" cm="1">
        <f t="array" ref="J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1.7443567289881954</v>
      </c>
      <c r="K79" s="81" cm="1">
        <f t="array" ref="K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1.7508197298226811</v>
      </c>
      <c r="L79" s="81" cm="1">
        <f t="array" ref="L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1.7585383212405763</v>
      </c>
      <c r="M79" s="37">
        <f t="shared" si="9"/>
        <v>1.4086752237084665E-2</v>
      </c>
      <c r="N79" s="43">
        <f t="shared" si="10"/>
        <v>4.2664631652196139E-3</v>
      </c>
      <c r="O79" s="43">
        <f t="shared" si="11"/>
        <v>7.7185914178952153E-3</v>
      </c>
      <c r="P79" s="43">
        <f t="shared" si="12"/>
        <v>0.30287060448097886</v>
      </c>
      <c r="Q79" s="37">
        <f t="shared" si="13"/>
        <v>0.5479326453669936</v>
      </c>
      <c r="R79" s="37">
        <v>-8.5000000000000006E-3</v>
      </c>
      <c r="S79" s="44" t="s">
        <v>1393</v>
      </c>
      <c r="T79" s="45">
        <v>1.3814422500000001</v>
      </c>
      <c r="U79" s="45">
        <v>0.58769008899999997</v>
      </c>
      <c r="V79" s="45">
        <v>1.1524546499999999</v>
      </c>
      <c r="W79" s="45">
        <v>6.6919265199999996E-3</v>
      </c>
      <c r="X79" s="45">
        <v>2.1598123300000001E-2</v>
      </c>
      <c r="Y79" s="45">
        <v>87.192329999999998</v>
      </c>
      <c r="Z79" s="36">
        <v>4.09</v>
      </c>
      <c r="AA79" s="38">
        <v>687</v>
      </c>
      <c r="AB79" s="38">
        <v>737</v>
      </c>
      <c r="AC79" s="49" t="s">
        <v>506</v>
      </c>
      <c r="AD79" s="39" t="s">
        <v>1371</v>
      </c>
      <c r="AE79" s="46" t="s">
        <v>769</v>
      </c>
    </row>
    <row r="80" spans="1:31" ht="15" thickBot="1">
      <c r="A80" s="34">
        <v>78</v>
      </c>
      <c r="B80" s="34" t="s">
        <v>251</v>
      </c>
      <c r="C80" s="41" t="s">
        <v>1358</v>
      </c>
      <c r="D80" s="34" t="s">
        <v>58</v>
      </c>
      <c r="E80" s="80">
        <f t="shared" si="7"/>
        <v>1.7439968484379726</v>
      </c>
      <c r="F80" s="35">
        <f t="shared" si="8"/>
        <v>44.786974351776742</v>
      </c>
      <c r="G80" s="42" cm="1">
        <f t="array" ref="G8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44.507551870835329</v>
      </c>
      <c r="H80" s="81" cm="1">
        <f t="array" ref="H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1.7390480958978114</v>
      </c>
      <c r="I80" s="81" cm="1">
        <f t="array" ref="I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1.7439968484379726</v>
      </c>
      <c r="J80" s="81" cm="1">
        <f t="array" ref="J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1.7479454251475333</v>
      </c>
      <c r="K80" s="81" cm="1">
        <f t="array" ref="K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1.7556599983361028</v>
      </c>
      <c r="L80" s="81" cm="1">
        <f t="array" ref="L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1.7650558998227126</v>
      </c>
      <c r="M80" s="37">
        <f t="shared" si="9"/>
        <v>1.6611902438291359E-2</v>
      </c>
      <c r="N80" s="43">
        <f t="shared" si="10"/>
        <v>4.9487525401612498E-3</v>
      </c>
      <c r="O80" s="43">
        <f t="shared" si="11"/>
        <v>9.3959014866098478E-3</v>
      </c>
      <c r="P80" s="43">
        <f t="shared" si="12"/>
        <v>0.29790402144152373</v>
      </c>
      <c r="Q80" s="37">
        <f t="shared" si="13"/>
        <v>0.56561260948365388</v>
      </c>
      <c r="R80" s="37">
        <v>-3.5000000000000001E-3</v>
      </c>
      <c r="S80" s="44" t="s">
        <v>1393</v>
      </c>
      <c r="T80" s="45">
        <v>1.7713000000000001</v>
      </c>
      <c r="U80" s="45">
        <v>0.19581423000000001</v>
      </c>
      <c r="V80" s="45">
        <v>1.19487834</v>
      </c>
      <c r="W80" s="45">
        <v>9.7665244400000004E-3</v>
      </c>
      <c r="X80" s="45">
        <v>4.1271862800000003E-2</v>
      </c>
      <c r="Y80" s="45">
        <v>110.458122</v>
      </c>
      <c r="Z80" s="36">
        <v>4.32</v>
      </c>
      <c r="AA80" s="38">
        <v>631</v>
      </c>
      <c r="AB80" s="38">
        <v>711</v>
      </c>
      <c r="AC80" s="49" t="s">
        <v>506</v>
      </c>
      <c r="AD80" s="39" t="s">
        <v>1371</v>
      </c>
      <c r="AE80" s="46"/>
    </row>
    <row r="81" spans="1:31" ht="15" thickBot="1">
      <c r="A81" s="34">
        <v>79</v>
      </c>
      <c r="B81" s="34" t="s">
        <v>251</v>
      </c>
      <c r="C81" s="41" t="s">
        <v>1358</v>
      </c>
      <c r="D81" s="34" t="s">
        <v>59</v>
      </c>
      <c r="E81" s="80">
        <f t="shared" si="7"/>
        <v>1.7170038607260651</v>
      </c>
      <c r="F81" s="35">
        <f t="shared" si="8"/>
        <v>47.928547466743851</v>
      </c>
      <c r="G81" s="42" cm="1">
        <f t="array" ref="G8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47.643413619362242</v>
      </c>
      <c r="H81" s="81" cm="1">
        <f t="array" ref="H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1.7125281249297102</v>
      </c>
      <c r="I81" s="81" cm="1">
        <f t="array" ref="I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1.7170038607260651</v>
      </c>
      <c r="J81" s="81" cm="1">
        <f t="array" ref="J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1.7205626224105601</v>
      </c>
      <c r="K81" s="81" cm="1">
        <f t="array" ref="K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1.7274879745104548</v>
      </c>
      <c r="L81" s="81" cm="1">
        <f t="array" ref="L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1.7358749421425488</v>
      </c>
      <c r="M81" s="37">
        <f t="shared" si="9"/>
        <v>1.4959849580744589E-2</v>
      </c>
      <c r="N81" s="43">
        <f t="shared" si="10"/>
        <v>4.4757357963549627E-3</v>
      </c>
      <c r="O81" s="43">
        <f t="shared" si="11"/>
        <v>8.3869676320940112E-3</v>
      </c>
      <c r="P81" s="43">
        <f t="shared" si="12"/>
        <v>0.29918320850738089</v>
      </c>
      <c r="Q81" s="37">
        <f t="shared" si="13"/>
        <v>0.56063181563598119</v>
      </c>
      <c r="R81" s="37">
        <v>-3.3999999999999998E-3</v>
      </c>
      <c r="S81" s="44" t="s">
        <v>1393</v>
      </c>
      <c r="T81" s="45">
        <v>1.6425871299999999</v>
      </c>
      <c r="U81" s="45">
        <v>0.23963461</v>
      </c>
      <c r="V81" s="45">
        <v>1.2248302600000001</v>
      </c>
      <c r="W81" s="45">
        <v>8.6824602000000004E-3</v>
      </c>
      <c r="X81" s="45">
        <v>3.5122624200000001E-2</v>
      </c>
      <c r="Y81" s="45">
        <v>116.60436900000001</v>
      </c>
      <c r="Z81" s="36">
        <v>4.25</v>
      </c>
      <c r="AA81" s="38">
        <v>631</v>
      </c>
      <c r="AB81" s="38">
        <v>701</v>
      </c>
      <c r="AC81" s="49" t="s">
        <v>506</v>
      </c>
      <c r="AD81" s="39" t="s">
        <v>1371</v>
      </c>
      <c r="AE81" s="46"/>
    </row>
    <row r="82" spans="1:31" ht="15" thickBot="1">
      <c r="A82" s="34">
        <v>80</v>
      </c>
      <c r="B82" s="34" t="s">
        <v>251</v>
      </c>
      <c r="C82" s="41" t="s">
        <v>1358</v>
      </c>
      <c r="D82" s="34" t="s">
        <v>101</v>
      </c>
      <c r="E82" s="80">
        <f t="shared" si="7"/>
        <v>1.7494972282288861</v>
      </c>
      <c r="F82" s="35">
        <f t="shared" si="8"/>
        <v>35.283835230128716</v>
      </c>
      <c r="G82" s="42" cm="1">
        <f t="array" ref="G8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35.02420843145979</v>
      </c>
      <c r="H82" s="81" cm="1">
        <f t="array" ref="H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1.7432748538663645</v>
      </c>
      <c r="I82" s="81" cm="1">
        <f t="array" ref="I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1.7494972282288861</v>
      </c>
      <c r="J82" s="81" cm="1">
        <f t="array" ref="J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1.7545269473611014</v>
      </c>
      <c r="K82" s="81" cm="1">
        <f t="array" ref="K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1.7645167971908502</v>
      </c>
      <c r="L82" s="81" cm="1">
        <f t="array" ref="L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1.7769870913014325</v>
      </c>
      <c r="M82" s="37">
        <f t="shared" si="9"/>
        <v>2.1241943324485701E-2</v>
      </c>
      <c r="N82" s="43">
        <f t="shared" si="10"/>
        <v>6.2223743625215988E-3</v>
      </c>
      <c r="O82" s="43">
        <f t="shared" si="11"/>
        <v>1.2470294110582314E-2</v>
      </c>
      <c r="P82" s="43">
        <f t="shared" si="12"/>
        <v>0.29292867735641848</v>
      </c>
      <c r="Q82" s="37">
        <f t="shared" si="13"/>
        <v>0.587059946450744</v>
      </c>
      <c r="R82" s="37">
        <v>2.5000000000000001E-3</v>
      </c>
      <c r="S82" s="44" t="s">
        <v>1393</v>
      </c>
      <c r="T82" s="45">
        <v>1.71014712</v>
      </c>
      <c r="U82" s="45">
        <v>0.25694329199999999</v>
      </c>
      <c r="V82" s="45">
        <v>1.6398627100000001</v>
      </c>
      <c r="W82" s="45">
        <v>1.0516108E-2</v>
      </c>
      <c r="X82" s="45">
        <v>5.0280963599999999E-2</v>
      </c>
      <c r="Y82" s="45">
        <v>146.181217</v>
      </c>
      <c r="Z82" s="36">
        <v>3.81</v>
      </c>
      <c r="AA82" s="38">
        <v>626</v>
      </c>
      <c r="AB82" s="38">
        <v>739</v>
      </c>
      <c r="AC82" s="49" t="s">
        <v>506</v>
      </c>
      <c r="AD82" s="49" t="s">
        <v>506</v>
      </c>
      <c r="AE82" s="46"/>
    </row>
    <row r="83" spans="1:31" ht="15" thickBot="1">
      <c r="A83" s="34">
        <v>81</v>
      </c>
      <c r="B83" s="34" t="s">
        <v>251</v>
      </c>
      <c r="C83" s="41" t="s">
        <v>1358</v>
      </c>
      <c r="D83" s="34" t="s">
        <v>60</v>
      </c>
      <c r="E83" s="80">
        <f t="shared" si="7"/>
        <v>1.7620008273157655</v>
      </c>
      <c r="F83" s="35">
        <f t="shared" si="8"/>
        <v>40.100668871073019</v>
      </c>
      <c r="G83" s="42" cm="1">
        <f t="array" ref="G8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39.825639777427689</v>
      </c>
      <c r="H83" s="81" cm="1">
        <f t="array" ref="H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1.756385233465195</v>
      </c>
      <c r="I83" s="81" cm="1">
        <f t="array" ref="I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1.7620008273157655</v>
      </c>
      <c r="J83" s="81" cm="1">
        <f t="array" ref="J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1.7665085235496514</v>
      </c>
      <c r="K83" s="81" cm="1">
        <f t="array" ref="K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1.7753874309039874</v>
      </c>
      <c r="L83" s="81" cm="1">
        <f t="array" ref="L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1.7863434270667662</v>
      </c>
      <c r="M83" s="37">
        <f t="shared" si="9"/>
        <v>1.900219743879239E-2</v>
      </c>
      <c r="N83" s="43">
        <f t="shared" si="10"/>
        <v>5.6155938505704217E-3</v>
      </c>
      <c r="O83" s="43">
        <f t="shared" si="11"/>
        <v>1.0955996162778758E-2</v>
      </c>
      <c r="P83" s="43">
        <f t="shared" si="12"/>
        <v>0.29552339242125564</v>
      </c>
      <c r="Q83" s="37">
        <f t="shared" si="13"/>
        <v>0.57656469458697635</v>
      </c>
      <c r="R83" s="37">
        <v>-1E-4</v>
      </c>
      <c r="S83" s="44" t="s">
        <v>1393</v>
      </c>
      <c r="T83" s="45">
        <v>1.85412979</v>
      </c>
      <c r="U83" s="45">
        <v>0.16545032300000001</v>
      </c>
      <c r="V83" s="45">
        <v>1.27255422</v>
      </c>
      <c r="W83" s="45">
        <v>1.0843815200000001E-2</v>
      </c>
      <c r="X83" s="45">
        <v>5.1405098000000003E-2</v>
      </c>
      <c r="Y83" s="45">
        <v>109.98683699999999</v>
      </c>
      <c r="Z83" s="36">
        <v>4.22</v>
      </c>
      <c r="AA83" s="38">
        <v>633</v>
      </c>
      <c r="AB83" s="38">
        <v>709</v>
      </c>
      <c r="AC83" s="49" t="s">
        <v>506</v>
      </c>
      <c r="AD83" s="39" t="s">
        <v>1371</v>
      </c>
      <c r="AE83" s="46"/>
    </row>
    <row r="84" spans="1:31" ht="15" thickBot="1">
      <c r="A84" s="34">
        <v>82</v>
      </c>
      <c r="B84" s="34" t="s">
        <v>251</v>
      </c>
      <c r="C84" s="41" t="s">
        <v>1358</v>
      </c>
      <c r="D84" s="34" t="s">
        <v>61</v>
      </c>
      <c r="E84" s="80">
        <f t="shared" si="7"/>
        <v>1.7431978603002578</v>
      </c>
      <c r="F84" s="35">
        <f t="shared" si="8"/>
        <v>49.340034170526877</v>
      </c>
      <c r="G84" s="42" cm="1">
        <f t="array" ref="G8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49.098246732350638</v>
      </c>
      <c r="H84" s="81" cm="1">
        <f t="array" ref="H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1.7386529121674894</v>
      </c>
      <c r="I84" s="81" cm="1">
        <f t="array" ref="I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1.7431978603002578</v>
      </c>
      <c r="J84" s="81" cm="1">
        <f t="array" ref="J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1.7467841178607519</v>
      </c>
      <c r="K84" s="81" cm="1">
        <f t="array" ref="K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1.7537156877166844</v>
      </c>
      <c r="L84" s="81" cm="1">
        <f t="array" ref="L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1.7620474302857765</v>
      </c>
      <c r="M84" s="37">
        <f t="shared" si="9"/>
        <v>1.5062775549194996E-2</v>
      </c>
      <c r="N84" s="43">
        <f t="shared" si="10"/>
        <v>4.5449481327684005E-3</v>
      </c>
      <c r="O84" s="43">
        <f t="shared" si="11"/>
        <v>8.3317425690920821E-3</v>
      </c>
      <c r="P84" s="43">
        <f t="shared" si="12"/>
        <v>0.30173377528760281</v>
      </c>
      <c r="Q84" s="37">
        <f t="shared" si="13"/>
        <v>0.55313461598631852</v>
      </c>
      <c r="R84" s="37">
        <v>-8.5000000000000006E-3</v>
      </c>
      <c r="S84" s="44" t="s">
        <v>1393</v>
      </c>
      <c r="T84" s="45">
        <v>1.6067305599999999</v>
      </c>
      <c r="U84" s="45">
        <v>0.36641563999999999</v>
      </c>
      <c r="V84" s="45">
        <v>1.3176180399999999</v>
      </c>
      <c r="W84" s="45">
        <v>7.7504614000000003E-3</v>
      </c>
      <c r="X84" s="45">
        <v>2.8996761100000001E-2</v>
      </c>
      <c r="Y84" s="45">
        <v>93.0720709</v>
      </c>
      <c r="Z84" s="36">
        <v>4.0599999999999996</v>
      </c>
      <c r="AA84" s="38">
        <v>637</v>
      </c>
      <c r="AB84" s="38">
        <v>693</v>
      </c>
      <c r="AC84" s="49" t="s">
        <v>506</v>
      </c>
      <c r="AD84" s="39" t="s">
        <v>1371</v>
      </c>
      <c r="AE84" s="46"/>
    </row>
    <row r="85" spans="1:31" ht="15" thickBot="1">
      <c r="A85" s="34">
        <v>83</v>
      </c>
      <c r="B85" s="34" t="s">
        <v>251</v>
      </c>
      <c r="C85" s="41" t="s">
        <v>1358</v>
      </c>
      <c r="D85" s="34" t="s">
        <v>62</v>
      </c>
      <c r="E85" s="80">
        <f t="shared" si="7"/>
        <v>1.800998789291492</v>
      </c>
      <c r="F85" s="35">
        <f t="shared" si="8"/>
        <v>34.967837161904718</v>
      </c>
      <c r="G85" s="42" cm="1">
        <f t="array" ref="G8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34.721335679711196</v>
      </c>
      <c r="H85" s="81" cm="1">
        <f t="array" ref="H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1.7942746044819007</v>
      </c>
      <c r="I85" s="81" cm="1">
        <f t="array" ref="I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1.800998789291492</v>
      </c>
      <c r="J85" s="81" cm="1">
        <f t="array" ref="J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1.8064221799691149</v>
      </c>
      <c r="K85" s="81" cm="1">
        <f t="array" ref="K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1.8171813340454932</v>
      </c>
      <c r="L85" s="81" cm="1">
        <f t="array" ref="L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1.8306146970534547</v>
      </c>
      <c r="M85" s="37">
        <f t="shared" si="9"/>
        <v>2.2906729563592521E-2</v>
      </c>
      <c r="N85" s="43">
        <f t="shared" si="10"/>
        <v>6.7241848095913603E-3</v>
      </c>
      <c r="O85" s="43">
        <f t="shared" si="11"/>
        <v>1.3433363007961496E-2</v>
      </c>
      <c r="P85" s="43">
        <f t="shared" si="12"/>
        <v>0.29354626075817647</v>
      </c>
      <c r="Q85" s="37">
        <f t="shared" si="13"/>
        <v>0.58643740350050688</v>
      </c>
      <c r="R85" s="37">
        <v>1.5E-3</v>
      </c>
      <c r="S85" s="44" t="s">
        <v>1393</v>
      </c>
      <c r="T85" s="45">
        <v>1.92094221</v>
      </c>
      <c r="U85" s="45">
        <v>0.21990120799999999</v>
      </c>
      <c r="V85" s="45">
        <v>1.7270523099999999</v>
      </c>
      <c r="W85" s="45">
        <v>1.1507524099999999E-2</v>
      </c>
      <c r="X85" s="45">
        <v>5.4799354299999999E-2</v>
      </c>
      <c r="Y85" s="45">
        <v>120.133674</v>
      </c>
      <c r="Z85" s="36">
        <v>3.55</v>
      </c>
      <c r="AA85" s="38">
        <v>556</v>
      </c>
      <c r="AB85" s="38">
        <v>629</v>
      </c>
      <c r="AC85" s="49" t="s">
        <v>506</v>
      </c>
      <c r="AD85" s="39" t="s">
        <v>1371</v>
      </c>
      <c r="AE85" s="46"/>
    </row>
    <row r="86" spans="1:31" ht="15" thickBot="1">
      <c r="A86" s="34">
        <v>84</v>
      </c>
      <c r="B86" s="34" t="s">
        <v>251</v>
      </c>
      <c r="C86" s="41" t="s">
        <v>1358</v>
      </c>
      <c r="D86" s="34" t="s">
        <v>63</v>
      </c>
      <c r="E86" s="80">
        <f t="shared" si="7"/>
        <v>1.7936000734429982</v>
      </c>
      <c r="F86" s="35">
        <f t="shared" si="8"/>
        <v>37.089908662322408</v>
      </c>
      <c r="G86" s="42" cm="1">
        <f t="array" ref="G8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36.818936028107487</v>
      </c>
      <c r="H86" s="81" cm="1">
        <f t="array" ref="H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1.7873184492309537</v>
      </c>
      <c r="I86" s="81" cm="1">
        <f t="array" ref="I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1.7936000734429982</v>
      </c>
      <c r="J86" s="81" cm="1">
        <f t="array" ref="J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1.7986712357537875</v>
      </c>
      <c r="K86" s="81" cm="1">
        <f t="array" ref="K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1.8087151067603149</v>
      </c>
      <c r="L86" s="81" cm="1">
        <f t="array" ref="L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1.8211862941717256</v>
      </c>
      <c r="M86" s="37">
        <f t="shared" si="9"/>
        <v>2.1396657529361152E-2</v>
      </c>
      <c r="N86" s="43">
        <f t="shared" si="10"/>
        <v>6.2816242120444787E-3</v>
      </c>
      <c r="O86" s="43">
        <f t="shared" si="11"/>
        <v>1.2471187411410734E-2</v>
      </c>
      <c r="P86" s="43">
        <f t="shared" si="12"/>
        <v>0.2935796959606724</v>
      </c>
      <c r="Q86" s="37">
        <f t="shared" si="13"/>
        <v>0.58285680341882307</v>
      </c>
      <c r="R86" s="37">
        <v>1.2999999999999999E-3</v>
      </c>
      <c r="S86" s="44" t="s">
        <v>1393</v>
      </c>
      <c r="T86" s="45">
        <v>1.86353123</v>
      </c>
      <c r="U86" s="45">
        <v>0.25521561700000001</v>
      </c>
      <c r="V86" s="45">
        <v>1.2339913300000001</v>
      </c>
      <c r="W86" s="45">
        <v>1.0762067300000001E-2</v>
      </c>
      <c r="X86" s="45">
        <v>4.8724867900000003E-2</v>
      </c>
      <c r="Y86" s="45">
        <v>117.12511000000001</v>
      </c>
      <c r="Z86" s="36">
        <v>4.45</v>
      </c>
      <c r="AA86" s="38">
        <v>625</v>
      </c>
      <c r="AB86" s="38">
        <v>695</v>
      </c>
      <c r="AC86" s="49" t="s">
        <v>506</v>
      </c>
      <c r="AD86" s="39" t="s">
        <v>1371</v>
      </c>
      <c r="AE86" s="46"/>
    </row>
    <row r="87" spans="1:31" ht="15" thickBot="1">
      <c r="A87" s="34">
        <v>85</v>
      </c>
      <c r="B87" s="34" t="s">
        <v>251</v>
      </c>
      <c r="C87" s="41" t="s">
        <v>1358</v>
      </c>
      <c r="D87" s="34" t="s">
        <v>64</v>
      </c>
      <c r="E87" s="80">
        <f t="shared" si="7"/>
        <v>1.7858958357466979</v>
      </c>
      <c r="F87" s="35">
        <f t="shared" si="8"/>
        <v>44.20317204436774</v>
      </c>
      <c r="G87" s="42" cm="1">
        <f t="array" ref="G8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43.947967489329173</v>
      </c>
      <c r="H87" s="81" cm="1">
        <f t="array" ref="H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1.7805841191292673</v>
      </c>
      <c r="I87" s="81" cm="1">
        <f t="array" ref="I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1.7858958357466979</v>
      </c>
      <c r="J87" s="81" cm="1">
        <f t="array" ref="J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1.7901228116693702</v>
      </c>
      <c r="K87" s="81" cm="1">
        <f t="array" ref="K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1.7983632919668608</v>
      </c>
      <c r="L87" s="81" cm="1">
        <f t="array" ref="L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1.8083762718890377</v>
      </c>
      <c r="M87" s="37">
        <f t="shared" si="9"/>
        <v>1.777917283759356E-2</v>
      </c>
      <c r="N87" s="43">
        <f t="shared" si="10"/>
        <v>5.311716617430573E-3</v>
      </c>
      <c r="O87" s="43">
        <f t="shared" si="11"/>
        <v>1.0012979922176868E-2</v>
      </c>
      <c r="P87" s="43">
        <f t="shared" si="12"/>
        <v>0.29876061535321247</v>
      </c>
      <c r="Q87" s="37">
        <f t="shared" si="13"/>
        <v>0.56318592623188324</v>
      </c>
      <c r="R87" s="37">
        <v>-6.8999999999999999E-3</v>
      </c>
      <c r="S87" s="44" t="s">
        <v>1393</v>
      </c>
      <c r="T87" s="45">
        <v>1.82586991</v>
      </c>
      <c r="U87" s="45">
        <v>0.28302334899999998</v>
      </c>
      <c r="V87" s="45">
        <v>1.3596431899999999</v>
      </c>
      <c r="W87" s="45">
        <v>9.3529715199999995E-3</v>
      </c>
      <c r="X87" s="45">
        <v>3.7380305699999998E-2</v>
      </c>
      <c r="Y87" s="45">
        <v>100.655798</v>
      </c>
      <c r="Z87" s="36">
        <v>4.4000000000000004</v>
      </c>
      <c r="AA87" s="38">
        <v>614</v>
      </c>
      <c r="AB87" s="38">
        <v>677</v>
      </c>
      <c r="AC87" s="49" t="s">
        <v>506</v>
      </c>
      <c r="AD87" s="39" t="s">
        <v>1371</v>
      </c>
      <c r="AE87" s="46"/>
    </row>
    <row r="88" spans="1:31" ht="15" thickBot="1">
      <c r="A88" s="34">
        <v>86</v>
      </c>
      <c r="B88" s="34" t="s">
        <v>251</v>
      </c>
      <c r="C88" s="41" t="s">
        <v>1358</v>
      </c>
      <c r="D88" s="34" t="s">
        <v>65</v>
      </c>
      <c r="E88" s="80">
        <f t="shared" si="7"/>
        <v>1.7995158252980348</v>
      </c>
      <c r="F88" s="35">
        <f t="shared" si="8"/>
        <v>42.225520097363649</v>
      </c>
      <c r="G88" s="42" cm="1">
        <f t="array" ref="G8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41.969890002801584</v>
      </c>
      <c r="H88" s="81" cm="1">
        <f t="array" ref="H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1.7938792908574617</v>
      </c>
      <c r="I88" s="81" cm="1">
        <f t="array" ref="I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1.7995158252980348</v>
      </c>
      <c r="J88" s="81" cm="1">
        <f t="array" ref="J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1.8040144381517822</v>
      </c>
      <c r="K88" s="81" cm="1">
        <f t="array" ref="K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1.8128137130612501</v>
      </c>
      <c r="L88" s="81" cm="1">
        <f t="array" ref="L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1.8235548498633374</v>
      </c>
      <c r="M88" s="37">
        <f t="shared" si="9"/>
        <v>1.8934422203788381E-2</v>
      </c>
      <c r="N88" s="43">
        <f t="shared" si="10"/>
        <v>5.6365344405731044E-3</v>
      </c>
      <c r="O88" s="43">
        <f t="shared" si="11"/>
        <v>1.0741136802087325E-2</v>
      </c>
      <c r="P88" s="43">
        <f t="shared" si="12"/>
        <v>0.2976871636170314</v>
      </c>
      <c r="Q88" s="37">
        <f t="shared" si="13"/>
        <v>0.5672809387306389</v>
      </c>
      <c r="R88" s="37">
        <v>-6.0000000000000001E-3</v>
      </c>
      <c r="S88" s="44" t="s">
        <v>1393</v>
      </c>
      <c r="T88" s="45">
        <v>1.8539092500000001</v>
      </c>
      <c r="U88" s="45">
        <v>0.29792555500000001</v>
      </c>
      <c r="V88" s="45">
        <v>1.3938208599999999</v>
      </c>
      <c r="W88" s="45">
        <v>9.5532068700000007E-3</v>
      </c>
      <c r="X88" s="45">
        <v>3.9381685E-2</v>
      </c>
      <c r="Y88" s="45">
        <v>102.70684799999999</v>
      </c>
      <c r="Z88" s="36">
        <v>4.41</v>
      </c>
      <c r="AA88" s="38">
        <v>612</v>
      </c>
      <c r="AB88" s="38">
        <v>679</v>
      </c>
      <c r="AC88" s="49" t="s">
        <v>506</v>
      </c>
      <c r="AD88" s="39" t="s">
        <v>1371</v>
      </c>
      <c r="AE88" s="46"/>
    </row>
    <row r="89" spans="1:31" ht="15" thickBot="1">
      <c r="A89" s="34">
        <v>87</v>
      </c>
      <c r="B89" s="34" t="s">
        <v>251</v>
      </c>
      <c r="C89" s="41" t="s">
        <v>1358</v>
      </c>
      <c r="D89" s="34" t="s">
        <v>66</v>
      </c>
      <c r="E89" s="80">
        <f t="shared" si="7"/>
        <v>1.7995201381977319</v>
      </c>
      <c r="F89" s="35">
        <f t="shared" si="8"/>
        <v>42.240019907190167</v>
      </c>
      <c r="G89" s="42" cm="1">
        <f t="array" ref="G8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41.977996117327244</v>
      </c>
      <c r="H89" s="81" cm="1">
        <f t="array" ref="H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1.7938924885028673</v>
      </c>
      <c r="I89" s="81" cm="1">
        <f t="array" ref="I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1.7995201381977319</v>
      </c>
      <c r="J89" s="81" cm="1">
        <f t="array" ref="J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1.8040179225476287</v>
      </c>
      <c r="K89" s="81" cm="1">
        <f t="array" ref="K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1.81282051315708</v>
      </c>
      <c r="L89" s="81" cm="1">
        <f t="array" ref="L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1.8235639227283662</v>
      </c>
      <c r="M89" s="37">
        <f t="shared" si="9"/>
        <v>1.8928024654212727E-2</v>
      </c>
      <c r="N89" s="43">
        <f t="shared" si="10"/>
        <v>5.6276496948646226E-3</v>
      </c>
      <c r="O89" s="43">
        <f t="shared" si="11"/>
        <v>1.0743409571286167E-2</v>
      </c>
      <c r="P89" s="43">
        <f t="shared" si="12"/>
        <v>0.29731838359646795</v>
      </c>
      <c r="Q89" s="37">
        <f t="shared" si="13"/>
        <v>0.56759275030292466</v>
      </c>
      <c r="R89" s="37">
        <v>-5.5999999999999999E-3</v>
      </c>
      <c r="S89" s="44" t="s">
        <v>1393</v>
      </c>
      <c r="T89" s="45">
        <v>1.91082318</v>
      </c>
      <c r="U89" s="45">
        <v>0.23985458900000001</v>
      </c>
      <c r="V89" s="45">
        <v>1.16159733</v>
      </c>
      <c r="W89" s="45">
        <v>1.0356535199999999E-2</v>
      </c>
      <c r="X89" s="45">
        <v>4.1380508099999998E-2</v>
      </c>
      <c r="Y89" s="45">
        <v>96.603729999999999</v>
      </c>
      <c r="Z89" s="36">
        <v>4.47</v>
      </c>
      <c r="AA89" s="38">
        <v>596</v>
      </c>
      <c r="AB89" s="38">
        <v>651</v>
      </c>
      <c r="AC89" s="49" t="s">
        <v>506</v>
      </c>
      <c r="AD89" s="39" t="s">
        <v>1371</v>
      </c>
      <c r="AE89" s="46" t="s">
        <v>769</v>
      </c>
    </row>
    <row r="90" spans="1:31" ht="15" thickBot="1">
      <c r="A90" s="34">
        <v>88</v>
      </c>
      <c r="B90" s="34" t="s">
        <v>251</v>
      </c>
      <c r="C90" s="41" t="s">
        <v>1358</v>
      </c>
      <c r="D90" s="34" t="s">
        <v>67</v>
      </c>
      <c r="E90" s="80">
        <f t="shared" si="7"/>
        <v>1.8060978185383842</v>
      </c>
      <c r="F90" s="35">
        <f t="shared" si="8"/>
        <v>40.926495645030677</v>
      </c>
      <c r="G90" s="42" cm="1">
        <f t="array" ref="G9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40.6718695723075</v>
      </c>
      <c r="H90" s="81" cm="1">
        <f t="array" ref="H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1.8002478006763392</v>
      </c>
      <c r="I90" s="81" cm="1">
        <f t="array" ref="I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1.8060978185383842</v>
      </c>
      <c r="J90" s="81" cm="1">
        <f t="array" ref="J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1.8107750551547346</v>
      </c>
      <c r="K90" s="81" cm="1">
        <f t="array" ref="K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1.8199440342735165</v>
      </c>
      <c r="L90" s="81" cm="1">
        <f t="array" ref="L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1.8311749879925785</v>
      </c>
      <c r="M90" s="37">
        <f t="shared" si="9"/>
        <v>1.9696233597177315E-2</v>
      </c>
      <c r="N90" s="43">
        <f t="shared" si="10"/>
        <v>5.8500178620450871E-3</v>
      </c>
      <c r="O90" s="43">
        <f t="shared" si="11"/>
        <v>1.123095371906202E-2</v>
      </c>
      <c r="P90" s="43">
        <f t="shared" si="12"/>
        <v>0.2970120065433961</v>
      </c>
      <c r="Q90" s="37">
        <f t="shared" si="13"/>
        <v>0.57020819049747351</v>
      </c>
      <c r="R90" s="37">
        <v>-5.1999999999999998E-3</v>
      </c>
      <c r="S90" s="44" t="s">
        <v>1393</v>
      </c>
      <c r="T90" s="45">
        <v>1.9181161900000001</v>
      </c>
      <c r="U90" s="45">
        <v>0.25372439899999999</v>
      </c>
      <c r="V90" s="45">
        <v>1.39473885</v>
      </c>
      <c r="W90" s="45">
        <v>1.0214768399999999E-2</v>
      </c>
      <c r="X90" s="45">
        <v>4.3317601099999999E-2</v>
      </c>
      <c r="Y90" s="45">
        <v>101.93802100000001</v>
      </c>
      <c r="Z90" s="36">
        <v>4.43</v>
      </c>
      <c r="AA90" s="38">
        <v>611</v>
      </c>
      <c r="AB90" s="38">
        <v>687</v>
      </c>
      <c r="AC90" s="49" t="s">
        <v>506</v>
      </c>
      <c r="AD90" s="39" t="s">
        <v>1371</v>
      </c>
      <c r="AE90" s="46"/>
    </row>
    <row r="91" spans="1:31" ht="15" thickBot="1">
      <c r="A91" s="34">
        <v>89</v>
      </c>
      <c r="B91" s="34" t="s">
        <v>251</v>
      </c>
      <c r="C91" s="41" t="s">
        <v>1358</v>
      </c>
      <c r="D91" s="34" t="s">
        <v>102</v>
      </c>
      <c r="E91" s="80">
        <f t="shared" si="7"/>
        <v>1.8060993439372577</v>
      </c>
      <c r="F91" s="35">
        <f t="shared" si="8"/>
        <v>40.930290677904935</v>
      </c>
      <c r="G91" s="42" cm="1">
        <f t="array" ref="G9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40.667462934740747</v>
      </c>
      <c r="H91" s="81" cm="1">
        <f t="array" ref="H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1.8002583539030572</v>
      </c>
      <c r="I91" s="81" cm="1">
        <f t="array" ref="I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1.8060993439372577</v>
      </c>
      <c r="J91" s="81" cm="1">
        <f t="array" ref="J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1.810775713233614</v>
      </c>
      <c r="K91" s="81" cm="1">
        <f t="array" ref="K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1.8199527985450643</v>
      </c>
      <c r="L91" s="81" cm="1">
        <f t="array" ref="L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1.831206771519845</v>
      </c>
      <c r="M91" s="37">
        <f t="shared" si="9"/>
        <v>1.9694444642007092E-2</v>
      </c>
      <c r="N91" s="43">
        <f t="shared" si="10"/>
        <v>5.8409900342004661E-3</v>
      </c>
      <c r="O91" s="43">
        <f t="shared" si="11"/>
        <v>1.1253972974780702E-2</v>
      </c>
      <c r="P91" s="43">
        <f t="shared" si="12"/>
        <v>0.29658059114507745</v>
      </c>
      <c r="Q91" s="37">
        <f t="shared" si="13"/>
        <v>0.57142880539909413</v>
      </c>
      <c r="R91" s="37">
        <v>-3.8999999999999998E-3</v>
      </c>
      <c r="S91" s="44" t="s">
        <v>1393</v>
      </c>
      <c r="T91" s="45">
        <v>1.9660095500000001</v>
      </c>
      <c r="U91" s="45">
        <v>0.205143305</v>
      </c>
      <c r="V91" s="45">
        <v>1.2320093400000001</v>
      </c>
      <c r="W91" s="45">
        <v>1.07817785E-2</v>
      </c>
      <c r="X91" s="45">
        <v>4.6372786899999997E-2</v>
      </c>
      <c r="Y91" s="45">
        <v>97.694059999999993</v>
      </c>
      <c r="Z91" s="36">
        <v>4.41</v>
      </c>
      <c r="AA91" s="38">
        <v>610</v>
      </c>
      <c r="AB91" s="38">
        <v>670</v>
      </c>
      <c r="AC91" s="49" t="s">
        <v>506</v>
      </c>
      <c r="AD91" s="39" t="s">
        <v>1371</v>
      </c>
      <c r="AE91" s="46" t="s">
        <v>768</v>
      </c>
    </row>
    <row r="92" spans="1:31" ht="15" thickBot="1">
      <c r="A92" s="34">
        <v>90</v>
      </c>
      <c r="B92" s="34" t="s">
        <v>251</v>
      </c>
      <c r="C92" s="41" t="s">
        <v>1358</v>
      </c>
      <c r="D92" s="34" t="s">
        <v>68</v>
      </c>
      <c r="E92" s="80">
        <f t="shared" si="7"/>
        <v>1.8348072123448418</v>
      </c>
      <c r="F92" s="35">
        <f t="shared" si="8"/>
        <v>42.725842011049998</v>
      </c>
      <c r="G92" s="42" cm="1">
        <f t="array" ref="G9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42.475701519405362</v>
      </c>
      <c r="H92" s="81" cm="1">
        <f t="array" ref="H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1.8289809106083781</v>
      </c>
      <c r="I92" s="81" cm="1">
        <f t="array" ref="I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1.8348072123448418</v>
      </c>
      <c r="J92" s="81" cm="1">
        <f t="array" ref="J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1.839451595979527</v>
      </c>
      <c r="K92" s="81" cm="1">
        <f t="array" ref="K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1.8485196059986044</v>
      </c>
      <c r="L92" s="81" cm="1">
        <f t="array" ref="L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1.8595565138275001</v>
      </c>
      <c r="M92" s="37">
        <f t="shared" si="9"/>
        <v>1.9538695390226346E-2</v>
      </c>
      <c r="N92" s="43">
        <f t="shared" si="10"/>
        <v>5.8263017364637015E-3</v>
      </c>
      <c r="O92" s="43">
        <f t="shared" si="11"/>
        <v>1.1036907828895659E-2</v>
      </c>
      <c r="P92" s="43">
        <f t="shared" si="12"/>
        <v>0.2981929765575923</v>
      </c>
      <c r="Q92" s="37">
        <f t="shared" si="13"/>
        <v>0.56487434848984575</v>
      </c>
      <c r="R92" s="37">
        <v>-7.4999999999999997E-3</v>
      </c>
      <c r="S92" s="44" t="s">
        <v>1393</v>
      </c>
      <c r="T92" s="45">
        <v>1.9702532500000001</v>
      </c>
      <c r="U92" s="45">
        <v>0.30489413999999998</v>
      </c>
      <c r="V92" s="45">
        <v>1.3921466499999999</v>
      </c>
      <c r="W92" s="45">
        <v>9.9108813400000002E-3</v>
      </c>
      <c r="X92" s="45">
        <v>3.8320229499999997E-2</v>
      </c>
      <c r="Y92" s="45">
        <v>97.778524899999994</v>
      </c>
      <c r="Z92" s="36">
        <v>4.7300000000000004</v>
      </c>
      <c r="AA92" s="38">
        <v>697</v>
      </c>
      <c r="AB92" s="38">
        <v>749</v>
      </c>
      <c r="AC92" s="49" t="s">
        <v>506</v>
      </c>
      <c r="AD92" s="49" t="s">
        <v>506</v>
      </c>
      <c r="AE92" s="46"/>
    </row>
    <row r="93" spans="1:31" ht="15" thickBot="1">
      <c r="A93" s="34">
        <v>91</v>
      </c>
      <c r="B93" s="34" t="s">
        <v>251</v>
      </c>
      <c r="C93" s="41" t="s">
        <v>1358</v>
      </c>
      <c r="D93" s="34" t="s">
        <v>103</v>
      </c>
      <c r="E93" s="80">
        <f t="shared" si="7"/>
        <v>1.8348093668196082</v>
      </c>
      <c r="F93" s="35">
        <f t="shared" si="8"/>
        <v>42.744198644227495</v>
      </c>
      <c r="G93" s="42" cm="1">
        <f t="array" ref="G9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42.491712515662591</v>
      </c>
      <c r="H93" s="81" cm="1">
        <f t="array" ref="H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1.828988108237118</v>
      </c>
      <c r="I93" s="81" cm="1">
        <f t="array" ref="I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1.8348093668196082</v>
      </c>
      <c r="J93" s="81" cm="1">
        <f t="array" ref="J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1.8394520318867451</v>
      </c>
      <c r="K93" s="81" cm="1">
        <f t="array" ref="K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1.848518463075864</v>
      </c>
      <c r="L93" s="81" cm="1">
        <f t="array" ref="L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1.859551429283308</v>
      </c>
      <c r="M93" s="37">
        <f t="shared" si="9"/>
        <v>1.9530354838745989E-2</v>
      </c>
      <c r="N93" s="43">
        <f t="shared" si="10"/>
        <v>5.821258582490163E-3</v>
      </c>
      <c r="O93" s="43">
        <f t="shared" si="11"/>
        <v>1.1032966207443984E-2</v>
      </c>
      <c r="P93" s="43">
        <f t="shared" si="12"/>
        <v>0.29806210028204161</v>
      </c>
      <c r="Q93" s="37">
        <f t="shared" si="13"/>
        <v>0.56491376109336433</v>
      </c>
      <c r="R93" s="37">
        <v>-7.4999999999999997E-3</v>
      </c>
      <c r="S93" s="44" t="s">
        <v>1393</v>
      </c>
      <c r="T93" s="45">
        <v>1.92591095</v>
      </c>
      <c r="U93" s="45">
        <v>0.34895345999999999</v>
      </c>
      <c r="V93" s="45">
        <v>1.42230744</v>
      </c>
      <c r="W93" s="45">
        <v>9.6115248999999996E-3</v>
      </c>
      <c r="X93" s="45">
        <v>3.6513298E-2</v>
      </c>
      <c r="Y93" s="45">
        <v>103.36409</v>
      </c>
      <c r="Z93" s="36">
        <v>4.58</v>
      </c>
      <c r="AA93" s="38">
        <v>685</v>
      </c>
      <c r="AB93" s="38">
        <v>738</v>
      </c>
      <c r="AC93" s="49" t="s">
        <v>506</v>
      </c>
      <c r="AD93" s="39" t="s">
        <v>1371</v>
      </c>
      <c r="AE93" s="46" t="s">
        <v>768</v>
      </c>
    </row>
    <row r="94" spans="1:31" ht="15" thickBot="1">
      <c r="A94" s="34">
        <v>92</v>
      </c>
      <c r="B94" s="34" t="s">
        <v>251</v>
      </c>
      <c r="C94" s="41" t="s">
        <v>1358</v>
      </c>
      <c r="D94" s="34" t="s">
        <v>69</v>
      </c>
      <c r="E94" s="80">
        <f t="shared" si="7"/>
        <v>1.8829969765088193</v>
      </c>
      <c r="F94" s="35">
        <f t="shared" si="8"/>
        <v>40.765603028370677</v>
      </c>
      <c r="G94" s="42" cm="1">
        <f t="array" ref="G9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40.519951519515573</v>
      </c>
      <c r="H94" s="81" cm="1">
        <f t="array" ref="H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1.8765598190842074</v>
      </c>
      <c r="I94" s="81" cm="1">
        <f t="array" ref="I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1.8829969765088193</v>
      </c>
      <c r="J94" s="81" cm="1">
        <f t="array" ref="J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1.8881453742340939</v>
      </c>
      <c r="K94" s="81" cm="1">
        <f t="array" ref="K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1.898220162876848</v>
      </c>
      <c r="L94" s="81" cm="1">
        <f t="array" ref="L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1.9104973167202941</v>
      </c>
      <c r="M94" s="37">
        <f t="shared" si="9"/>
        <v>2.1660343792640591E-2</v>
      </c>
      <c r="N94" s="43">
        <f t="shared" si="10"/>
        <v>6.4371574246118168E-3</v>
      </c>
      <c r="O94" s="43">
        <f t="shared" si="11"/>
        <v>1.2277153843446076E-2</v>
      </c>
      <c r="P94" s="43">
        <f t="shared" si="12"/>
        <v>0.29718629982220929</v>
      </c>
      <c r="Q94" s="37">
        <f t="shared" si="13"/>
        <v>0.56680327703835487</v>
      </c>
      <c r="R94" s="37">
        <v>-8.8000000000000005E-3</v>
      </c>
      <c r="S94" s="44" t="s">
        <v>1393</v>
      </c>
      <c r="T94" s="45">
        <v>1.7876496399999999</v>
      </c>
      <c r="U94" s="45">
        <v>0.65263559999999998</v>
      </c>
      <c r="V94" s="45">
        <v>1.7991456400000001</v>
      </c>
      <c r="W94" s="45">
        <v>8.4737853599999996E-3</v>
      </c>
      <c r="X94" s="45">
        <v>3.1312640799999999E-2</v>
      </c>
      <c r="Y94" s="45">
        <v>132.78800100000001</v>
      </c>
      <c r="Z94" s="36">
        <v>5.52</v>
      </c>
      <c r="AA94" s="38">
        <v>737</v>
      </c>
      <c r="AB94" s="38">
        <v>803</v>
      </c>
      <c r="AC94" s="49" t="s">
        <v>506</v>
      </c>
      <c r="AD94" s="39" t="s">
        <v>1371</v>
      </c>
      <c r="AE94" s="46"/>
    </row>
    <row r="95" spans="1:31" ht="15" thickBot="1">
      <c r="A95" s="34">
        <v>93</v>
      </c>
      <c r="B95" s="34" t="s">
        <v>251</v>
      </c>
      <c r="C95" s="41" t="s">
        <v>1358</v>
      </c>
      <c r="D95" s="34" t="s">
        <v>70</v>
      </c>
      <c r="E95" s="80">
        <f t="shared" si="7"/>
        <v>1.8159998391054322</v>
      </c>
      <c r="F95" s="35">
        <f t="shared" si="8"/>
        <v>46.621121266208654</v>
      </c>
      <c r="G95" s="42" cm="1">
        <f t="array" ref="G9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46.370198648349124</v>
      </c>
      <c r="H95" s="81" cm="1">
        <f t="array" ref="H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1.8107488029150882</v>
      </c>
      <c r="I95" s="81" cm="1">
        <f t="array" ref="I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1.8159998391054322</v>
      </c>
      <c r="J95" s="81" cm="1">
        <f t="array" ref="J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1.8201664017065011</v>
      </c>
      <c r="K95" s="81" cm="1">
        <f t="array" ref="K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1.8282515960042127</v>
      </c>
      <c r="L95" s="81" cm="1">
        <f t="array" ref="L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1.8379977132156435</v>
      </c>
      <c r="M95" s="37">
        <f t="shared" si="9"/>
        <v>1.7502793089124502E-2</v>
      </c>
      <c r="N95" s="43">
        <f t="shared" si="10"/>
        <v>5.2510361903439495E-3</v>
      </c>
      <c r="O95" s="43">
        <f t="shared" si="11"/>
        <v>9.7461172114308159E-3</v>
      </c>
      <c r="P95" s="43">
        <f t="shared" si="12"/>
        <v>0.30001132754101528</v>
      </c>
      <c r="Q95" s="37">
        <f t="shared" si="13"/>
        <v>0.55683211026968271</v>
      </c>
      <c r="R95" s="37">
        <v>-9.1999999999999998E-3</v>
      </c>
      <c r="S95" s="44" t="s">
        <v>1393</v>
      </c>
      <c r="T95" s="45">
        <v>1.51372967</v>
      </c>
      <c r="U95" s="45">
        <v>0.70246234299999999</v>
      </c>
      <c r="V95" s="45">
        <v>1.3360098199999999</v>
      </c>
      <c r="W95" s="45">
        <v>7.0524690100000004E-3</v>
      </c>
      <c r="X95" s="45">
        <v>2.4948868900000001E-2</v>
      </c>
      <c r="Y95" s="45">
        <v>100.085908</v>
      </c>
      <c r="Z95" s="36">
        <v>5.07</v>
      </c>
      <c r="AA95" s="38">
        <v>715</v>
      </c>
      <c r="AB95" s="38">
        <v>773</v>
      </c>
      <c r="AC95" s="49" t="s">
        <v>506</v>
      </c>
      <c r="AD95" s="39" t="s">
        <v>1371</v>
      </c>
      <c r="AE95" s="46"/>
    </row>
    <row r="96" spans="1:31" ht="15" thickBot="1">
      <c r="A96" s="34">
        <v>94</v>
      </c>
      <c r="B96" s="34" t="s">
        <v>251</v>
      </c>
      <c r="C96" s="41" t="s">
        <v>1358</v>
      </c>
      <c r="D96" s="34" t="s">
        <v>71</v>
      </c>
      <c r="E96" s="80">
        <f t="shared" si="7"/>
        <v>1.8339997933652235</v>
      </c>
      <c r="F96" s="35">
        <f t="shared" si="8"/>
        <v>37.160944664381319</v>
      </c>
      <c r="G96" s="42" cm="1">
        <f t="array" ref="G9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36.916956913268507</v>
      </c>
      <c r="H96" s="81" cm="1">
        <f t="array" ref="H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1.8273756290989205</v>
      </c>
      <c r="I96" s="81" cm="1">
        <f t="array" ref="I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1.8339997933652235</v>
      </c>
      <c r="J96" s="81" cm="1">
        <f t="array" ref="J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1.8393225887193274</v>
      </c>
      <c r="K96" s="81" cm="1">
        <f t="array" ref="K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1.849818540625995</v>
      </c>
      <c r="L96" s="81" cm="1">
        <f t="array" ref="L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1.8627815830181915</v>
      </c>
      <c r="M96" s="37">
        <f t="shared" si="9"/>
        <v>2.244291152707456E-2</v>
      </c>
      <c r="N96" s="43">
        <f t="shared" si="10"/>
        <v>6.6241642663029676E-3</v>
      </c>
      <c r="O96" s="43">
        <f t="shared" si="11"/>
        <v>1.2963042392196478E-2</v>
      </c>
      <c r="P96" s="43">
        <f t="shared" si="12"/>
        <v>0.29515619033260204</v>
      </c>
      <c r="Q96" s="37">
        <f t="shared" si="13"/>
        <v>0.57760074384993187</v>
      </c>
      <c r="R96" s="37">
        <v>-3.7000000000000002E-3</v>
      </c>
      <c r="S96" s="44" t="s">
        <v>1393</v>
      </c>
      <c r="T96" s="45">
        <v>1.95243469</v>
      </c>
      <c r="U96" s="45">
        <v>0.30710020999999998</v>
      </c>
      <c r="V96" s="45">
        <v>1.56578094</v>
      </c>
      <c r="W96" s="45">
        <v>1.06442437E-2</v>
      </c>
      <c r="X96" s="45">
        <v>4.56735302E-2</v>
      </c>
      <c r="Y96" s="45">
        <v>110.28140999999999</v>
      </c>
      <c r="Z96" s="36">
        <v>4.43</v>
      </c>
      <c r="AA96" s="38">
        <v>608</v>
      </c>
      <c r="AB96" s="38">
        <v>676</v>
      </c>
      <c r="AC96" s="49" t="s">
        <v>506</v>
      </c>
      <c r="AD96" s="39" t="s">
        <v>1371</v>
      </c>
      <c r="AE96" s="46"/>
    </row>
    <row r="97" spans="1:31" ht="15" thickBot="1">
      <c r="A97" s="34">
        <v>95</v>
      </c>
      <c r="B97" s="34" t="s">
        <v>251</v>
      </c>
      <c r="C97" s="41" t="s">
        <v>1358</v>
      </c>
      <c r="D97" s="34" t="s">
        <v>72</v>
      </c>
      <c r="E97" s="80">
        <f t="shared" si="7"/>
        <v>1.8339993700648298</v>
      </c>
      <c r="F97" s="35">
        <f t="shared" si="8"/>
        <v>37.172557039240338</v>
      </c>
      <c r="G97" s="42" cm="1">
        <f t="array" ref="G9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36.91795249842523</v>
      </c>
      <c r="H97" s="81" cm="1">
        <f t="array" ref="H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1.8273922254338386</v>
      </c>
      <c r="I97" s="81" cm="1">
        <f t="array" ref="I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1.8339993700648298</v>
      </c>
      <c r="J97" s="81" cm="1">
        <f t="array" ref="J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1.8393208492684676</v>
      </c>
      <c r="K97" s="81" cm="1">
        <f t="array" ref="K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1.8498281146083293</v>
      </c>
      <c r="L97" s="81" cm="1">
        <f t="array" ref="L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1.8628111867687924</v>
      </c>
      <c r="M97" s="37">
        <f t="shared" si="9"/>
        <v>2.2435889174490686E-2</v>
      </c>
      <c r="N97" s="43">
        <f t="shared" si="10"/>
        <v>6.607144630991213E-3</v>
      </c>
      <c r="O97" s="43">
        <f t="shared" si="11"/>
        <v>1.2983072160463127E-2</v>
      </c>
      <c r="P97" s="43">
        <f t="shared" si="12"/>
        <v>0.29448998341921973</v>
      </c>
      <c r="Q97" s="37">
        <f t="shared" si="13"/>
        <v>0.57867428651879382</v>
      </c>
      <c r="R97" s="37">
        <v>-2.7000000000000001E-3</v>
      </c>
      <c r="S97" s="44" t="s">
        <v>1393</v>
      </c>
      <c r="T97" s="45">
        <v>1.9553906299999999</v>
      </c>
      <c r="U97" s="45">
        <v>0.30255021900000001</v>
      </c>
      <c r="V97" s="45">
        <v>1.3431139000000001</v>
      </c>
      <c r="W97" s="45">
        <v>1.09111365E-2</v>
      </c>
      <c r="X97" s="45">
        <v>4.5466670000000001E-2</v>
      </c>
      <c r="Y97" s="45">
        <v>113.58085</v>
      </c>
      <c r="Z97" s="36">
        <v>4.71</v>
      </c>
      <c r="AA97" s="38">
        <v>659</v>
      </c>
      <c r="AB97" s="38">
        <v>721</v>
      </c>
      <c r="AC97" s="49" t="s">
        <v>506</v>
      </c>
      <c r="AD97" s="39" t="s">
        <v>1371</v>
      </c>
      <c r="AE97" s="46" t="s">
        <v>769</v>
      </c>
    </row>
    <row r="98" spans="1:31" ht="15" thickBot="1">
      <c r="A98" s="34">
        <v>96</v>
      </c>
      <c r="B98" s="34" t="s">
        <v>251</v>
      </c>
      <c r="C98" s="41" t="s">
        <v>1358</v>
      </c>
      <c r="D98" s="34" t="s">
        <v>104</v>
      </c>
      <c r="E98" s="80">
        <f t="shared" si="7"/>
        <v>1.8339994841509621</v>
      </c>
      <c r="F98" s="35">
        <f t="shared" si="8"/>
        <v>37.207314672122195</v>
      </c>
      <c r="G98" s="42" cm="1">
        <f t="array" ref="G9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36.949314914252767</v>
      </c>
      <c r="H98" s="81" cm="1">
        <f t="array" ref="H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1.827399147063951</v>
      </c>
      <c r="I98" s="81" cm="1">
        <f t="array" ref="I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1.8339994841509621</v>
      </c>
      <c r="J98" s="81" cm="1">
        <f t="array" ref="J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1.8393128976314292</v>
      </c>
      <c r="K98" s="81" cm="1">
        <f t="array" ref="K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1.8498140805656111</v>
      </c>
      <c r="L98" s="81" cm="1">
        <f t="array" ref="L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1.8628334450012731</v>
      </c>
      <c r="M98" s="37">
        <f t="shared" si="9"/>
        <v>2.2414933501660128E-2</v>
      </c>
      <c r="N98" s="43">
        <f t="shared" si="10"/>
        <v>6.6003370870111322E-3</v>
      </c>
      <c r="O98" s="43">
        <f t="shared" si="11"/>
        <v>1.3019364435661984E-2</v>
      </c>
      <c r="P98" s="43">
        <f t="shared" si="12"/>
        <v>0.29446159572689734</v>
      </c>
      <c r="Q98" s="37">
        <f t="shared" si="13"/>
        <v>0.58083439929445813</v>
      </c>
      <c r="R98" s="37">
        <v>-5.9999999999999995E-4</v>
      </c>
      <c r="S98" s="44" t="s">
        <v>1393</v>
      </c>
      <c r="T98" s="45">
        <v>2.05081962</v>
      </c>
      <c r="U98" s="45">
        <v>0.208475257</v>
      </c>
      <c r="V98" s="45">
        <v>1.31486394</v>
      </c>
      <c r="W98" s="45">
        <v>1.16035991E-2</v>
      </c>
      <c r="X98" s="45">
        <v>5.2648935899999999E-2</v>
      </c>
      <c r="Y98" s="45">
        <v>99.380650000000003</v>
      </c>
      <c r="Z98" s="36">
        <v>4.43</v>
      </c>
      <c r="AA98" s="38">
        <v>608</v>
      </c>
      <c r="AB98" s="38">
        <v>669</v>
      </c>
      <c r="AC98" s="49" t="s">
        <v>506</v>
      </c>
      <c r="AD98" s="39" t="s">
        <v>1371</v>
      </c>
      <c r="AE98" s="46" t="s">
        <v>768</v>
      </c>
    </row>
    <row r="99" spans="1:31" ht="15" thickBot="1">
      <c r="A99" s="34">
        <v>97</v>
      </c>
      <c r="B99" s="34" t="s">
        <v>251</v>
      </c>
      <c r="C99" s="41" t="s">
        <v>1358</v>
      </c>
      <c r="D99" s="34" t="s">
        <v>73</v>
      </c>
      <c r="E99" s="80">
        <f t="shared" si="7"/>
        <v>1.8044002490164621</v>
      </c>
      <c r="F99" s="35">
        <f t="shared" si="8"/>
        <v>39.580975287905481</v>
      </c>
      <c r="G99" s="42" cm="1">
        <f t="array" ref="G9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39.311170670002966</v>
      </c>
      <c r="H99" s="81" cm="1">
        <f t="array" ref="H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1.7983968092252001</v>
      </c>
      <c r="I99" s="81" cm="1">
        <f t="array" ref="I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1.8044002490164621</v>
      </c>
      <c r="J99" s="81" cm="1">
        <f t="array" ref="J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1.8092219725854526</v>
      </c>
      <c r="K99" s="81" cm="1">
        <f t="array" ref="K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1.8187197103959112</v>
      </c>
      <c r="L99" s="81" cm="1">
        <f t="array" ref="L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1.8304306714889689</v>
      </c>
      <c r="M99" s="37">
        <f t="shared" si="9"/>
        <v>2.0322901170711116E-2</v>
      </c>
      <c r="N99" s="43">
        <f t="shared" si="10"/>
        <v>6.0034397912620552E-3</v>
      </c>
      <c r="O99" s="43">
        <f t="shared" si="11"/>
        <v>1.1710961093057692E-2</v>
      </c>
      <c r="P99" s="43">
        <f t="shared" si="12"/>
        <v>0.29540269574867933</v>
      </c>
      <c r="Q99" s="37">
        <f t="shared" si="13"/>
        <v>0.57624455262003893</v>
      </c>
      <c r="R99" s="37">
        <v>-1.1999999999999999E-3</v>
      </c>
      <c r="S99" s="44" t="s">
        <v>1393</v>
      </c>
      <c r="T99" s="45">
        <v>1.9672301699999999</v>
      </c>
      <c r="U99" s="45">
        <v>0.19495391500000001</v>
      </c>
      <c r="V99" s="45">
        <v>1.2538628199999999</v>
      </c>
      <c r="W99" s="45">
        <v>1.1045608599999999E-2</v>
      </c>
      <c r="X99" s="45">
        <v>4.9713706099999998E-2</v>
      </c>
      <c r="Y99" s="45">
        <v>104.84352</v>
      </c>
      <c r="Z99" s="36">
        <v>4.45</v>
      </c>
      <c r="AA99" s="38">
        <v>671</v>
      </c>
      <c r="AB99" s="38">
        <v>732</v>
      </c>
      <c r="AC99" s="49" t="s">
        <v>506</v>
      </c>
      <c r="AD99" s="39" t="s">
        <v>1371</v>
      </c>
      <c r="AE99" s="46" t="s">
        <v>769</v>
      </c>
    </row>
    <row r="100" spans="1:31" ht="15" thickBot="1">
      <c r="A100" s="34">
        <v>98</v>
      </c>
      <c r="B100" s="34" t="s">
        <v>251</v>
      </c>
      <c r="C100" s="41" t="s">
        <v>1358</v>
      </c>
      <c r="D100" s="34" t="s">
        <v>74</v>
      </c>
      <c r="E100" s="80">
        <f t="shared" si="7"/>
        <v>1.7880008463609149</v>
      </c>
      <c r="F100" s="35">
        <f t="shared" si="8"/>
        <v>47.369090177762786</v>
      </c>
      <c r="G100" s="42" cm="1">
        <f t="array" ref="G10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47.124406502361069</v>
      </c>
      <c r="H100" s="81" cm="1">
        <f t="array" ref="H1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1.7829980150840634</v>
      </c>
      <c r="I100" s="81" cm="1">
        <f t="array" ref="I1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1.7880008463609149</v>
      </c>
      <c r="J100" s="81" cm="1">
        <f t="array" ref="J1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1.7919603258210786</v>
      </c>
      <c r="K100" s="81" cm="1">
        <f t="array" ref="K1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1.7996333535168636</v>
      </c>
      <c r="L100" s="81" cm="1">
        <f t="array" ref="L1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1.8088825930584027</v>
      </c>
      <c r="M100" s="37">
        <f t="shared" si="9"/>
        <v>1.6635338432800184E-2</v>
      </c>
      <c r="N100" s="43">
        <f t="shared" si="10"/>
        <v>5.0028312768515271E-3</v>
      </c>
      <c r="O100" s="43">
        <f t="shared" si="11"/>
        <v>9.2492395415391115E-3</v>
      </c>
      <c r="P100" s="43">
        <f t="shared" si="12"/>
        <v>0.30073516670916406</v>
      </c>
      <c r="Q100" s="37">
        <f t="shared" si="13"/>
        <v>0.55599948139932198</v>
      </c>
      <c r="R100" s="37">
        <v>-8.8999999999999999E-3</v>
      </c>
      <c r="S100" s="44" t="s">
        <v>1393</v>
      </c>
      <c r="T100" s="45">
        <v>1.8302145299999999</v>
      </c>
      <c r="U100" s="45">
        <v>0.29156358999999998</v>
      </c>
      <c r="V100" s="45">
        <v>1.28544024</v>
      </c>
      <c r="W100" s="45">
        <v>9.0482328999999997E-3</v>
      </c>
      <c r="X100" s="45">
        <v>3.3075668900000001E-2</v>
      </c>
      <c r="Y100" s="45">
        <v>89.367550100000003</v>
      </c>
      <c r="Z100" s="36">
        <v>4.3</v>
      </c>
      <c r="AA100" s="38">
        <v>685</v>
      </c>
      <c r="AB100" s="38">
        <v>732</v>
      </c>
      <c r="AC100" s="49" t="s">
        <v>506</v>
      </c>
      <c r="AD100" s="39" t="s">
        <v>1371</v>
      </c>
      <c r="AE100" s="46"/>
    </row>
    <row r="101" spans="1:31" ht="15" thickBot="1">
      <c r="A101" s="34">
        <v>99</v>
      </c>
      <c r="B101" s="34" t="s">
        <v>251</v>
      </c>
      <c r="C101" s="41" t="s">
        <v>1358</v>
      </c>
      <c r="D101" s="34" t="s">
        <v>75</v>
      </c>
      <c r="E101" s="80">
        <f t="shared" si="7"/>
        <v>1.8039994992065882</v>
      </c>
      <c r="F101" s="35">
        <f t="shared" si="8"/>
        <v>46.583991735193997</v>
      </c>
      <c r="G101" s="42" cm="1">
        <f t="array" ref="G10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46.337856130934739</v>
      </c>
      <c r="H101" s="81" cm="1">
        <f t="array" ref="H1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1.7988164926224071</v>
      </c>
      <c r="I101" s="81" cm="1">
        <f t="array" ref="I1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1.8039994992065882</v>
      </c>
      <c r="J101" s="81" cm="1">
        <f t="array" ref="J1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1.8081067328183589</v>
      </c>
      <c r="K101" s="81" cm="1">
        <f t="array" ref="K1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1.8160756297048819</v>
      </c>
      <c r="L101" s="81" cm="1">
        <f t="array" ref="L1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1.8256943826125382</v>
      </c>
      <c r="M101" s="37">
        <f t="shared" si="9"/>
        <v>1.725913708247484E-2</v>
      </c>
      <c r="N101" s="43">
        <f t="shared" si="10"/>
        <v>5.1830065841811379E-3</v>
      </c>
      <c r="O101" s="43">
        <f t="shared" si="11"/>
        <v>9.6187529076563472E-3</v>
      </c>
      <c r="P101" s="43">
        <f t="shared" si="12"/>
        <v>0.30030508242755849</v>
      </c>
      <c r="Q101" s="37">
        <f t="shared" si="13"/>
        <v>0.55731366300018315</v>
      </c>
      <c r="R101" s="37">
        <v>-8.8000000000000005E-3</v>
      </c>
      <c r="S101" s="44" t="s">
        <v>1393</v>
      </c>
      <c r="T101" s="45">
        <v>1.8141903399999999</v>
      </c>
      <c r="U101" s="45">
        <v>0.36137630100000001</v>
      </c>
      <c r="V101" s="45">
        <v>1.32729484</v>
      </c>
      <c r="W101" s="45">
        <v>8.7493502899999992E-3</v>
      </c>
      <c r="X101" s="45">
        <v>3.18352836E-2</v>
      </c>
      <c r="Y101" s="45">
        <v>91.340689800000007</v>
      </c>
      <c r="Z101" s="36">
        <v>4.72</v>
      </c>
      <c r="AA101" s="38">
        <v>690</v>
      </c>
      <c r="AB101" s="38">
        <v>740</v>
      </c>
      <c r="AC101" s="49" t="s">
        <v>506</v>
      </c>
      <c r="AD101" s="49" t="s">
        <v>506</v>
      </c>
      <c r="AE101" s="46"/>
    </row>
    <row r="102" spans="1:31" ht="15" thickBot="1">
      <c r="A102" s="34">
        <v>100</v>
      </c>
      <c r="B102" s="34" t="s">
        <v>251</v>
      </c>
      <c r="C102" s="41" t="s">
        <v>1358</v>
      </c>
      <c r="D102" s="34" t="s">
        <v>105</v>
      </c>
      <c r="E102" s="80">
        <f t="shared" si="7"/>
        <v>1.8039995602556678</v>
      </c>
      <c r="F102" s="35">
        <f t="shared" si="8"/>
        <v>46.528091976878208</v>
      </c>
      <c r="G102" s="42" cm="1">
        <f t="array" ref="G10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46.275972313778247</v>
      </c>
      <c r="H102" s="81" cm="1">
        <f t="array" ref="H1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1.7988161833397001</v>
      </c>
      <c r="I102" s="81" cm="1">
        <f t="array" ref="I1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1.8039995602556678</v>
      </c>
      <c r="J102" s="81" cm="1">
        <f t="array" ref="J1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1.8081119700743287</v>
      </c>
      <c r="K102" s="81" cm="1">
        <f t="array" ref="K1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1.8160960571985982</v>
      </c>
      <c r="L102" s="81" cm="1">
        <f t="array" ref="L1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1.8257342570147332</v>
      </c>
      <c r="M102" s="37">
        <f t="shared" si="9"/>
        <v>1.7279873858898176E-2</v>
      </c>
      <c r="N102" s="43">
        <f t="shared" si="10"/>
        <v>5.1833769159677079E-3</v>
      </c>
      <c r="O102" s="43">
        <f t="shared" si="11"/>
        <v>9.6381998161350069E-3</v>
      </c>
      <c r="P102" s="43">
        <f t="shared" si="12"/>
        <v>0.2999661315987302</v>
      </c>
      <c r="Q102" s="37">
        <f t="shared" si="13"/>
        <v>0.55777026469275226</v>
      </c>
      <c r="R102" s="37">
        <v>-8.5000000000000006E-3</v>
      </c>
      <c r="S102" s="44" t="s">
        <v>1393</v>
      </c>
      <c r="T102" s="45">
        <v>1.7606842199999999</v>
      </c>
      <c r="U102" s="45">
        <v>0.41412890600000002</v>
      </c>
      <c r="V102" s="45">
        <v>1.3341543899999999</v>
      </c>
      <c r="W102" s="45">
        <v>8.5360719800000005E-3</v>
      </c>
      <c r="X102" s="45">
        <v>3.0182638299999998E-2</v>
      </c>
      <c r="Y102" s="45">
        <v>98.094210000000004</v>
      </c>
      <c r="Z102" s="36">
        <v>4.46</v>
      </c>
      <c r="AA102" s="38">
        <v>696</v>
      </c>
      <c r="AB102" s="38">
        <v>745</v>
      </c>
      <c r="AC102" s="49" t="s">
        <v>506</v>
      </c>
      <c r="AD102" s="39" t="s">
        <v>1371</v>
      </c>
      <c r="AE102" s="46" t="s">
        <v>768</v>
      </c>
    </row>
    <row r="103" spans="1:31" ht="15" thickBot="1">
      <c r="A103" s="34">
        <v>101</v>
      </c>
      <c r="B103" s="34" t="s">
        <v>251</v>
      </c>
      <c r="C103" s="41" t="s">
        <v>1358</v>
      </c>
      <c r="D103" s="34" t="s">
        <v>76</v>
      </c>
      <c r="E103" s="80">
        <f t="shared" si="7"/>
        <v>1.7724988556521304</v>
      </c>
      <c r="F103" s="35">
        <f t="shared" si="8"/>
        <v>49.598963505509388</v>
      </c>
      <c r="G103" s="42" cm="1">
        <f t="array" ref="G10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49.35753002882231</v>
      </c>
      <c r="H103" s="81" cm="1">
        <f t="array" ref="H1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1.767798302882492</v>
      </c>
      <c r="I103" s="81" cm="1">
        <f t="array" ref="I1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1.7724988556521304</v>
      </c>
      <c r="J103" s="81" cm="1">
        <f t="array" ref="J1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1.7762080469213959</v>
      </c>
      <c r="K103" s="81" cm="1">
        <f t="array" ref="K1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1.7833732020548572</v>
      </c>
      <c r="L103" s="81" cm="1">
        <f t="array" ref="L1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1.7919725887421867</v>
      </c>
      <c r="M103" s="37">
        <f t="shared" si="9"/>
        <v>1.5574899172365209E-2</v>
      </c>
      <c r="N103" s="43">
        <f t="shared" si="10"/>
        <v>4.700552769638433E-3</v>
      </c>
      <c r="O103" s="43">
        <f t="shared" si="11"/>
        <v>8.5993866873295133E-3</v>
      </c>
      <c r="P103" s="43">
        <f t="shared" si="12"/>
        <v>0.30180309468575556</v>
      </c>
      <c r="Q103" s="37">
        <f t="shared" si="13"/>
        <v>0.55213113049152462</v>
      </c>
      <c r="R103" s="37">
        <v>-9.1999999999999998E-3</v>
      </c>
      <c r="S103" s="44" t="s">
        <v>1393</v>
      </c>
      <c r="T103" s="45">
        <v>1.39280586</v>
      </c>
      <c r="U103" s="45">
        <v>0.67957709399999999</v>
      </c>
      <c r="V103" s="45">
        <v>1.3870206899999999</v>
      </c>
      <c r="W103" s="45">
        <v>6.0847511800000004E-3</v>
      </c>
      <c r="X103" s="45">
        <v>2.33925351E-2</v>
      </c>
      <c r="Y103" s="45">
        <v>95.835409400000003</v>
      </c>
      <c r="Z103" s="36">
        <v>4.2300000000000004</v>
      </c>
      <c r="AA103" s="38">
        <v>686</v>
      </c>
      <c r="AB103" s="38">
        <v>726</v>
      </c>
      <c r="AC103" s="49" t="s">
        <v>506</v>
      </c>
      <c r="AD103" s="39" t="s">
        <v>1371</v>
      </c>
      <c r="AE103" s="46"/>
    </row>
    <row r="104" spans="1:31" ht="15" thickBot="1">
      <c r="A104" s="34">
        <v>102</v>
      </c>
      <c r="B104" s="34" t="s">
        <v>251</v>
      </c>
      <c r="C104" s="41" t="s">
        <v>1358</v>
      </c>
      <c r="D104" s="34" t="s">
        <v>1139</v>
      </c>
      <c r="E104" s="80">
        <f t="shared" si="7"/>
        <v>1.772498392759422</v>
      </c>
      <c r="F104" s="35">
        <f t="shared" si="8"/>
        <v>49.548505418982884</v>
      </c>
      <c r="G104" s="42" cm="1">
        <f t="array" ref="G10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49.309212574577209</v>
      </c>
      <c r="H104" s="81" cm="1">
        <f t="array" ref="H1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1.7677919524013375</v>
      </c>
      <c r="I104" s="81" cm="1">
        <f t="array" ref="I1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1.772498392759422</v>
      </c>
      <c r="J104" s="81" cm="1">
        <f t="array" ref="J1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1.7762115581577871</v>
      </c>
      <c r="K104" s="81" cm="1">
        <f t="array" ref="K1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1.783382703045119</v>
      </c>
      <c r="L104" s="81" cm="1">
        <f t="array" ref="L1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1.7919873025742192</v>
      </c>
      <c r="M104" s="37">
        <f t="shared" si="9"/>
        <v>1.559075064378157E-2</v>
      </c>
      <c r="N104" s="43">
        <f t="shared" si="10"/>
        <v>4.7064403580845404E-3</v>
      </c>
      <c r="O104" s="43">
        <f t="shared" si="11"/>
        <v>8.6045995291001987E-3</v>
      </c>
      <c r="P104" s="43">
        <f t="shared" si="12"/>
        <v>0.3018738780202172</v>
      </c>
      <c r="Q104" s="37">
        <f t="shared" si="13"/>
        <v>0.55190412095598329</v>
      </c>
      <c r="R104" s="37">
        <v>-9.4000000000000004E-3</v>
      </c>
      <c r="S104" s="44" t="s">
        <v>1393</v>
      </c>
      <c r="T104" s="45">
        <v>1.6634439599999999</v>
      </c>
      <c r="U104" s="45">
        <v>0.40870859199999998</v>
      </c>
      <c r="V104" s="45">
        <v>1.22168283</v>
      </c>
      <c r="W104" s="45">
        <v>7.9939241200000007E-3</v>
      </c>
      <c r="X104" s="45">
        <v>2.73425739E-2</v>
      </c>
      <c r="Y104" s="45">
        <v>84.911420000000007</v>
      </c>
      <c r="Z104" s="36">
        <v>4.2300000000000004</v>
      </c>
      <c r="AA104" s="38">
        <v>686</v>
      </c>
      <c r="AB104" s="38">
        <v>726</v>
      </c>
      <c r="AC104" s="49" t="s">
        <v>506</v>
      </c>
      <c r="AD104" s="39" t="s">
        <v>1371</v>
      </c>
      <c r="AE104" s="46" t="s">
        <v>1143</v>
      </c>
    </row>
    <row r="105" spans="1:31" ht="15" thickBot="1">
      <c r="A105" s="34">
        <v>103</v>
      </c>
      <c r="B105" s="34" t="s">
        <v>251</v>
      </c>
      <c r="C105" s="41" t="s">
        <v>1358</v>
      </c>
      <c r="D105" s="34" t="s">
        <v>77</v>
      </c>
      <c r="E105" s="80">
        <f t="shared" si="7"/>
        <v>1.8502589580604893</v>
      </c>
      <c r="F105" s="35">
        <f t="shared" si="8"/>
        <v>32.270523393501108</v>
      </c>
      <c r="G105" s="42" cm="1">
        <f t="array" ref="G10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32.02643801006662</v>
      </c>
      <c r="H105" s="81" cm="1">
        <f t="array" ref="H1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1.8425859812108798</v>
      </c>
      <c r="I105" s="81" cm="1">
        <f t="array" ref="I1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1.8502589580604893</v>
      </c>
      <c r="J105" s="81" cm="1">
        <f t="array" ref="J1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1.8564924106618532</v>
      </c>
      <c r="K105" s="81" cm="1">
        <f t="array" ref="K1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1.8689338327065801</v>
      </c>
      <c r="L105" s="81" cm="1">
        <f t="array" ref="L1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1.8845583700813258</v>
      </c>
      <c r="M105" s="37">
        <f t="shared" si="9"/>
        <v>2.6347851495700292E-2</v>
      </c>
      <c r="N105" s="43">
        <f t="shared" si="10"/>
        <v>7.6729768496095474E-3</v>
      </c>
      <c r="O105" s="43">
        <f t="shared" si="11"/>
        <v>1.5624537374745673E-2</v>
      </c>
      <c r="P105" s="43">
        <f t="shared" si="12"/>
        <v>0.29121831246322688</v>
      </c>
      <c r="Q105" s="37">
        <f t="shared" si="13"/>
        <v>0.59300992254702223</v>
      </c>
      <c r="R105" s="37">
        <v>3.5999999999999999E-3</v>
      </c>
      <c r="S105" s="44" t="s">
        <v>1393</v>
      </c>
      <c r="T105" s="45">
        <v>1.98280031</v>
      </c>
      <c r="U105" s="45">
        <v>0.31675845000000002</v>
      </c>
      <c r="V105" s="45">
        <v>2.44472646</v>
      </c>
      <c r="W105" s="45">
        <v>1.18987459E-2</v>
      </c>
      <c r="X105" s="45">
        <v>5.2715600100000003E-2</v>
      </c>
      <c r="Y105" s="45">
        <v>213.220697</v>
      </c>
      <c r="Z105" s="36">
        <v>4.3600000000000003</v>
      </c>
      <c r="AA105" s="38">
        <v>704</v>
      </c>
      <c r="AB105" s="38">
        <v>802</v>
      </c>
      <c r="AC105" s="49" t="s">
        <v>506</v>
      </c>
      <c r="AD105" s="49" t="s">
        <v>506</v>
      </c>
      <c r="AE105" s="46"/>
    </row>
    <row r="106" spans="1:31" ht="15" thickBot="1">
      <c r="A106" s="34">
        <v>104</v>
      </c>
      <c r="B106" s="34" t="s">
        <v>251</v>
      </c>
      <c r="C106" s="41" t="s">
        <v>1358</v>
      </c>
      <c r="D106" s="34" t="s">
        <v>78</v>
      </c>
      <c r="E106" s="80">
        <f t="shared" si="7"/>
        <v>2.0033000682967304</v>
      </c>
      <c r="F106" s="35">
        <f t="shared" si="8"/>
        <v>28.273636001302581</v>
      </c>
      <c r="G106" s="42" cm="1">
        <f t="array" ref="G10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28.07093981182582</v>
      </c>
      <c r="H106" s="81" cm="1">
        <f t="array" ref="H1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1.9930106629389994</v>
      </c>
      <c r="I106" s="81" cm="1">
        <f t="array" ref="I1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2.0033000682967304</v>
      </c>
      <c r="J106" s="81" cm="1">
        <f t="array" ref="J1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2.0116878926992743</v>
      </c>
      <c r="K106" s="81" cm="1">
        <f t="array" ref="K1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2.0284960199779918</v>
      </c>
      <c r="L106" s="81" cm="1">
        <f t="array" ref="L1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2.0497176328379951</v>
      </c>
      <c r="M106" s="37">
        <f t="shared" si="9"/>
        <v>3.548535703899236E-2</v>
      </c>
      <c r="N106" s="43">
        <f t="shared" si="10"/>
        <v>1.028940535773093E-2</v>
      </c>
      <c r="O106" s="43">
        <f t="shared" si="11"/>
        <v>2.1221612860003347E-2</v>
      </c>
      <c r="P106" s="43">
        <f t="shared" si="12"/>
        <v>0.28996200732670174</v>
      </c>
      <c r="Q106" s="37">
        <f t="shared" si="13"/>
        <v>0.59803858917593566</v>
      </c>
      <c r="R106" s="37">
        <v>2.3E-3</v>
      </c>
      <c r="S106" s="44" t="s">
        <v>1393</v>
      </c>
      <c r="T106" s="45">
        <v>2.3255714799999998</v>
      </c>
      <c r="U106" s="45">
        <v>0.50796713299999996</v>
      </c>
      <c r="V106" s="45">
        <v>2.43087198</v>
      </c>
      <c r="W106" s="45">
        <v>1.3289520799999999E-2</v>
      </c>
      <c r="X106" s="45">
        <v>5.2833544900000001E-2</v>
      </c>
      <c r="Y106" s="45">
        <v>161.12240800000001</v>
      </c>
      <c r="Z106" s="36">
        <v>5.23</v>
      </c>
      <c r="AA106" s="38">
        <v>702</v>
      </c>
      <c r="AB106" s="38"/>
      <c r="AC106" s="49" t="s">
        <v>506</v>
      </c>
      <c r="AD106" s="49" t="s">
        <v>506</v>
      </c>
      <c r="AE106" s="46"/>
    </row>
    <row r="107" spans="1:31" ht="15" thickBot="1">
      <c r="A107" s="34">
        <v>105</v>
      </c>
      <c r="B107" s="34" t="s">
        <v>251</v>
      </c>
      <c r="C107" s="41" t="s">
        <v>1358</v>
      </c>
      <c r="D107" s="34" t="s">
        <v>79</v>
      </c>
      <c r="E107" s="80">
        <f t="shared" si="7"/>
        <v>1.9164994002814211</v>
      </c>
      <c r="F107" s="35">
        <f t="shared" si="8"/>
        <v>31.604543032570483</v>
      </c>
      <c r="G107" s="42" cm="1">
        <f t="array" ref="G10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31.38020123610039</v>
      </c>
      <c r="H107" s="81" cm="1">
        <f t="array" ref="H1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1.908034402487677</v>
      </c>
      <c r="I107" s="81" cm="1">
        <f t="array" ref="I1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1.9164994002814211</v>
      </c>
      <c r="J107" s="81" cm="1">
        <f t="array" ref="J1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1.9233608841052272</v>
      </c>
      <c r="K107" s="81" cm="1">
        <f t="array" ref="K1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1.9370333789745988</v>
      </c>
      <c r="L107" s="81" cm="1">
        <f t="array" ref="L1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1.9541772064920977</v>
      </c>
      <c r="M107" s="37">
        <f t="shared" si="9"/>
        <v>2.8998976486921846E-2</v>
      </c>
      <c r="N107" s="43">
        <f t="shared" si="10"/>
        <v>8.4649977937441001E-3</v>
      </c>
      <c r="O107" s="43">
        <f t="shared" si="11"/>
        <v>1.7143827517498877E-2</v>
      </c>
      <c r="P107" s="43">
        <f t="shared" si="12"/>
        <v>0.29190677807410553</v>
      </c>
      <c r="Q107" s="37">
        <f t="shared" si="13"/>
        <v>0.59118733122289735</v>
      </c>
      <c r="R107" s="37">
        <v>8.0000000000000004E-4</v>
      </c>
      <c r="S107" s="44" t="s">
        <v>1393</v>
      </c>
      <c r="T107" s="45">
        <v>2.1284434000000001</v>
      </c>
      <c r="U107" s="45">
        <v>0.40508213900000001</v>
      </c>
      <c r="V107" s="45">
        <v>1.6791846100000001</v>
      </c>
      <c r="W107" s="45">
        <v>1.1730981499999999E-2</v>
      </c>
      <c r="X107" s="45">
        <v>5.0870659899999997E-2</v>
      </c>
      <c r="Y107" s="45">
        <v>107.09145599999999</v>
      </c>
      <c r="Z107" s="36">
        <v>4.74</v>
      </c>
      <c r="AA107" s="38">
        <v>625</v>
      </c>
      <c r="AB107" s="38">
        <v>677</v>
      </c>
      <c r="AC107" s="49" t="s">
        <v>506</v>
      </c>
      <c r="AD107" s="39" t="s">
        <v>1371</v>
      </c>
      <c r="AE107" s="46" t="s">
        <v>249</v>
      </c>
    </row>
    <row r="108" spans="1:31" ht="15" thickBot="1">
      <c r="A108" s="34">
        <v>106</v>
      </c>
      <c r="B108" s="34" t="s">
        <v>251</v>
      </c>
      <c r="C108" s="41" t="s">
        <v>1358</v>
      </c>
      <c r="D108" s="34" t="s">
        <v>106</v>
      </c>
      <c r="E108" s="80">
        <f t="shared" si="7"/>
        <v>1.8514995568099992</v>
      </c>
      <c r="F108" s="35">
        <f t="shared" si="8"/>
        <v>40.782766316094651</v>
      </c>
      <c r="G108" s="42" cm="1">
        <f t="array" ref="G10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40.52640609885534</v>
      </c>
      <c r="H108" s="81" cm="1">
        <f t="array" ref="H1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1.8453041091536975</v>
      </c>
      <c r="I108" s="81" cm="1">
        <f t="array" ref="I1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1.8514995568099992</v>
      </c>
      <c r="J108" s="81" cm="1">
        <f t="array" ref="J1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1.8564592833228595</v>
      </c>
      <c r="K108" s="81" cm="1">
        <f t="array" ref="K1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1.8661830154596182</v>
      </c>
      <c r="L108" s="81" cm="1">
        <f t="array" ref="L1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1.8780755651826715</v>
      </c>
      <c r="M108" s="37">
        <f t="shared" si="9"/>
        <v>2.0878906305920708E-2</v>
      </c>
      <c r="N108" s="43">
        <f t="shared" si="10"/>
        <v>6.1954476563017558E-3</v>
      </c>
      <c r="O108" s="43">
        <f t="shared" si="11"/>
        <v>1.1892549723053314E-2</v>
      </c>
      <c r="P108" s="43">
        <f t="shared" si="12"/>
        <v>0.29673238461465246</v>
      </c>
      <c r="Q108" s="37">
        <f t="shared" si="13"/>
        <v>0.56959639306781595</v>
      </c>
      <c r="R108" s="37">
        <v>-6.0000000000000001E-3</v>
      </c>
      <c r="S108" s="44" t="s">
        <v>1393</v>
      </c>
      <c r="T108" s="45">
        <v>1.9511882700000001</v>
      </c>
      <c r="U108" s="45">
        <v>0.37760722299999999</v>
      </c>
      <c r="V108" s="45">
        <v>1.4775726199999999</v>
      </c>
      <c r="W108" s="45">
        <v>9.7656079899999994E-3</v>
      </c>
      <c r="X108" s="45">
        <v>3.8223204300000001E-2</v>
      </c>
      <c r="Y108" s="45">
        <v>112.23672000000001</v>
      </c>
      <c r="Z108" s="36">
        <v>4.7</v>
      </c>
      <c r="AA108" s="38">
        <v>680</v>
      </c>
      <c r="AB108" s="38">
        <v>743</v>
      </c>
      <c r="AC108" s="49" t="s">
        <v>506</v>
      </c>
      <c r="AD108" s="39" t="s">
        <v>1371</v>
      </c>
      <c r="AE108" s="46"/>
    </row>
    <row r="109" spans="1:31" ht="15" thickBot="1">
      <c r="A109" s="34">
        <v>107</v>
      </c>
      <c r="B109" s="34" t="s">
        <v>251</v>
      </c>
      <c r="C109" s="41" t="s">
        <v>1358</v>
      </c>
      <c r="D109" s="34" t="s">
        <v>107</v>
      </c>
      <c r="E109" s="80">
        <f t="shared" si="7"/>
        <v>1.891899355726341</v>
      </c>
      <c r="F109" s="35">
        <f t="shared" si="8"/>
        <v>37.134481055739833</v>
      </c>
      <c r="G109" s="42" cm="1">
        <f t="array" ref="G10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36.882589408514512</v>
      </c>
      <c r="H109" s="81" cm="1">
        <f t="array" ref="H1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1.8848235015801214</v>
      </c>
      <c r="I109" s="81" cm="1">
        <f t="array" ref="I1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1.891899355726341</v>
      </c>
      <c r="J109" s="81" cm="1">
        <f t="array" ref="J1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1.8975966001391582</v>
      </c>
      <c r="K109" s="81" cm="1">
        <f t="array" ref="K1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1.9088415928626568</v>
      </c>
      <c r="L109" s="81" cm="1">
        <f t="array" ref="L1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1.9227275469824328</v>
      </c>
      <c r="M109" s="37">
        <f t="shared" si="9"/>
        <v>2.4018091282535403E-2</v>
      </c>
      <c r="N109" s="43">
        <f t="shared" si="10"/>
        <v>7.0758541462196956E-3</v>
      </c>
      <c r="O109" s="43">
        <f t="shared" si="11"/>
        <v>1.3885954119776001E-2</v>
      </c>
      <c r="P109" s="43">
        <f t="shared" si="12"/>
        <v>0.29460518169338695</v>
      </c>
      <c r="Q109" s="37">
        <f t="shared" si="13"/>
        <v>0.57814561350564442</v>
      </c>
      <c r="R109" s="37">
        <v>-3.3999999999999998E-3</v>
      </c>
      <c r="S109" s="44" t="s">
        <v>1393</v>
      </c>
      <c r="T109" s="45">
        <v>2.1044031099999998</v>
      </c>
      <c r="U109" s="45">
        <v>0.358346161</v>
      </c>
      <c r="V109" s="45">
        <v>1.63010064</v>
      </c>
      <c r="W109" s="45">
        <v>1.08531811E-2</v>
      </c>
      <c r="X109" s="45">
        <v>4.4340591999999998E-2</v>
      </c>
      <c r="Y109" s="45">
        <v>123.24979999999999</v>
      </c>
      <c r="Z109" s="36">
        <v>4.87</v>
      </c>
      <c r="AA109" s="38">
        <v>692</v>
      </c>
      <c r="AB109" s="38">
        <v>761</v>
      </c>
      <c r="AC109" s="49" t="s">
        <v>506</v>
      </c>
      <c r="AD109" s="39" t="s">
        <v>1371</v>
      </c>
      <c r="AE109" s="46"/>
    </row>
    <row r="110" spans="1:31" ht="15" thickBot="1">
      <c r="A110" s="34">
        <v>108</v>
      </c>
      <c r="B110" s="34" t="s">
        <v>251</v>
      </c>
      <c r="C110" s="41" t="s">
        <v>1358</v>
      </c>
      <c r="D110" s="34" t="s">
        <v>108</v>
      </c>
      <c r="E110" s="80">
        <f t="shared" si="7"/>
        <v>1.9052499197613004</v>
      </c>
      <c r="F110" s="35">
        <f t="shared" si="8"/>
        <v>35.037260217666699</v>
      </c>
      <c r="G110" s="42" cm="1">
        <f t="array" ref="G11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34.785917049849097</v>
      </c>
      <c r="H110" s="81" cm="1">
        <f t="array" ref="H1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1.8976767997125359</v>
      </c>
      <c r="I110" s="81" cm="1">
        <f t="array" ref="I1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1.9052499197613004</v>
      </c>
      <c r="J110" s="81" cm="1">
        <f t="array" ref="J1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1.9113711647297251</v>
      </c>
      <c r="K110" s="81" cm="1">
        <f t="array" ref="K1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1.9235135778777661</v>
      </c>
      <c r="L110" s="81" cm="1">
        <f t="array" ref="L1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1.938624988051693</v>
      </c>
      <c r="M110" s="37">
        <f t="shared" si="9"/>
        <v>2.5836778165230223E-2</v>
      </c>
      <c r="N110" s="43">
        <f t="shared" si="10"/>
        <v>7.5731200487645367E-3</v>
      </c>
      <c r="O110" s="43">
        <f t="shared" si="11"/>
        <v>1.511141017392692E-2</v>
      </c>
      <c r="P110" s="43">
        <f t="shared" si="12"/>
        <v>0.29311394788983569</v>
      </c>
      <c r="Q110" s="37">
        <f t="shared" si="13"/>
        <v>0.5848798204360891</v>
      </c>
      <c r="R110" s="37">
        <v>0</v>
      </c>
      <c r="S110" s="44" t="s">
        <v>1393</v>
      </c>
      <c r="T110" s="45">
        <v>2.1788437799999998</v>
      </c>
      <c r="U110" s="45">
        <v>0.32550868300000002</v>
      </c>
      <c r="V110" s="45">
        <v>1.7060864600000001</v>
      </c>
      <c r="W110" s="45">
        <v>1.15760879E-2</v>
      </c>
      <c r="X110" s="45">
        <v>4.9598250300000001E-2</v>
      </c>
      <c r="Y110" s="45">
        <v>128.91358</v>
      </c>
      <c r="Z110" s="36">
        <v>4.83</v>
      </c>
      <c r="AA110" s="38">
        <v>688</v>
      </c>
      <c r="AB110" s="38">
        <v>761</v>
      </c>
      <c r="AC110" s="49" t="s">
        <v>506</v>
      </c>
      <c r="AD110" s="39" t="s">
        <v>1371</v>
      </c>
      <c r="AE110" s="46"/>
    </row>
    <row r="111" spans="1:31" ht="15" thickBot="1">
      <c r="A111" s="34">
        <v>109</v>
      </c>
      <c r="B111" s="34" t="s">
        <v>251</v>
      </c>
      <c r="C111" s="41" t="s">
        <v>1358</v>
      </c>
      <c r="D111" s="34" t="s">
        <v>80</v>
      </c>
      <c r="E111" s="80">
        <f t="shared" si="7"/>
        <v>1.9036594110544613</v>
      </c>
      <c r="F111" s="35">
        <f t="shared" si="8"/>
        <v>31.343458393234734</v>
      </c>
      <c r="G111" s="42" cm="1">
        <f t="array" ref="G11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31.104226558082086</v>
      </c>
      <c r="H111" s="81" cm="1">
        <f t="array" ref="H1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1.8952769886660195</v>
      </c>
      <c r="I111" s="81" cm="1">
        <f t="array" ref="I1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1.9036594110544613</v>
      </c>
      <c r="J111" s="81" cm="1">
        <f t="array" ref="J1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1.9104752595176642</v>
      </c>
      <c r="K111" s="81" cm="1">
        <f t="array" ref="K1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1.9241078662200264</v>
      </c>
      <c r="L111" s="81" cm="1">
        <f t="array" ref="L1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1.9413018043933652</v>
      </c>
      <c r="M111" s="37">
        <f t="shared" si="9"/>
        <v>2.8830877554006928E-2</v>
      </c>
      <c r="N111" s="43">
        <f t="shared" si="10"/>
        <v>8.3824223884418902E-3</v>
      </c>
      <c r="O111" s="43">
        <f t="shared" si="11"/>
        <v>1.7193938173338807E-2</v>
      </c>
      <c r="P111" s="43">
        <f t="shared" si="12"/>
        <v>0.29074461478807456</v>
      </c>
      <c r="Q111" s="37">
        <f t="shared" si="13"/>
        <v>0.59637234909449321</v>
      </c>
      <c r="R111" s="37">
        <v>5.4999999999999997E-3</v>
      </c>
      <c r="S111" s="44" t="s">
        <v>1393</v>
      </c>
      <c r="T111" s="45">
        <v>2.1563661700000001</v>
      </c>
      <c r="U111" s="45">
        <v>0.32955817799999998</v>
      </c>
      <c r="V111" s="45">
        <v>1.7217893500000001</v>
      </c>
      <c r="W111" s="45">
        <v>1.2288050999999999E-2</v>
      </c>
      <c r="X111" s="45">
        <v>5.5550783499999999E-2</v>
      </c>
      <c r="Y111" s="45">
        <v>124.43934</v>
      </c>
      <c r="Z111" s="36">
        <v>4.6399999999999997</v>
      </c>
      <c r="AA111" s="38">
        <v>650</v>
      </c>
      <c r="AB111" s="38">
        <v>713</v>
      </c>
      <c r="AC111" s="49" t="s">
        <v>506</v>
      </c>
      <c r="AD111" s="39" t="s">
        <v>1371</v>
      </c>
      <c r="AE111" s="46"/>
    </row>
    <row r="112" spans="1:31" ht="15" thickBot="1">
      <c r="A112" s="34">
        <v>110</v>
      </c>
      <c r="B112" s="34" t="s">
        <v>251</v>
      </c>
      <c r="C112" s="41" t="s">
        <v>1358</v>
      </c>
      <c r="D112" s="34" t="s">
        <v>81</v>
      </c>
      <c r="E112" s="80">
        <f t="shared" si="7"/>
        <v>1.7638501098155421</v>
      </c>
      <c r="F112" s="35">
        <f t="shared" si="8"/>
        <v>48.489276235073305</v>
      </c>
      <c r="G112" s="42" cm="1">
        <f t="array" ref="G11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48.209910247730249</v>
      </c>
      <c r="H112" s="81" cm="1">
        <f t="array" ref="H1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1.7591289350415271</v>
      </c>
      <c r="I112" s="81" cm="1">
        <f t="array" ref="I1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1.7638501098155421</v>
      </c>
      <c r="J112" s="81" cm="1">
        <f t="array" ref="J1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1.7675984399419236</v>
      </c>
      <c r="K112" s="81" cm="1">
        <f t="array" ref="K1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1.7748819049582658</v>
      </c>
      <c r="L112" s="81" cm="1">
        <f t="array" ref="L1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1.7836877154302508</v>
      </c>
      <c r="M112" s="37">
        <f t="shared" si="9"/>
        <v>1.5752969916738691E-2</v>
      </c>
      <c r="N112" s="43">
        <f t="shared" si="10"/>
        <v>4.7211747740150134E-3</v>
      </c>
      <c r="O112" s="43">
        <f t="shared" si="11"/>
        <v>8.8058104719850316E-3</v>
      </c>
      <c r="P112" s="43">
        <f t="shared" si="12"/>
        <v>0.29970061512009982</v>
      </c>
      <c r="Q112" s="37">
        <f t="shared" si="13"/>
        <v>0.55899367030646141</v>
      </c>
      <c r="R112" s="37">
        <v>-4.1000000000000003E-3</v>
      </c>
      <c r="S112" s="44" t="s">
        <v>1393</v>
      </c>
      <c r="T112" s="45">
        <v>1.8507851900000001</v>
      </c>
      <c r="U112" s="45">
        <v>0.18920485400000001</v>
      </c>
      <c r="V112" s="45">
        <v>1.1976313700000001</v>
      </c>
      <c r="W112" s="45">
        <v>9.4065754099999996E-3</v>
      </c>
      <c r="X112" s="45">
        <v>3.8034518699999999E-2</v>
      </c>
      <c r="Y112" s="45">
        <v>101.426835</v>
      </c>
      <c r="Z112" s="36">
        <v>4.54</v>
      </c>
      <c r="AA112" s="38">
        <v>632</v>
      </c>
      <c r="AB112" s="38"/>
      <c r="AC112" s="49" t="s">
        <v>506</v>
      </c>
      <c r="AD112" s="39" t="s">
        <v>1371</v>
      </c>
      <c r="AE112" s="46"/>
    </row>
    <row r="113" spans="1:31" ht="15" thickBot="1">
      <c r="A113" s="34">
        <v>111</v>
      </c>
      <c r="B113" s="34" t="s">
        <v>251</v>
      </c>
      <c r="C113" s="41" t="s">
        <v>1358</v>
      </c>
      <c r="D113" s="34" t="s">
        <v>82</v>
      </c>
      <c r="E113" s="80">
        <f t="shared" si="7"/>
        <v>1.7550003389582629</v>
      </c>
      <c r="F113" s="35">
        <f t="shared" si="8"/>
        <v>52.319439110964339</v>
      </c>
      <c r="G113" s="42" cm="1">
        <f t="array" ref="G11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52.084748065751484</v>
      </c>
      <c r="H113" s="81" cm="1">
        <f t="array" ref="H1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1.7506263995924207</v>
      </c>
      <c r="I113" s="81" cm="1">
        <f t="array" ref="I1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1.7550003389582629</v>
      </c>
      <c r="J113" s="81" cm="1">
        <f t="array" ref="J1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1.7584393902588207</v>
      </c>
      <c r="K113" s="81" cm="1">
        <f t="array" ref="K1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1.7650569889065948</v>
      </c>
      <c r="L113" s="81" cm="1">
        <f t="array" ref="L1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1.7729589077561778</v>
      </c>
      <c r="M113" s="37">
        <f t="shared" si="9"/>
        <v>1.4430589314174069E-2</v>
      </c>
      <c r="N113" s="43">
        <f t="shared" si="10"/>
        <v>4.3739393658421832E-3</v>
      </c>
      <c r="O113" s="43">
        <f t="shared" si="11"/>
        <v>7.9019188495830228E-3</v>
      </c>
      <c r="P113" s="43">
        <f t="shared" si="12"/>
        <v>0.30310192263222374</v>
      </c>
      <c r="Q113" s="37">
        <f t="shared" si="13"/>
        <v>0.54758116093163078</v>
      </c>
      <c r="R113" s="37">
        <v>-9.4000000000000004E-3</v>
      </c>
      <c r="S113" s="44" t="s">
        <v>1393</v>
      </c>
      <c r="T113" s="45">
        <v>1.0273018</v>
      </c>
      <c r="U113" s="45">
        <v>0.98929356400000001</v>
      </c>
      <c r="V113" s="45">
        <v>1.25781057</v>
      </c>
      <c r="W113" s="45">
        <v>1.8340612900000001E-2</v>
      </c>
      <c r="X113" s="45">
        <v>3.7126419500000001E-3</v>
      </c>
      <c r="Y113" s="45">
        <v>87.851050000000001</v>
      </c>
      <c r="Z113" s="36">
        <v>4.17</v>
      </c>
      <c r="AA113" s="38">
        <v>690</v>
      </c>
      <c r="AB113" s="38">
        <v>721</v>
      </c>
      <c r="AC113" s="49" t="s">
        <v>506</v>
      </c>
      <c r="AD113" s="39" t="s">
        <v>1371</v>
      </c>
      <c r="AE113" s="46"/>
    </row>
    <row r="114" spans="1:31" ht="15" thickBot="1">
      <c r="A114" s="34">
        <v>112</v>
      </c>
      <c r="B114" s="34" t="s">
        <v>251</v>
      </c>
      <c r="C114" s="41" t="s">
        <v>1358</v>
      </c>
      <c r="D114" s="34" t="s">
        <v>83</v>
      </c>
      <c r="E114" s="80">
        <f t="shared" si="7"/>
        <v>1.9537494080508573</v>
      </c>
      <c r="F114" s="35">
        <f t="shared" si="8"/>
        <v>32.325130043940511</v>
      </c>
      <c r="G114" s="42" cm="1">
        <f t="array" ref="G11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32.089333928155668</v>
      </c>
      <c r="H114" s="81" cm="1">
        <f t="array" ref="H1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1.9451407967917709</v>
      </c>
      <c r="I114" s="81" cm="1">
        <f t="array" ref="I1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1.9537494080508573</v>
      </c>
      <c r="J114" s="81" cm="1">
        <f t="array" ref="J1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1.9607326930765516</v>
      </c>
      <c r="K114" s="81" cm="1">
        <f t="array" ref="K1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1.9746456868495803</v>
      </c>
      <c r="L114" s="81" cm="1">
        <f t="array" ref="L1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1.9920706831234032</v>
      </c>
      <c r="M114" s="37">
        <f t="shared" si="9"/>
        <v>2.950489005780943E-2</v>
      </c>
      <c r="N114" s="43">
        <f t="shared" si="10"/>
        <v>8.6086112590864072E-3</v>
      </c>
      <c r="O114" s="43">
        <f t="shared" si="11"/>
        <v>1.7424996273822879E-2</v>
      </c>
      <c r="P114" s="43">
        <f t="shared" si="12"/>
        <v>0.29176896582971196</v>
      </c>
      <c r="Q114" s="37">
        <f t="shared" si="13"/>
        <v>0.59057994250043944</v>
      </c>
      <c r="R114" s="37">
        <v>1.2999999999999999E-3</v>
      </c>
      <c r="S114" s="44" t="s">
        <v>1393</v>
      </c>
      <c r="T114" s="45">
        <v>2.2851062899999999</v>
      </c>
      <c r="U114" s="45">
        <v>0.38553226400000001</v>
      </c>
      <c r="V114" s="45">
        <v>2.0655112</v>
      </c>
      <c r="W114" s="45">
        <v>1.22178962E-2</v>
      </c>
      <c r="X114" s="45">
        <v>5.1475234199999997E-2</v>
      </c>
      <c r="Y114" s="45">
        <v>145.92087000000001</v>
      </c>
      <c r="Z114" s="36">
        <v>4.9400000000000004</v>
      </c>
      <c r="AA114" s="38">
        <v>724</v>
      </c>
      <c r="AB114" s="38">
        <v>791</v>
      </c>
      <c r="AC114" s="49" t="s">
        <v>506</v>
      </c>
      <c r="AD114" s="39" t="s">
        <v>1371</v>
      </c>
      <c r="AE114" s="46"/>
    </row>
    <row r="115" spans="1:31" ht="15" thickBot="1">
      <c r="A115" s="34">
        <v>113</v>
      </c>
      <c r="B115" s="34" t="s">
        <v>251</v>
      </c>
      <c r="C115" s="41" t="s">
        <v>1358</v>
      </c>
      <c r="D115" s="34" t="s">
        <v>84</v>
      </c>
      <c r="E115" s="80">
        <f t="shared" si="7"/>
        <v>2.0010000003642765</v>
      </c>
      <c r="F115" s="35">
        <f t="shared" si="8"/>
        <v>29.139840134036849</v>
      </c>
      <c r="G115" s="42" cm="1">
        <f t="array" ref="G11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28.919619134750558</v>
      </c>
      <c r="H115" s="81" cm="1">
        <f t="array" ref="H1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1.9910475703009625</v>
      </c>
      <c r="I115" s="81" cm="1">
        <f t="array" ref="I1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2.0010000003642765</v>
      </c>
      <c r="J115" s="81" cm="1">
        <f t="array" ref="J1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2.0091170368963547</v>
      </c>
      <c r="K115" s="81" cm="1">
        <f t="array" ref="K1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2.0253991657716273</v>
      </c>
      <c r="L115" s="81" cm="1">
        <f t="array" ref="L1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2.0460018695857793</v>
      </c>
      <c r="M115" s="37">
        <f t="shared" si="9"/>
        <v>3.4351595470664797E-2</v>
      </c>
      <c r="N115" s="43">
        <f t="shared" si="10"/>
        <v>9.9524300633140328E-3</v>
      </c>
      <c r="O115" s="43">
        <f t="shared" si="11"/>
        <v>2.0602703814152079E-2</v>
      </c>
      <c r="P115" s="43">
        <f t="shared" si="12"/>
        <v>0.28972249838622782</v>
      </c>
      <c r="Q115" s="37">
        <f t="shared" si="13"/>
        <v>0.59975973551930517</v>
      </c>
      <c r="R115" s="37">
        <v>5.4000000000000003E-3</v>
      </c>
      <c r="S115" s="44" t="s">
        <v>1393</v>
      </c>
      <c r="T115" s="45">
        <v>2.3914066200000001</v>
      </c>
      <c r="U115" s="45">
        <v>0.43921922800000002</v>
      </c>
      <c r="V115" s="45">
        <v>2.3835846699999998</v>
      </c>
      <c r="W115" s="45">
        <v>1.314675E-2</v>
      </c>
      <c r="X115" s="45">
        <v>5.53226042E-2</v>
      </c>
      <c r="Y115" s="45">
        <v>161.25989999999999</v>
      </c>
      <c r="Z115" s="36">
        <v>5.0199999999999996</v>
      </c>
      <c r="AA115" s="38">
        <v>727</v>
      </c>
      <c r="AB115" s="38">
        <v>792</v>
      </c>
      <c r="AC115" s="49" t="s">
        <v>506</v>
      </c>
      <c r="AD115" s="39" t="s">
        <v>1371</v>
      </c>
      <c r="AE115" s="46"/>
    </row>
    <row r="116" spans="1:31" ht="15" thickBot="1">
      <c r="A116" s="34">
        <v>114</v>
      </c>
      <c r="B116" s="34" t="s">
        <v>251</v>
      </c>
      <c r="C116" s="41" t="s">
        <v>1358</v>
      </c>
      <c r="D116" s="34" t="s">
        <v>1140</v>
      </c>
      <c r="E116" s="80">
        <f t="shared" si="7"/>
        <v>2.0010000003642765</v>
      </c>
      <c r="F116" s="35">
        <f t="shared" si="8"/>
        <v>29.139840134036849</v>
      </c>
      <c r="G116" s="42" cm="1">
        <f t="array" ref="G11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28.919619134750558</v>
      </c>
      <c r="H116" s="81" cm="1">
        <f t="array" ref="H1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1.9910475703009625</v>
      </c>
      <c r="I116" s="81" cm="1">
        <f t="array" ref="I1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2.0010000003642765</v>
      </c>
      <c r="J116" s="81" cm="1">
        <f t="array" ref="J1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2.0091170368963547</v>
      </c>
      <c r="K116" s="81" cm="1">
        <f t="array" ref="K1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2.0253991657716273</v>
      </c>
      <c r="L116" s="81" cm="1">
        <f t="array" ref="L1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2.0460018695857793</v>
      </c>
      <c r="M116" s="37">
        <f t="shared" si="9"/>
        <v>3.4351595470664797E-2</v>
      </c>
      <c r="N116" s="43">
        <f t="shared" si="10"/>
        <v>9.9524300633140328E-3</v>
      </c>
      <c r="O116" s="43">
        <f t="shared" si="11"/>
        <v>2.0602703814152079E-2</v>
      </c>
      <c r="P116" s="43">
        <f t="shared" si="12"/>
        <v>0.28972249838622782</v>
      </c>
      <c r="Q116" s="37">
        <f t="shared" si="13"/>
        <v>0.59975973551930517</v>
      </c>
      <c r="R116" s="37">
        <v>5.4000000000000003E-3</v>
      </c>
      <c r="S116" s="44" t="s">
        <v>1393</v>
      </c>
      <c r="T116" s="45">
        <v>2.3914066200000001</v>
      </c>
      <c r="U116" s="45">
        <v>0.43921922800000002</v>
      </c>
      <c r="V116" s="45">
        <v>2.3835846699999998</v>
      </c>
      <c r="W116" s="45">
        <v>1.314675E-2</v>
      </c>
      <c r="X116" s="45">
        <v>5.53226042E-2</v>
      </c>
      <c r="Y116" s="45">
        <v>161.25989999999999</v>
      </c>
      <c r="Z116" s="36">
        <v>5.0199999999999996</v>
      </c>
      <c r="AA116" s="38">
        <v>727</v>
      </c>
      <c r="AB116" s="38">
        <v>792</v>
      </c>
      <c r="AC116" s="49" t="s">
        <v>506</v>
      </c>
      <c r="AD116" s="39" t="s">
        <v>1371</v>
      </c>
      <c r="AE116" s="46" t="s">
        <v>770</v>
      </c>
    </row>
    <row r="117" spans="1:31" ht="15" thickBot="1">
      <c r="A117" s="34">
        <v>115</v>
      </c>
      <c r="B117" s="34" t="s">
        <v>251</v>
      </c>
      <c r="C117" s="41" t="s">
        <v>1356</v>
      </c>
      <c r="D117" s="34" t="s">
        <v>243</v>
      </c>
      <c r="E117" s="80">
        <f t="shared" si="7"/>
        <v>1.5927008464459691</v>
      </c>
      <c r="F117" s="35">
        <f t="shared" si="8"/>
        <v>35.310516152525217</v>
      </c>
      <c r="G117" s="42" cm="1">
        <f t="array" ref="G11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35.035290175696254</v>
      </c>
      <c r="H117" s="81" cm="1">
        <f t="array" ref="H1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1.5877943871684104</v>
      </c>
      <c r="I117" s="81" cm="1">
        <f t="array" ref="I1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1.5927008464459691</v>
      </c>
      <c r="J117" s="81" cm="1">
        <f t="array" ref="J1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1.5966694348183348</v>
      </c>
      <c r="K117" s="81" cm="1">
        <f t="array" ref="K1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1.60457977891646</v>
      </c>
      <c r="L117" s="81" cm="1">
        <f t="array" ref="L1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1.6145398585955588</v>
      </c>
      <c r="M117" s="37">
        <f t="shared" si="9"/>
        <v>1.6785391748049605E-2</v>
      </c>
      <c r="N117" s="43">
        <f t="shared" si="10"/>
        <v>4.9064592775587279E-3</v>
      </c>
      <c r="O117" s="43">
        <f t="shared" si="11"/>
        <v>9.9600796790988433E-3</v>
      </c>
      <c r="P117" s="43">
        <f t="shared" si="12"/>
        <v>0.29230531829135525</v>
      </c>
      <c r="Q117" s="37">
        <f t="shared" si="13"/>
        <v>0.59337785072881388</v>
      </c>
      <c r="R117" s="37">
        <v>8.9999999999999993E-3</v>
      </c>
      <c r="S117" s="44" t="s">
        <v>1393</v>
      </c>
      <c r="T117" s="45">
        <v>1.3294090700000001</v>
      </c>
      <c r="U117" s="45">
        <v>0.14151212499999999</v>
      </c>
      <c r="V117" s="45">
        <v>1.4429906800000001</v>
      </c>
      <c r="W117" s="45">
        <v>1.02377287E-2</v>
      </c>
      <c r="X117" s="45">
        <v>5.7808195600000001E-2</v>
      </c>
      <c r="Y117" s="45">
        <v>150.597139</v>
      </c>
      <c r="Z117" s="36">
        <v>2.64</v>
      </c>
      <c r="AA117" s="38">
        <v>502</v>
      </c>
      <c r="AB117" s="38"/>
      <c r="AC117" s="49" t="s">
        <v>506</v>
      </c>
      <c r="AD117" s="39" t="s">
        <v>1371</v>
      </c>
      <c r="AE117" s="46"/>
    </row>
    <row r="118" spans="1:31" ht="15" thickBot="1">
      <c r="A118" s="34">
        <v>116</v>
      </c>
      <c r="B118" s="34" t="s">
        <v>251</v>
      </c>
      <c r="C118" s="41" t="s">
        <v>1359</v>
      </c>
      <c r="D118" s="34" t="s">
        <v>85</v>
      </c>
      <c r="E118" s="80">
        <f t="shared" si="7"/>
        <v>1.6133972289173037</v>
      </c>
      <c r="F118" s="35">
        <f t="shared" si="8"/>
        <v>44.268241579702654</v>
      </c>
      <c r="G118" s="42" cm="1">
        <f t="array" ref="G11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44.023019685055999</v>
      </c>
      <c r="H118" s="81" cm="1">
        <f t="array" ref="H1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1.6092482478446659</v>
      </c>
      <c r="I118" s="81" cm="1">
        <f t="array" ref="I1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1.6133972289173037</v>
      </c>
      <c r="J118" s="81" cm="1">
        <f t="array" ref="J1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1.6166899916604398</v>
      </c>
      <c r="K118" s="81" cm="1">
        <f t="array" ref="K1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1.6231046199757548</v>
      </c>
      <c r="L118" s="81" cm="1">
        <f t="array" ref="L1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1.6309114514075795</v>
      </c>
      <c r="M118" s="37">
        <f t="shared" si="9"/>
        <v>1.3856372131088923E-2</v>
      </c>
      <c r="N118" s="43">
        <f t="shared" si="10"/>
        <v>4.1489810726378362E-3</v>
      </c>
      <c r="O118" s="43">
        <f t="shared" si="11"/>
        <v>7.8068314318247012E-3</v>
      </c>
      <c r="P118" s="43">
        <f t="shared" si="12"/>
        <v>0.29942765923043829</v>
      </c>
      <c r="Q118" s="37">
        <f t="shared" si="13"/>
        <v>0.56341092444456387</v>
      </c>
      <c r="R118" s="37">
        <v>-6.4999999999999997E-3</v>
      </c>
      <c r="S118" s="44" t="s">
        <v>1393</v>
      </c>
      <c r="T118" s="45">
        <v>1.3702310099999999</v>
      </c>
      <c r="U118" s="45">
        <v>0.177665568</v>
      </c>
      <c r="V118" s="45">
        <v>1.3051547100000001</v>
      </c>
      <c r="W118" s="45">
        <v>8.7192034200000001E-3</v>
      </c>
      <c r="X118" s="45">
        <v>4.0572555199999999E-2</v>
      </c>
      <c r="Y118" s="45">
        <v>112.703058</v>
      </c>
      <c r="Z118" s="36">
        <v>2.93</v>
      </c>
      <c r="AA118" s="38">
        <v>559</v>
      </c>
      <c r="AB118" s="38">
        <v>693</v>
      </c>
      <c r="AC118" s="49" t="s">
        <v>506</v>
      </c>
      <c r="AD118" s="39" t="s">
        <v>1371</v>
      </c>
      <c r="AE118" s="46"/>
    </row>
    <row r="119" spans="1:31" ht="15" thickBot="1">
      <c r="A119" s="34">
        <v>117</v>
      </c>
      <c r="B119" s="34" t="s">
        <v>251</v>
      </c>
      <c r="C119" s="41" t="s">
        <v>1359</v>
      </c>
      <c r="D119" s="34" t="s">
        <v>1141</v>
      </c>
      <c r="E119" s="80">
        <f t="shared" si="7"/>
        <v>1.6220494145183697</v>
      </c>
      <c r="F119" s="35">
        <f t="shared" si="8"/>
        <v>41.079824446041634</v>
      </c>
      <c r="G119" s="42" cm="1">
        <f t="array" ref="G11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40.838136433492714</v>
      </c>
      <c r="H119" s="81" cm="1">
        <f t="array" ref="H1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1.6175386265986735</v>
      </c>
      <c r="I119" s="81" cm="1">
        <f t="array" ref="I1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1.6220494145183697</v>
      </c>
      <c r="J119" s="81" cm="1">
        <f t="array" ref="J1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1.6256445379472979</v>
      </c>
      <c r="K119" s="81" cm="1">
        <f t="array" ref="K1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1.6326810821204938</v>
      </c>
      <c r="L119" s="81" cm="1">
        <f t="array" ref="L1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1.641299896213446</v>
      </c>
      <c r="M119" s="37">
        <f t="shared" si="9"/>
        <v>1.5142455521820253E-2</v>
      </c>
      <c r="N119" s="43">
        <f t="shared" si="10"/>
        <v>4.5107879196961687E-3</v>
      </c>
      <c r="O119" s="43">
        <f t="shared" si="11"/>
        <v>8.6188140929521762E-3</v>
      </c>
      <c r="P119" s="43">
        <f t="shared" si="12"/>
        <v>0.29789012179670138</v>
      </c>
      <c r="Q119" s="37">
        <f t="shared" si="13"/>
        <v>0.5691820643311436</v>
      </c>
      <c r="R119" s="37">
        <v>-6.0000000000000001E-3</v>
      </c>
      <c r="S119" s="44" t="s">
        <v>1393</v>
      </c>
      <c r="T119" s="45">
        <v>1.3979920400000001</v>
      </c>
      <c r="U119" s="45">
        <v>0.17223804100000001</v>
      </c>
      <c r="V119" s="45">
        <v>1.2174299099999999</v>
      </c>
      <c r="W119" s="45">
        <v>9.4611368600000002E-3</v>
      </c>
      <c r="X119" s="45">
        <v>4.4407773599999999E-2</v>
      </c>
      <c r="Y119" s="45">
        <v>105.31393</v>
      </c>
      <c r="Z119" s="36">
        <v>2.86</v>
      </c>
      <c r="AA119" s="38">
        <v>584</v>
      </c>
      <c r="AB119" s="38">
        <v>701</v>
      </c>
      <c r="AC119" s="49" t="s">
        <v>506</v>
      </c>
      <c r="AD119" s="39" t="s">
        <v>1371</v>
      </c>
      <c r="AE119" s="46"/>
    </row>
    <row r="120" spans="1:31" ht="15" thickBot="1">
      <c r="A120" s="34">
        <v>118</v>
      </c>
      <c r="B120" s="34" t="s">
        <v>251</v>
      </c>
      <c r="C120" s="41" t="s">
        <v>1359</v>
      </c>
      <c r="D120" s="34" t="s">
        <v>109</v>
      </c>
      <c r="E120" s="80">
        <f t="shared" si="7"/>
        <v>1.6541152008080666</v>
      </c>
      <c r="F120" s="35">
        <f t="shared" si="8"/>
        <v>39.683279924419061</v>
      </c>
      <c r="G120" s="42" cm="1">
        <f t="array" ref="G12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39.434111999061805</v>
      </c>
      <c r="H120" s="81" cm="1">
        <f t="array" ref="H1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1.6492248949557615</v>
      </c>
      <c r="I120" s="81" cm="1">
        <f t="array" ref="I1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1.6541152008080666</v>
      </c>
      <c r="J120" s="81" cm="1">
        <f t="array" ref="J1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1.6580257845389217</v>
      </c>
      <c r="K120" s="81" cm="1">
        <f t="array" ref="K1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1.6657082905332918</v>
      </c>
      <c r="L120" s="81" cm="1">
        <f t="array" ref="L1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1.6751664076484125</v>
      </c>
      <c r="M120" s="37">
        <f t="shared" si="9"/>
        <v>1.6483395577530313E-2</v>
      </c>
      <c r="N120" s="43">
        <f t="shared" si="10"/>
        <v>4.8903058523050991E-3</v>
      </c>
      <c r="O120" s="43">
        <f t="shared" si="11"/>
        <v>9.4581171151206789E-3</v>
      </c>
      <c r="P120" s="43">
        <f t="shared" si="12"/>
        <v>0.2966807311820765</v>
      </c>
      <c r="Q120" s="37">
        <f t="shared" si="13"/>
        <v>0.57379664709458955</v>
      </c>
      <c r="R120" s="37">
        <v>-3.5999999999999999E-3</v>
      </c>
      <c r="S120" s="44" t="s">
        <v>1393</v>
      </c>
      <c r="T120" s="45">
        <v>1.47544521</v>
      </c>
      <c r="U120" s="45">
        <v>0.19306009499999999</v>
      </c>
      <c r="V120" s="45">
        <v>1.5093901000000001</v>
      </c>
      <c r="W120" s="45">
        <v>9.5583674E-3</v>
      </c>
      <c r="X120" s="45">
        <v>4.60430483E-2</v>
      </c>
      <c r="Y120" s="45">
        <v>126.422746</v>
      </c>
      <c r="Z120" s="36">
        <v>3.02</v>
      </c>
      <c r="AA120" s="38">
        <v>526</v>
      </c>
      <c r="AB120" s="38">
        <v>645</v>
      </c>
      <c r="AC120" s="49" t="s">
        <v>506</v>
      </c>
      <c r="AD120" s="39" t="s">
        <v>1371</v>
      </c>
      <c r="AE120" s="46"/>
    </row>
    <row r="121" spans="1:31" ht="15" thickBot="1">
      <c r="A121" s="34">
        <v>119</v>
      </c>
      <c r="B121" s="34" t="s">
        <v>251</v>
      </c>
      <c r="C121" s="41" t="s">
        <v>1359</v>
      </c>
      <c r="D121" s="34" t="s">
        <v>110</v>
      </c>
      <c r="E121" s="80">
        <f t="shared" si="7"/>
        <v>1.7204671414255646</v>
      </c>
      <c r="F121" s="35">
        <f t="shared" si="8"/>
        <v>34.70841337379705</v>
      </c>
      <c r="G121" s="42" cm="1">
        <f t="array" ref="G12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34.474175020420482</v>
      </c>
      <c r="H121" s="81" cm="1">
        <f t="array" ref="H1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1.7143649585294016</v>
      </c>
      <c r="I121" s="81" cm="1">
        <f t="array" ref="I1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1.7204671414255646</v>
      </c>
      <c r="J121" s="81" cm="1">
        <f t="array" ref="J1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1.7253845446345746</v>
      </c>
      <c r="K121" s="81" cm="1">
        <f t="array" ref="K1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1.7351226674360691</v>
      </c>
      <c r="L121" s="81" cm="1">
        <f t="array" ref="L1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1.7472350797462404</v>
      </c>
      <c r="M121" s="37">
        <f t="shared" si="9"/>
        <v>2.0757708906667505E-2</v>
      </c>
      <c r="N121" s="43">
        <f t="shared" si="10"/>
        <v>6.1021828961629332E-3</v>
      </c>
      <c r="O121" s="43">
        <f t="shared" si="11"/>
        <v>1.2112412310171239E-2</v>
      </c>
      <c r="P121" s="43">
        <f t="shared" si="12"/>
        <v>0.29397188888234549</v>
      </c>
      <c r="Q121" s="37">
        <f t="shared" si="13"/>
        <v>0.58351393039723454</v>
      </c>
      <c r="R121" s="37">
        <v>-1.9E-3</v>
      </c>
      <c r="S121" s="44" t="s">
        <v>1393</v>
      </c>
      <c r="T121" s="45">
        <v>1.6134413599999999</v>
      </c>
      <c r="U121" s="45">
        <v>0.25729588799999997</v>
      </c>
      <c r="V121" s="45">
        <v>1.98364455</v>
      </c>
      <c r="W121" s="45">
        <v>1.0638675199999999E-2</v>
      </c>
      <c r="X121" s="45">
        <v>4.8707162399999997E-2</v>
      </c>
      <c r="Y121" s="45">
        <v>159.78440399999999</v>
      </c>
      <c r="Z121" s="36">
        <v>3.19</v>
      </c>
      <c r="AA121" s="38">
        <v>514</v>
      </c>
      <c r="AB121" s="38">
        <v>611</v>
      </c>
      <c r="AC121" s="49" t="s">
        <v>506</v>
      </c>
      <c r="AD121" s="39" t="s">
        <v>1371</v>
      </c>
      <c r="AE121" s="46"/>
    </row>
    <row r="122" spans="1:31" ht="15" thickBot="1">
      <c r="A122" s="34">
        <v>120</v>
      </c>
      <c r="B122" s="34" t="s">
        <v>251</v>
      </c>
      <c r="C122" s="41" t="s">
        <v>1359</v>
      </c>
      <c r="D122" s="34" t="s">
        <v>86</v>
      </c>
      <c r="E122" s="80">
        <f t="shared" si="7"/>
        <v>1.7495043865944548</v>
      </c>
      <c r="F122" s="35">
        <f t="shared" si="8"/>
        <v>35.332916257604339</v>
      </c>
      <c r="G122" s="42" cm="1">
        <f t="array" ref="G12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35.097759190332198</v>
      </c>
      <c r="H122" s="81" cm="1">
        <f t="array" ref="H1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1.7432592658897934</v>
      </c>
      <c r="I122" s="81" cm="1">
        <f t="array" ref="I1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1.7495043865944548</v>
      </c>
      <c r="J122" s="81" cm="1">
        <f t="array" ref="J1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1.754530871606045</v>
      </c>
      <c r="K122" s="81" cm="1">
        <f t="array" ref="K1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1.7644719045842614</v>
      </c>
      <c r="L122" s="81" cm="1">
        <f t="array" ref="L1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1.7768155893702957</v>
      </c>
      <c r="M122" s="37">
        <f t="shared" si="9"/>
        <v>2.1212638694467989E-2</v>
      </c>
      <c r="N122" s="43">
        <f t="shared" si="10"/>
        <v>6.2451207046614332E-3</v>
      </c>
      <c r="O122" s="43">
        <f t="shared" si="11"/>
        <v>1.2343684786034315E-2</v>
      </c>
      <c r="P122" s="43">
        <f t="shared" si="12"/>
        <v>0.29440565101832844</v>
      </c>
      <c r="Q122" s="37">
        <f t="shared" si="13"/>
        <v>0.58190237262907818</v>
      </c>
      <c r="R122" s="37">
        <v>-2.5000000000000001E-3</v>
      </c>
      <c r="S122" s="44" t="s">
        <v>1393</v>
      </c>
      <c r="T122" s="45">
        <v>1.71203689</v>
      </c>
      <c r="U122" s="45">
        <v>0.25598958799999999</v>
      </c>
      <c r="V122" s="45">
        <v>1.8145699799999999</v>
      </c>
      <c r="W122" s="45">
        <v>1.07724134E-2</v>
      </c>
      <c r="X122" s="45">
        <v>4.8859350400000001E-2</v>
      </c>
      <c r="Y122" s="45">
        <v>136.359013</v>
      </c>
      <c r="Z122" s="36">
        <v>3.29</v>
      </c>
      <c r="AA122" s="38">
        <v>542</v>
      </c>
      <c r="AB122" s="38">
        <v>631</v>
      </c>
      <c r="AC122" s="49" t="s">
        <v>506</v>
      </c>
      <c r="AD122" s="39" t="s">
        <v>1371</v>
      </c>
      <c r="AE122" s="46"/>
    </row>
    <row r="123" spans="1:31" ht="15" thickBot="1">
      <c r="A123" s="34">
        <v>121</v>
      </c>
      <c r="B123" s="34" t="s">
        <v>251</v>
      </c>
      <c r="C123" s="41" t="s">
        <v>1359</v>
      </c>
      <c r="D123" s="34" t="s">
        <v>244</v>
      </c>
      <c r="E123" s="80">
        <f t="shared" si="7"/>
        <v>1.6729995543478593</v>
      </c>
      <c r="F123" s="35">
        <f t="shared" si="8"/>
        <v>38.25654612761879</v>
      </c>
      <c r="G123" s="42" cm="1">
        <f t="array" ref="G12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38.013473363816054</v>
      </c>
      <c r="H123" s="81" cm="1">
        <f t="array" ref="H1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1.6677913546042427</v>
      </c>
      <c r="I123" s="81" cm="1">
        <f t="array" ref="I1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1.6729995543478593</v>
      </c>
      <c r="J123" s="81" cm="1">
        <f t="array" ref="J1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1.6771719437733144</v>
      </c>
      <c r="K123" s="81" cm="1">
        <f t="array" ref="K1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1.685383103532722</v>
      </c>
      <c r="L123" s="81" cm="1">
        <f t="array" ref="L1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1.6955126343289666</v>
      </c>
      <c r="M123" s="37">
        <f t="shared" si="9"/>
        <v>1.7591748928479367E-2</v>
      </c>
      <c r="N123" s="43">
        <f t="shared" si="10"/>
        <v>5.2081997436166372E-3</v>
      </c>
      <c r="O123" s="43">
        <f t="shared" si="11"/>
        <v>1.0129530796244568E-2</v>
      </c>
      <c r="P123" s="43">
        <f t="shared" si="12"/>
        <v>0.29605923576962023</v>
      </c>
      <c r="Q123" s="37">
        <f t="shared" si="13"/>
        <v>0.57581146919655168</v>
      </c>
      <c r="R123" s="37">
        <v>-3.8999999999999998E-3</v>
      </c>
      <c r="S123" s="44" t="s">
        <v>1393</v>
      </c>
      <c r="T123" s="45">
        <v>1.5133686799999999</v>
      </c>
      <c r="U123" s="45">
        <v>0.212341478</v>
      </c>
      <c r="V123" s="45">
        <v>1.54149143</v>
      </c>
      <c r="W123" s="45">
        <v>9.87077827E-3</v>
      </c>
      <c r="X123" s="45">
        <v>4.6284366200000003E-2</v>
      </c>
      <c r="Y123" s="45">
        <v>126.97851</v>
      </c>
      <c r="Z123" s="36">
        <v>3.01</v>
      </c>
      <c r="AA123" s="38">
        <v>501</v>
      </c>
      <c r="AB123" s="38">
        <v>592</v>
      </c>
      <c r="AC123" s="49" t="s">
        <v>506</v>
      </c>
      <c r="AD123" s="39" t="s">
        <v>1371</v>
      </c>
      <c r="AE123" s="46"/>
    </row>
    <row r="124" spans="1:31" ht="15" thickBot="1">
      <c r="A124" s="34">
        <v>122</v>
      </c>
      <c r="B124" s="34" t="s">
        <v>251</v>
      </c>
      <c r="C124" s="41" t="s">
        <v>1359</v>
      </c>
      <c r="D124" s="34" t="s">
        <v>245</v>
      </c>
      <c r="E124" s="80">
        <f t="shared" si="7"/>
        <v>1.7379993006787695</v>
      </c>
      <c r="F124" s="35">
        <f t="shared" si="8"/>
        <v>32.326992567714512</v>
      </c>
      <c r="G124" s="42" cm="1">
        <f t="array" ref="G12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32.100322200901751</v>
      </c>
      <c r="H124" s="81" cm="1">
        <f t="array" ref="H1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1.7313220086525056</v>
      </c>
      <c r="I124" s="81" cm="1">
        <f t="array" ref="I1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1.7379993006787695</v>
      </c>
      <c r="J124" s="81" cm="1">
        <f t="array" ref="J1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1.7434011452195113</v>
      </c>
      <c r="K124" s="81" cm="1">
        <f t="array" ref="K1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1.7541512062381734</v>
      </c>
      <c r="L124" s="81" cm="1">
        <f t="array" ref="L1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1.7676218925027578</v>
      </c>
      <c r="M124" s="37">
        <f t="shared" si="9"/>
        <v>2.2829197585667815E-2</v>
      </c>
      <c r="N124" s="43">
        <f t="shared" si="10"/>
        <v>6.6772920262638813E-3</v>
      </c>
      <c r="O124" s="43">
        <f t="shared" si="11"/>
        <v>1.3470686264584364E-2</v>
      </c>
      <c r="P124" s="43">
        <f t="shared" si="12"/>
        <v>0.29248912499911472</v>
      </c>
      <c r="Q124" s="37">
        <f t="shared" si="13"/>
        <v>0.59006393956839154</v>
      </c>
      <c r="R124" s="37">
        <v>8.0000000000000004E-4</v>
      </c>
      <c r="S124" s="44" t="s">
        <v>1393</v>
      </c>
      <c r="T124" s="45">
        <v>1.65444141</v>
      </c>
      <c r="U124" s="45">
        <v>0.26745392699999998</v>
      </c>
      <c r="V124" s="45">
        <v>2.14530347</v>
      </c>
      <c r="W124" s="45">
        <v>1.12485533E-2</v>
      </c>
      <c r="X124" s="45">
        <v>5.2027273999999998E-2</v>
      </c>
      <c r="Y124" s="45">
        <v>167.36609999999999</v>
      </c>
      <c r="Z124" s="36">
        <v>3.19</v>
      </c>
      <c r="AA124" s="38">
        <v>543</v>
      </c>
      <c r="AB124" s="38">
        <v>640</v>
      </c>
      <c r="AC124" s="49" t="s">
        <v>506</v>
      </c>
      <c r="AD124" s="39" t="s">
        <v>1371</v>
      </c>
      <c r="AE124" s="46"/>
    </row>
    <row r="125" spans="1:31" ht="15" thickBot="1">
      <c r="A125" s="34">
        <v>123</v>
      </c>
      <c r="B125" s="34" t="s">
        <v>251</v>
      </c>
      <c r="C125" s="41" t="s">
        <v>1359</v>
      </c>
      <c r="D125" s="34" t="s">
        <v>111</v>
      </c>
      <c r="E125" s="80">
        <f t="shared" si="7"/>
        <v>1.799999463470491</v>
      </c>
      <c r="F125" s="35">
        <f t="shared" si="8"/>
        <v>29.845064835575876</v>
      </c>
      <c r="G125" s="42" cm="1">
        <f t="array" ref="G12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29.610451793514134</v>
      </c>
      <c r="H125" s="81" cm="1">
        <f t="array" ref="H1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1.7922370491906037</v>
      </c>
      <c r="I125" s="81" cm="1">
        <f t="array" ref="I1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1.799999463470491</v>
      </c>
      <c r="J125" s="81" cm="1">
        <f t="array" ref="J1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1.8063301079450298</v>
      </c>
      <c r="K125" s="81" cm="1">
        <f t="array" ref="K1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1.8190421329750717</v>
      </c>
      <c r="L125" s="81" cm="1">
        <f t="array" ref="L1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1.8351733242116326</v>
      </c>
      <c r="M125" s="37">
        <f t="shared" si="9"/>
        <v>2.6805083784467998E-2</v>
      </c>
      <c r="N125" s="43">
        <f t="shared" si="10"/>
        <v>7.7624142798873308E-3</v>
      </c>
      <c r="O125" s="43">
        <f t="shared" si="11"/>
        <v>1.6131191236560927E-2</v>
      </c>
      <c r="P125" s="43">
        <f t="shared" si="12"/>
        <v>0.28958739104502268</v>
      </c>
      <c r="Q125" s="37">
        <f t="shared" si="13"/>
        <v>0.60179596401440916</v>
      </c>
      <c r="R125" s="37">
        <v>8.5000000000000006E-3</v>
      </c>
      <c r="S125" s="44" t="s">
        <v>1393</v>
      </c>
      <c r="T125" s="45">
        <v>1.8314515600000001</v>
      </c>
      <c r="U125" s="45">
        <v>0.28781802400000001</v>
      </c>
      <c r="V125" s="45">
        <v>2.1520830000000002</v>
      </c>
      <c r="W125" s="45">
        <v>1.22443139E-2</v>
      </c>
      <c r="X125" s="45">
        <v>5.7387730999999997E-2</v>
      </c>
      <c r="Y125" s="45">
        <v>186.09912399999999</v>
      </c>
      <c r="Z125" s="36">
        <v>3.68</v>
      </c>
      <c r="AA125" s="38">
        <v>618</v>
      </c>
      <c r="AB125" s="38"/>
      <c r="AC125" s="49" t="s">
        <v>506</v>
      </c>
      <c r="AD125" s="39" t="s">
        <v>1371</v>
      </c>
      <c r="AE125" s="46"/>
    </row>
    <row r="126" spans="1:31" ht="15" thickBot="1">
      <c r="A126" s="34">
        <v>124</v>
      </c>
      <c r="B126" s="34" t="s">
        <v>251</v>
      </c>
      <c r="C126" s="41" t="s">
        <v>1359</v>
      </c>
      <c r="D126" s="34" t="s">
        <v>112</v>
      </c>
      <c r="E126" s="80">
        <f t="shared" si="7"/>
        <v>1.8547792210840524</v>
      </c>
      <c r="F126" s="35">
        <f t="shared" si="8"/>
        <v>24.799296052244362</v>
      </c>
      <c r="G126" s="42" cm="1">
        <f t="array" ref="G12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24.614454183467931</v>
      </c>
      <c r="H126" s="81" cm="1">
        <f t="array" ref="H1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1.844875797841286</v>
      </c>
      <c r="I126" s="81" cm="1">
        <f t="array" ref="I1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1.8547792210840524</v>
      </c>
      <c r="J126" s="81" cm="1">
        <f t="array" ref="J1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1.8629033482044355</v>
      </c>
      <c r="K126" s="81" cm="1">
        <f t="array" ref="K1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1.8793436802877594</v>
      </c>
      <c r="L126" s="81" cm="1">
        <f t="array" ref="L1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1.900449500042231</v>
      </c>
      <c r="M126" s="37">
        <f t="shared" si="9"/>
        <v>3.4467882446473475E-2</v>
      </c>
      <c r="N126" s="43">
        <f t="shared" si="10"/>
        <v>9.9034232427663849E-3</v>
      </c>
      <c r="O126" s="43">
        <f t="shared" si="11"/>
        <v>2.1105819754471566E-2</v>
      </c>
      <c r="P126" s="43">
        <f t="shared" si="12"/>
        <v>0.28732322788166054</v>
      </c>
      <c r="Q126" s="37">
        <f t="shared" si="13"/>
        <v>0.61233293885249906</v>
      </c>
      <c r="R126" s="37">
        <v>1.09E-2</v>
      </c>
      <c r="S126" s="44" t="s">
        <v>1393</v>
      </c>
      <c r="T126" s="45">
        <v>1.85191438</v>
      </c>
      <c r="U126" s="45">
        <v>0.43110285199999998</v>
      </c>
      <c r="V126" s="45">
        <v>3.4527828399999998</v>
      </c>
      <c r="W126" s="45">
        <v>1.3273261999999999E-2</v>
      </c>
      <c r="X126" s="45">
        <v>5.8594464399999997E-2</v>
      </c>
      <c r="Y126" s="45">
        <v>239.357089</v>
      </c>
      <c r="Z126" s="36">
        <v>3.49</v>
      </c>
      <c r="AA126" s="38">
        <v>584</v>
      </c>
      <c r="AB126" s="38"/>
      <c r="AC126" s="49" t="s">
        <v>506</v>
      </c>
      <c r="AD126" s="39" t="s">
        <v>1371</v>
      </c>
      <c r="AE126" s="46"/>
    </row>
    <row r="127" spans="1:31" ht="15" thickBot="1">
      <c r="A127" s="34">
        <v>125</v>
      </c>
      <c r="B127" s="34" t="s">
        <v>251</v>
      </c>
      <c r="C127" s="41" t="s">
        <v>1359</v>
      </c>
      <c r="D127" s="34" t="s">
        <v>113</v>
      </c>
      <c r="E127" s="80">
        <f t="shared" si="7"/>
        <v>1.8502492954251675</v>
      </c>
      <c r="F127" s="35">
        <f t="shared" si="8"/>
        <v>30.046807103392066</v>
      </c>
      <c r="G127" s="42" cm="1">
        <f t="array" ref="G12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29.819586607364261</v>
      </c>
      <c r="H127" s="81" cm="1">
        <f t="array" ref="H1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1.8420371299776217</v>
      </c>
      <c r="I127" s="81" cm="1">
        <f t="array" ref="I1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1.8502492954251675</v>
      </c>
      <c r="J127" s="81" cm="1">
        <f t="array" ref="J1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1.8569373676585448</v>
      </c>
      <c r="K127" s="81" cm="1">
        <f t="array" ref="K1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1.8703346223700557</v>
      </c>
      <c r="L127" s="81" cm="1">
        <f t="array" ref="L1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1.887256070226361</v>
      </c>
      <c r="M127" s="37">
        <f t="shared" si="9"/>
        <v>2.8297492392433954E-2</v>
      </c>
      <c r="N127" s="43">
        <f t="shared" si="10"/>
        <v>8.2121654475457717E-3</v>
      </c>
      <c r="O127" s="43">
        <f t="shared" si="11"/>
        <v>1.6921447856305338E-2</v>
      </c>
      <c r="P127" s="43">
        <f t="shared" si="12"/>
        <v>0.29020823943189755</v>
      </c>
      <c r="Q127" s="37">
        <f t="shared" si="13"/>
        <v>0.59798400584886147</v>
      </c>
      <c r="R127" s="37">
        <v>5.1000000000000004E-3</v>
      </c>
      <c r="S127" s="44" t="s">
        <v>1393</v>
      </c>
      <c r="T127" s="45">
        <v>1.92026488</v>
      </c>
      <c r="U127" s="45">
        <v>0.37153523999999999</v>
      </c>
      <c r="V127" s="45">
        <v>2.5520570400000002</v>
      </c>
      <c r="W127" s="45">
        <v>1.18468028E-2</v>
      </c>
      <c r="X127" s="45">
        <v>5.32105472E-2</v>
      </c>
      <c r="Y127" s="45">
        <v>204.54929999999999</v>
      </c>
      <c r="Z127" s="36">
        <v>4</v>
      </c>
      <c r="AA127" s="38">
        <v>637</v>
      </c>
      <c r="AB127" s="38"/>
      <c r="AC127" s="49" t="s">
        <v>506</v>
      </c>
      <c r="AD127" s="39" t="s">
        <v>1371</v>
      </c>
      <c r="AE127" s="46"/>
    </row>
    <row r="128" spans="1:31" ht="15" thickBot="1">
      <c r="A128" s="34">
        <v>126</v>
      </c>
      <c r="B128" s="34" t="s">
        <v>251</v>
      </c>
      <c r="C128" s="41" t="s">
        <v>1359</v>
      </c>
      <c r="D128" s="34" t="s">
        <v>114</v>
      </c>
      <c r="E128" s="80">
        <f t="shared" si="7"/>
        <v>1.7888000758644671</v>
      </c>
      <c r="F128" s="35">
        <f t="shared" si="8"/>
        <v>28.429008278803753</v>
      </c>
      <c r="G128" s="42" cm="1">
        <f t="array" ref="G12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28.220506887446525</v>
      </c>
      <c r="H128" s="81" cm="1">
        <f t="array" ref="H1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1.7807567027562694</v>
      </c>
      <c r="I128" s="81" cm="1">
        <f t="array" ref="I1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1.7888000758644671</v>
      </c>
      <c r="J128" s="81" cm="1">
        <f t="array" ref="J1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1.7953529756389903</v>
      </c>
      <c r="K128" s="81" cm="1">
        <f t="array" ref="K1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1.808503012727011</v>
      </c>
      <c r="L128" s="81" cm="1">
        <f t="array" ref="L1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1.8251767694007086</v>
      </c>
      <c r="M128" s="37">
        <f t="shared" si="9"/>
        <v>2.7746309970741567E-2</v>
      </c>
      <c r="N128" s="43">
        <f t="shared" si="10"/>
        <v>8.0433731081976934E-3</v>
      </c>
      <c r="O128" s="43">
        <f t="shared" si="11"/>
        <v>1.6673756673697637E-2</v>
      </c>
      <c r="P128" s="43">
        <f t="shared" si="12"/>
        <v>0.28988983099660515</v>
      </c>
      <c r="Q128" s="37">
        <f t="shared" si="13"/>
        <v>0.60093600523024804</v>
      </c>
      <c r="R128" s="37">
        <v>5.4000000000000003E-3</v>
      </c>
      <c r="S128" s="44" t="s">
        <v>1393</v>
      </c>
      <c r="T128" s="45">
        <v>1.7140821900000001</v>
      </c>
      <c r="U128" s="45">
        <v>0.36296616700000001</v>
      </c>
      <c r="V128" s="45">
        <v>2.5648626600000002</v>
      </c>
      <c r="W128" s="45">
        <v>1.16812775E-2</v>
      </c>
      <c r="X128" s="45">
        <v>5.4084734699999998E-2</v>
      </c>
      <c r="Y128" s="45">
        <v>188.78569999999999</v>
      </c>
      <c r="Z128" s="36">
        <v>3.33</v>
      </c>
      <c r="AA128" s="38">
        <v>558</v>
      </c>
      <c r="AB128" s="38">
        <v>652</v>
      </c>
      <c r="AC128" s="49" t="s">
        <v>506</v>
      </c>
      <c r="AD128" s="39" t="s">
        <v>1371</v>
      </c>
      <c r="AE128" s="46"/>
    </row>
    <row r="129" spans="1:31" ht="15" thickBot="1">
      <c r="A129" s="34">
        <v>127</v>
      </c>
      <c r="B129" s="34" t="s">
        <v>251</v>
      </c>
      <c r="C129" s="41" t="s">
        <v>1359</v>
      </c>
      <c r="D129" s="34" t="s">
        <v>1142</v>
      </c>
      <c r="E129" s="80">
        <f t="shared" si="7"/>
        <v>1.7663419542183736</v>
      </c>
      <c r="F129" s="35">
        <f t="shared" si="8"/>
        <v>35.823871730249635</v>
      </c>
      <c r="G129" s="42" cm="1">
        <f t="array" ref="G12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35.588313651853085</v>
      </c>
      <c r="H129" s="81" cm="1">
        <f t="array" ref="H1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1.7600389322304428</v>
      </c>
      <c r="I129" s="81" cm="1">
        <f t="array" ref="I1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1.7663419542183736</v>
      </c>
      <c r="J129" s="81" cm="1">
        <f t="array" ref="J1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1.7714142320216082</v>
      </c>
      <c r="K129" s="81" cm="1">
        <f t="array" ref="K1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1.7814308677529027</v>
      </c>
      <c r="L129" s="81" cm="1">
        <f t="array" ref="L1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1.7938237706282762</v>
      </c>
      <c r="M129" s="37">
        <f t="shared" si="9"/>
        <v>2.1391935522459882E-2</v>
      </c>
      <c r="N129" s="43">
        <f t="shared" si="10"/>
        <v>6.303021987930757E-3</v>
      </c>
      <c r="O129" s="43">
        <f t="shared" si="11"/>
        <v>1.2392902875373535E-2</v>
      </c>
      <c r="P129" s="43">
        <f t="shared" si="12"/>
        <v>0.29464477308811399</v>
      </c>
      <c r="Q129" s="37">
        <f t="shared" si="13"/>
        <v>0.57932592692989104</v>
      </c>
      <c r="R129" s="37">
        <v>-4.3E-3</v>
      </c>
      <c r="S129" s="44" t="s">
        <v>1393</v>
      </c>
      <c r="T129" s="45">
        <v>1.7368986399999999</v>
      </c>
      <c r="U129" s="45">
        <v>0.28736254100000003</v>
      </c>
      <c r="V129" s="45">
        <v>1.8512613600000001</v>
      </c>
      <c r="W129" s="45">
        <v>1.0786650599999999E-2</v>
      </c>
      <c r="X129" s="45">
        <v>4.5808507700000001E-2</v>
      </c>
      <c r="Y129" s="45">
        <v>149.64689999999999</v>
      </c>
      <c r="Z129" s="36">
        <v>3.47</v>
      </c>
      <c r="AA129" s="38">
        <v>528</v>
      </c>
      <c r="AB129" s="38">
        <v>623</v>
      </c>
      <c r="AC129" s="49" t="s">
        <v>506</v>
      </c>
      <c r="AD129" s="39" t="s">
        <v>1371</v>
      </c>
      <c r="AE129" s="46"/>
    </row>
    <row r="130" spans="1:31" ht="15" thickBot="1">
      <c r="A130" s="34">
        <v>128</v>
      </c>
      <c r="B130" s="34" t="s">
        <v>251</v>
      </c>
      <c r="C130" s="41" t="s">
        <v>1357</v>
      </c>
      <c r="D130" s="34" t="s">
        <v>87</v>
      </c>
      <c r="E130" s="80">
        <f t="shared" si="7"/>
        <v>1.8080946694804287</v>
      </c>
      <c r="F130" s="35">
        <f t="shared" si="8"/>
        <v>22.761112101380657</v>
      </c>
      <c r="G130" s="42" cm="1">
        <f t="array" ref="G13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22.569780790076553</v>
      </c>
      <c r="H130" s="81" cm="1">
        <f t="array" ref="H1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1.7980087514303307</v>
      </c>
      <c r="I130" s="81" cm="1">
        <f t="array" ref="I1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1.8080946694804287</v>
      </c>
      <c r="J130" s="81" cm="1">
        <f t="array" ref="J1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1.8164330445764241</v>
      </c>
      <c r="K130" s="81" cm="1">
        <f t="array" ref="K1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1.8335120548665196</v>
      </c>
      <c r="L130" s="81" cm="1">
        <f t="array" ref="L1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1.8559057029913113</v>
      </c>
      <c r="M130" s="37">
        <f t="shared" si="9"/>
        <v>3.5503303436188904E-2</v>
      </c>
      <c r="N130" s="43">
        <f t="shared" si="10"/>
        <v>1.0085918050098064E-2</v>
      </c>
      <c r="O130" s="43">
        <f t="shared" si="11"/>
        <v>2.2393648124791721E-2</v>
      </c>
      <c r="P130" s="43">
        <f t="shared" si="12"/>
        <v>0.28408393230860252</v>
      </c>
      <c r="Q130" s="37">
        <f t="shared" si="13"/>
        <v>0.6307482954379291</v>
      </c>
      <c r="R130" s="37">
        <v>2.6100000000000002E-2</v>
      </c>
      <c r="S130" s="44" t="s">
        <v>1393</v>
      </c>
      <c r="T130" s="45">
        <v>1.7515662299999999</v>
      </c>
      <c r="U130" s="45">
        <v>0.364006304</v>
      </c>
      <c r="V130" s="45">
        <v>2.47874141</v>
      </c>
      <c r="W130" s="45">
        <v>1.3500468099999999E-2</v>
      </c>
      <c r="X130" s="45">
        <v>6.6824514700000004E-2</v>
      </c>
      <c r="Y130" s="45">
        <v>170.75600600000001</v>
      </c>
      <c r="Z130" s="36">
        <v>3.29</v>
      </c>
      <c r="AA130" s="38">
        <v>556</v>
      </c>
      <c r="AB130" s="38">
        <v>645</v>
      </c>
      <c r="AC130" s="49" t="s">
        <v>506</v>
      </c>
      <c r="AD130" s="39" t="s">
        <v>1371</v>
      </c>
      <c r="AE130" s="46"/>
    </row>
    <row r="131" spans="1:31" ht="15" thickBot="1">
      <c r="A131" s="34">
        <v>129</v>
      </c>
      <c r="B131" s="34" t="s">
        <v>251</v>
      </c>
      <c r="C131" s="41" t="s">
        <v>1357</v>
      </c>
      <c r="D131" s="34" t="s">
        <v>246</v>
      </c>
      <c r="E131" s="80">
        <f t="shared" ref="E131:E194" si="14">I131</f>
        <v>1.8080946694804287</v>
      </c>
      <c r="F131" s="35">
        <f t="shared" ref="F131:F194" si="15">(I131-1)/M131</f>
        <v>22.761112101380657</v>
      </c>
      <c r="G131" s="42" cm="1">
        <f t="array" ref="G13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22.569780790076553</v>
      </c>
      <c r="H131" s="81" cm="1">
        <f t="array" ref="H1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1.7980087514303307</v>
      </c>
      <c r="I131" s="81" cm="1">
        <f t="array" ref="I1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1.8080946694804287</v>
      </c>
      <c r="J131" s="81" cm="1">
        <f t="array" ref="J1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1.8164330445764241</v>
      </c>
      <c r="K131" s="81" cm="1">
        <f t="array" ref="K1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1.8335120548665196</v>
      </c>
      <c r="L131" s="81" cm="1">
        <f t="array" ref="L1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1.8559057029913113</v>
      </c>
      <c r="M131" s="37">
        <f t="shared" ref="M131:M194" si="16">K131-H131</f>
        <v>3.5503303436188904E-2</v>
      </c>
      <c r="N131" s="43">
        <f t="shared" ref="N131:N194" si="17">I131-H131</f>
        <v>1.0085918050098064E-2</v>
      </c>
      <c r="O131" s="43">
        <f t="shared" ref="O131:O194" si="18">L131-K131</f>
        <v>2.2393648124791721E-2</v>
      </c>
      <c r="P131" s="43">
        <f t="shared" ref="P131:P194" si="19">(I131-H131)/M131</f>
        <v>0.28408393230860252</v>
      </c>
      <c r="Q131" s="37">
        <f t="shared" ref="Q131:Q194" si="20">(L131-K131)/M131</f>
        <v>0.6307482954379291</v>
      </c>
      <c r="R131" s="37">
        <v>2.6100000000000002E-2</v>
      </c>
      <c r="S131" s="44" t="s">
        <v>1393</v>
      </c>
      <c r="T131" s="45">
        <v>1.7515662299999999</v>
      </c>
      <c r="U131" s="45">
        <v>0.364006304</v>
      </c>
      <c r="V131" s="45">
        <v>2.47874141</v>
      </c>
      <c r="W131" s="45">
        <v>1.3500468099999999E-2</v>
      </c>
      <c r="X131" s="45">
        <v>6.6824514700000004E-2</v>
      </c>
      <c r="Y131" s="45">
        <v>170.75600600000001</v>
      </c>
      <c r="Z131" s="36">
        <v>3.29</v>
      </c>
      <c r="AA131" s="38">
        <v>556</v>
      </c>
      <c r="AB131" s="38">
        <v>645</v>
      </c>
      <c r="AC131" s="49" t="s">
        <v>506</v>
      </c>
      <c r="AD131" s="39" t="s">
        <v>1371</v>
      </c>
      <c r="AE131" s="46" t="s">
        <v>770</v>
      </c>
    </row>
    <row r="132" spans="1:31" ht="15" thickBot="1">
      <c r="A132" s="34">
        <v>130</v>
      </c>
      <c r="B132" s="34" t="s">
        <v>251</v>
      </c>
      <c r="C132" s="41" t="s">
        <v>1357</v>
      </c>
      <c r="D132" s="34" t="s">
        <v>115</v>
      </c>
      <c r="E132" s="80">
        <f t="shared" si="14"/>
        <v>1.9228595719570185</v>
      </c>
      <c r="F132" s="35">
        <f t="shared" si="15"/>
        <v>18.897162025186191</v>
      </c>
      <c r="G132" s="42" cm="1">
        <f t="array" ref="G13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18.741416607801124</v>
      </c>
      <c r="H132" s="81" cm="1">
        <f t="array" ref="H1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1.9091578608369375</v>
      </c>
      <c r="I132" s="81" cm="1">
        <f t="array" ref="I1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1.9228595719570185</v>
      </c>
      <c r="J132" s="81" cm="1">
        <f t="array" ref="J1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1.9342904055421029</v>
      </c>
      <c r="K132" s="81" cm="1">
        <f t="array" ref="K1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1.957993742686658</v>
      </c>
      <c r="L132" s="81" cm="1">
        <f t="array" ref="L1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1.9897184109957144</v>
      </c>
      <c r="M132" s="37">
        <f t="shared" si="16"/>
        <v>4.8835881849720542E-2</v>
      </c>
      <c r="N132" s="43">
        <f t="shared" si="17"/>
        <v>1.3701711120081006E-2</v>
      </c>
      <c r="O132" s="43">
        <f t="shared" si="18"/>
        <v>3.1724668309056403E-2</v>
      </c>
      <c r="P132" s="43">
        <f t="shared" si="19"/>
        <v>0.28056647287018149</v>
      </c>
      <c r="Q132" s="37">
        <f t="shared" si="20"/>
        <v>0.64961800846927764</v>
      </c>
      <c r="R132" s="37">
        <v>3.8600000000000002E-2</v>
      </c>
      <c r="S132" s="44" t="s">
        <v>1393</v>
      </c>
      <c r="T132" s="45">
        <v>2.0386951</v>
      </c>
      <c r="U132" s="45">
        <v>0.43726964099999999</v>
      </c>
      <c r="V132" s="45">
        <v>2.9671146099999999</v>
      </c>
      <c r="W132" s="45">
        <v>1.7079622400000001E-2</v>
      </c>
      <c r="X132" s="45">
        <v>7.4925481299999999E-2</v>
      </c>
      <c r="Y132" s="45">
        <v>174.15535399999999</v>
      </c>
      <c r="Z132" s="36">
        <v>3.58</v>
      </c>
      <c r="AA132" s="38">
        <v>651</v>
      </c>
      <c r="AB132" s="38">
        <v>716</v>
      </c>
      <c r="AC132" s="49" t="s">
        <v>506</v>
      </c>
      <c r="AD132" s="39" t="s">
        <v>1371</v>
      </c>
      <c r="AE132" s="46"/>
    </row>
    <row r="133" spans="1:31" ht="15" thickBot="1">
      <c r="A133" s="34">
        <v>131</v>
      </c>
      <c r="B133" s="34" t="s">
        <v>251</v>
      </c>
      <c r="C133" s="41" t="s">
        <v>1357</v>
      </c>
      <c r="D133" s="34" t="s">
        <v>116</v>
      </c>
      <c r="E133" s="80">
        <f t="shared" si="14"/>
        <v>1.9590599627773286</v>
      </c>
      <c r="F133" s="35">
        <f t="shared" si="15"/>
        <v>17.471485305976429</v>
      </c>
      <c r="G133" s="42" cm="1">
        <f t="array" ref="G13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17.327097484358408</v>
      </c>
      <c r="H133" s="81" cm="1">
        <f t="array" ref="H1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1.9437599148439251</v>
      </c>
      <c r="I133" s="81" cm="1">
        <f t="array" ref="I1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1.9590599627773286</v>
      </c>
      <c r="J133" s="81" cm="1">
        <f t="array" ref="J1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1.9718838348442049</v>
      </c>
      <c r="K133" s="81" cm="1">
        <f t="array" ref="K1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1.9986527843384989</v>
      </c>
      <c r="L133" s="81" cm="1">
        <f t="array" ref="L1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2.0348793509100243</v>
      </c>
      <c r="M133" s="37">
        <f t="shared" si="16"/>
        <v>5.4892869494573837E-2</v>
      </c>
      <c r="N133" s="43">
        <f t="shared" si="17"/>
        <v>1.530004793340356E-2</v>
      </c>
      <c r="O133" s="43">
        <f t="shared" si="18"/>
        <v>3.6226566571525343E-2</v>
      </c>
      <c r="P133" s="43">
        <f t="shared" si="19"/>
        <v>0.27872559904918015</v>
      </c>
      <c r="Q133" s="37">
        <f t="shared" si="20"/>
        <v>0.6599503160443515</v>
      </c>
      <c r="R133" s="37">
        <v>4.6600000000000003E-2</v>
      </c>
      <c r="S133" s="44" t="s">
        <v>1393</v>
      </c>
      <c r="T133" s="45">
        <v>2.0983490300000001</v>
      </c>
      <c r="U133" s="45">
        <v>0.48908838799999999</v>
      </c>
      <c r="V133" s="45">
        <v>2.9400926799999998</v>
      </c>
      <c r="W133" s="45">
        <v>1.7912386900000001E-2</v>
      </c>
      <c r="X133" s="45">
        <v>7.7665335299999999E-2</v>
      </c>
      <c r="Y133" s="45">
        <v>160.93042800000001</v>
      </c>
      <c r="Z133" s="36">
        <v>3.59</v>
      </c>
      <c r="AA133" s="38">
        <v>672</v>
      </c>
      <c r="AB133" s="38"/>
      <c r="AC133" s="49" t="s">
        <v>506</v>
      </c>
      <c r="AD133" s="39" t="s">
        <v>1371</v>
      </c>
      <c r="AE133" s="46"/>
    </row>
    <row r="134" spans="1:31" ht="15" thickBot="1">
      <c r="A134" s="34">
        <v>132</v>
      </c>
      <c r="B134" s="34" t="s">
        <v>251</v>
      </c>
      <c r="C134" s="41" t="s">
        <v>1357</v>
      </c>
      <c r="D134" s="34" t="s">
        <v>117</v>
      </c>
      <c r="E134" s="80">
        <f t="shared" si="14"/>
        <v>1.8928599977940437</v>
      </c>
      <c r="F134" s="35">
        <f t="shared" si="15"/>
        <v>20.362076310461269</v>
      </c>
      <c r="G134" s="42" cm="1">
        <f t="array" ref="G13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20.19569815340375</v>
      </c>
      <c r="H134" s="81" cm="1">
        <f t="array" ref="H1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1.8804836915661127</v>
      </c>
      <c r="I134" s="81" cm="1">
        <f t="array" ref="I1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1.8928599977940437</v>
      </c>
      <c r="J134" s="81" cm="1">
        <f t="array" ref="J1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1.9031428162356425</v>
      </c>
      <c r="K134" s="81" cm="1">
        <f t="array" ref="K1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1.9243328543027893</v>
      </c>
      <c r="L134" s="81" cm="1">
        <f t="array" ref="L1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1.9523725832811512</v>
      </c>
      <c r="M134" s="37">
        <f t="shared" si="16"/>
        <v>4.3849162736676606E-2</v>
      </c>
      <c r="N134" s="43">
        <f t="shared" si="17"/>
        <v>1.2376306227930955E-2</v>
      </c>
      <c r="O134" s="43">
        <f t="shared" si="18"/>
        <v>2.8039728978361822E-2</v>
      </c>
      <c r="P134" s="43">
        <f t="shared" si="19"/>
        <v>0.28224726438343334</v>
      </c>
      <c r="Q134" s="37">
        <f t="shared" si="20"/>
        <v>0.6394587086359268</v>
      </c>
      <c r="R134" s="37">
        <v>3.0800000000000001E-2</v>
      </c>
      <c r="S134" s="44" t="s">
        <v>1393</v>
      </c>
      <c r="T134" s="45">
        <v>1.93563931</v>
      </c>
      <c r="U134" s="45">
        <v>0.44959647800000002</v>
      </c>
      <c r="V134" s="45">
        <v>2.7182857299999998</v>
      </c>
      <c r="W134" s="45">
        <v>1.52585289E-2</v>
      </c>
      <c r="X134" s="45">
        <v>6.9681577800000005E-2</v>
      </c>
      <c r="Y134" s="45">
        <v>170.32714899999999</v>
      </c>
      <c r="Z134" s="36">
        <v>3.61</v>
      </c>
      <c r="AA134" s="38">
        <v>650</v>
      </c>
      <c r="AB134" s="38">
        <v>711</v>
      </c>
      <c r="AC134" s="49" t="s">
        <v>506</v>
      </c>
      <c r="AD134" s="39" t="s">
        <v>1371</v>
      </c>
      <c r="AE134" s="46"/>
    </row>
    <row r="135" spans="1:31" ht="15" thickBot="1">
      <c r="A135" s="34">
        <v>133</v>
      </c>
      <c r="B135" s="34" t="s">
        <v>251</v>
      </c>
      <c r="C135" s="41" t="s">
        <v>1357</v>
      </c>
      <c r="D135" s="34" t="s">
        <v>118</v>
      </c>
      <c r="E135" s="80">
        <f t="shared" si="14"/>
        <v>1.8589553200084914</v>
      </c>
      <c r="F135" s="35">
        <f t="shared" si="15"/>
        <v>22.729031031505563</v>
      </c>
      <c r="G135" s="42" cm="1">
        <f t="array" ref="G13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22.542400870452965</v>
      </c>
      <c r="H135" s="81" cm="1">
        <f t="array" ref="H1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1.8482085492286764</v>
      </c>
      <c r="I135" s="81" cm="1">
        <f t="array" ref="I1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1.8589553200084914</v>
      </c>
      <c r="J135" s="81" cm="1">
        <f t="array" ref="J1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1.8678355901762174</v>
      </c>
      <c r="K135" s="81" cm="1">
        <f t="array" ref="K1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1.8859996595852007</v>
      </c>
      <c r="L135" s="81" cm="1">
        <f t="array" ref="L1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1.9097495953704444</v>
      </c>
      <c r="M135" s="37">
        <f t="shared" si="16"/>
        <v>3.7791110356524271E-2</v>
      </c>
      <c r="N135" s="43">
        <f t="shared" si="17"/>
        <v>1.0746770779815007E-2</v>
      </c>
      <c r="O135" s="43">
        <f t="shared" si="18"/>
        <v>2.3749935785243759E-2</v>
      </c>
      <c r="P135" s="43">
        <f t="shared" si="19"/>
        <v>0.2843729829165943</v>
      </c>
      <c r="Q135" s="37">
        <f t="shared" si="20"/>
        <v>0.62845297640595943</v>
      </c>
      <c r="R135" s="37">
        <v>2.3699999999999999E-2</v>
      </c>
      <c r="S135" s="44" t="s">
        <v>1393</v>
      </c>
      <c r="T135" s="45">
        <v>1.89108996</v>
      </c>
      <c r="U135" s="45">
        <v>0.395220126</v>
      </c>
      <c r="V135" s="45">
        <v>2.2049212699999998</v>
      </c>
      <c r="W135" s="45">
        <v>1.41164499E-2</v>
      </c>
      <c r="X135" s="45">
        <v>6.6283444499999997E-2</v>
      </c>
      <c r="Y135" s="45">
        <v>148.6807</v>
      </c>
      <c r="Z135" s="36">
        <v>3.71</v>
      </c>
      <c r="AA135" s="38">
        <v>619</v>
      </c>
      <c r="AB135" s="38">
        <v>704</v>
      </c>
      <c r="AC135" s="49" t="s">
        <v>506</v>
      </c>
      <c r="AD135" s="39" t="s">
        <v>1371</v>
      </c>
      <c r="AE135" s="46"/>
    </row>
    <row r="136" spans="1:31" ht="15" thickBot="1">
      <c r="A136" s="34">
        <v>134</v>
      </c>
      <c r="B136" s="34" t="s">
        <v>251</v>
      </c>
      <c r="C136" s="41" t="s">
        <v>1357</v>
      </c>
      <c r="D136" s="34" t="s">
        <v>899</v>
      </c>
      <c r="E136" s="80">
        <f t="shared" si="14"/>
        <v>1.7783001131208938</v>
      </c>
      <c r="F136" s="35">
        <f t="shared" si="15"/>
        <v>23.91190651375025</v>
      </c>
      <c r="G136" s="42" cm="1">
        <f t="array" ref="G13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23.711923591224291</v>
      </c>
      <c r="H136" s="81" cm="1">
        <f t="array" ref="H1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1.7690232717375243</v>
      </c>
      <c r="I136" s="81" cm="1">
        <f t="array" ref="I1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1.7783001131208938</v>
      </c>
      <c r="J136" s="81" cm="1">
        <f t="array" ref="J1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1.7859536172433845</v>
      </c>
      <c r="K136" s="81" cm="1">
        <f t="array" ref="K1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1.8015719149280345</v>
      </c>
      <c r="L136" s="81" cm="1">
        <f t="array" ref="L1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1.8219119869628342</v>
      </c>
      <c r="M136" s="37">
        <f t="shared" si="16"/>
        <v>3.2548643190510207E-2</v>
      </c>
      <c r="N136" s="43">
        <f t="shared" si="17"/>
        <v>9.2768413833694829E-3</v>
      </c>
      <c r="O136" s="43">
        <f t="shared" si="18"/>
        <v>2.0340072034799705E-2</v>
      </c>
      <c r="P136" s="43">
        <f t="shared" si="19"/>
        <v>0.28501468798779955</v>
      </c>
      <c r="Q136" s="37">
        <f t="shared" si="20"/>
        <v>0.62491305446274337</v>
      </c>
      <c r="R136" s="37">
        <v>2.1999999999999999E-2</v>
      </c>
      <c r="S136" s="44" t="s">
        <v>1393</v>
      </c>
      <c r="T136" s="45">
        <v>1.6823655399999999</v>
      </c>
      <c r="U136" s="45">
        <v>0.33964964399999997</v>
      </c>
      <c r="V136" s="45">
        <v>2.2504920799999999</v>
      </c>
      <c r="W136" s="45">
        <v>1.3143168199999999E-2</v>
      </c>
      <c r="X136" s="45">
        <v>6.4504001199999994E-2</v>
      </c>
      <c r="Y136" s="45">
        <v>181.38630000000001</v>
      </c>
      <c r="Z136" s="36">
        <v>3.3</v>
      </c>
      <c r="AA136" s="38">
        <v>570</v>
      </c>
      <c r="AB136" s="38">
        <v>630</v>
      </c>
      <c r="AC136" s="49" t="s">
        <v>506</v>
      </c>
      <c r="AD136" s="39" t="s">
        <v>1371</v>
      </c>
      <c r="AE136" s="46"/>
    </row>
    <row r="137" spans="1:31" ht="15" thickBot="1">
      <c r="A137" s="34">
        <v>135</v>
      </c>
      <c r="B137" s="34" t="s">
        <v>251</v>
      </c>
      <c r="C137" s="41" t="s">
        <v>1355</v>
      </c>
      <c r="D137" s="34" t="s">
        <v>771</v>
      </c>
      <c r="E137" s="80">
        <f t="shared" si="14"/>
        <v>1.5163296185630466</v>
      </c>
      <c r="F137" s="35">
        <f t="shared" si="15"/>
        <v>64.065875674363241</v>
      </c>
      <c r="G137" s="42" cm="1">
        <f t="array" ref="G13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63.875846163344654</v>
      </c>
      <c r="H137" s="81" cm="1">
        <f t="array" ref="H1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1.5138459058323628</v>
      </c>
      <c r="I137" s="81" cm="1">
        <f t="array" ref="I1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1.5163296185630466</v>
      </c>
      <c r="J137" s="81" cm="1">
        <f t="array" ref="J1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1.518253218635371</v>
      </c>
      <c r="K137" s="81" cm="1">
        <f t="array" ref="K1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1.5219052605688448</v>
      </c>
      <c r="L137" s="81" cm="1">
        <f t="array" ref="L1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1.5262046211566498</v>
      </c>
      <c r="M137" s="37">
        <f t="shared" si="16"/>
        <v>8.0593547364820051E-3</v>
      </c>
      <c r="N137" s="43">
        <f t="shared" si="17"/>
        <v>2.483712730683818E-3</v>
      </c>
      <c r="O137" s="43">
        <f t="shared" si="18"/>
        <v>4.2993605878050012E-3</v>
      </c>
      <c r="P137" s="43">
        <f t="shared" si="19"/>
        <v>0.30817761618568307</v>
      </c>
      <c r="Q137" s="37">
        <f t="shared" si="20"/>
        <v>0.53346213541677634</v>
      </c>
      <c r="R137" s="37">
        <v>-4.4999999999999997E-3</v>
      </c>
      <c r="S137" s="44" t="s">
        <v>1393</v>
      </c>
      <c r="T137" s="45">
        <v>0.917473918</v>
      </c>
      <c r="U137" s="45">
        <v>0.35268766499999998</v>
      </c>
      <c r="V137" s="45">
        <v>1.0557978800000001</v>
      </c>
      <c r="W137" s="45">
        <v>5.2770141099999996E-3</v>
      </c>
      <c r="X137" s="45">
        <v>1.70809497E-2</v>
      </c>
      <c r="Y137" s="45">
        <v>104.302583</v>
      </c>
      <c r="Z137" s="36">
        <v>2.38</v>
      </c>
      <c r="AA137" s="38">
        <v>497</v>
      </c>
      <c r="AB137" s="38">
        <v>630</v>
      </c>
      <c r="AC137" s="39" t="s">
        <v>508</v>
      </c>
      <c r="AD137" s="39" t="s">
        <v>1371</v>
      </c>
      <c r="AE137" s="46"/>
    </row>
    <row r="138" spans="1:31" ht="15" thickBot="1">
      <c r="A138" s="34">
        <v>136</v>
      </c>
      <c r="B138" s="34" t="s">
        <v>251</v>
      </c>
      <c r="C138" s="41" t="s">
        <v>1355</v>
      </c>
      <c r="D138" s="34" t="s">
        <v>772</v>
      </c>
      <c r="E138" s="80">
        <f t="shared" si="14"/>
        <v>1.589129560072235</v>
      </c>
      <c r="F138" s="35">
        <f t="shared" si="15"/>
        <v>61.153318143224965</v>
      </c>
      <c r="G138" s="42" cm="1">
        <f t="array" ref="G13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60.932679380014363</v>
      </c>
      <c r="H138" s="81" cm="1">
        <f t="array" ref="H1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1.5861778012635288</v>
      </c>
      <c r="I138" s="81" cm="1">
        <f t="array" ref="I1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1.589129560072235</v>
      </c>
      <c r="J138" s="81" cm="1">
        <f t="array" ref="J1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1.5914277475553997</v>
      </c>
      <c r="K138" s="81" cm="1">
        <f t="array" ref="K1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1.5958114495750146</v>
      </c>
      <c r="L138" s="81" cm="1">
        <f t="array" ref="L1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1.600996806793354</v>
      </c>
      <c r="M138" s="37">
        <f t="shared" si="16"/>
        <v>9.6336483114858318E-3</v>
      </c>
      <c r="N138" s="43">
        <f t="shared" si="17"/>
        <v>2.9517588087062396E-3</v>
      </c>
      <c r="O138" s="43">
        <f t="shared" si="18"/>
        <v>5.1853572183393482E-3</v>
      </c>
      <c r="P138" s="43">
        <f t="shared" si="19"/>
        <v>0.30640093070316571</v>
      </c>
      <c r="Q138" s="37">
        <f t="shared" si="20"/>
        <v>0.53825477645442421</v>
      </c>
      <c r="R138" s="37">
        <v>-4.3E-3</v>
      </c>
      <c r="S138" s="44" t="s">
        <v>1393</v>
      </c>
      <c r="T138" s="45">
        <v>1.1626262999999999</v>
      </c>
      <c r="U138" s="45">
        <v>0.32566105099999998</v>
      </c>
      <c r="V138" s="45">
        <v>1.3513248600000001</v>
      </c>
      <c r="W138" s="45">
        <v>1.25957437E-2</v>
      </c>
      <c r="X138" s="45">
        <v>-3.2691105000000002E-3</v>
      </c>
      <c r="Y138" s="45">
        <v>119.214596</v>
      </c>
      <c r="Z138" s="36">
        <v>2.82</v>
      </c>
      <c r="AA138" s="38">
        <v>530</v>
      </c>
      <c r="AB138" s="38">
        <v>619</v>
      </c>
      <c r="AC138" s="39" t="s">
        <v>508</v>
      </c>
      <c r="AD138" s="49" t="s">
        <v>506</v>
      </c>
      <c r="AE138" s="46"/>
    </row>
    <row r="139" spans="1:31" ht="15" thickBot="1">
      <c r="A139" s="34">
        <v>137</v>
      </c>
      <c r="B139" s="34" t="s">
        <v>251</v>
      </c>
      <c r="C139" s="41" t="s">
        <v>1355</v>
      </c>
      <c r="D139" s="34" t="s">
        <v>773</v>
      </c>
      <c r="E139" s="80">
        <f t="shared" si="14"/>
        <v>1.5920803299737665</v>
      </c>
      <c r="F139" s="35">
        <f t="shared" si="15"/>
        <v>60.994712931308534</v>
      </c>
      <c r="G139" s="42" cm="1">
        <f t="array" ref="G13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60.775444884083122</v>
      </c>
      <c r="H139" s="81" cm="1">
        <f t="array" ref="H1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1.5891060034381712</v>
      </c>
      <c r="I139" s="81" cm="1">
        <f t="array" ref="I1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1.5920803299737665</v>
      </c>
      <c r="J139" s="81" cm="1">
        <f t="array" ref="J1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1.5943960812179814</v>
      </c>
      <c r="K139" s="81" cm="1">
        <f t="array" ref="K1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1.5988130796996918</v>
      </c>
      <c r="L139" s="81" cm="1">
        <f t="array" ref="L1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1.6040377577926712</v>
      </c>
      <c r="M139" s="37">
        <f t="shared" si="16"/>
        <v>9.7070762615205641E-3</v>
      </c>
      <c r="N139" s="43">
        <f t="shared" si="17"/>
        <v>2.9743265355952619E-3</v>
      </c>
      <c r="O139" s="43">
        <f t="shared" si="18"/>
        <v>5.2246780929794401E-3</v>
      </c>
      <c r="P139" s="43">
        <f t="shared" si="19"/>
        <v>0.30640807339545395</v>
      </c>
      <c r="Q139" s="37">
        <f t="shared" si="20"/>
        <v>0.53823395966202292</v>
      </c>
      <c r="R139" s="37">
        <v>-4.5999999999999999E-3</v>
      </c>
      <c r="S139" s="44" t="s">
        <v>1393</v>
      </c>
      <c r="T139" s="45">
        <v>0.80674219400000002</v>
      </c>
      <c r="U139" s="45">
        <v>0.69048864799999998</v>
      </c>
      <c r="V139" s="45">
        <v>1.2647794699999999</v>
      </c>
      <c r="W139" s="45">
        <v>1.48836231E-2</v>
      </c>
      <c r="X139" s="45">
        <v>2.5194305799999999E-3</v>
      </c>
      <c r="Y139" s="45">
        <v>111.31457</v>
      </c>
      <c r="Z139" s="36">
        <v>2.82</v>
      </c>
      <c r="AA139" s="38">
        <v>531</v>
      </c>
      <c r="AB139" s="38">
        <v>619</v>
      </c>
      <c r="AC139" s="39" t="s">
        <v>508</v>
      </c>
      <c r="AD139" s="49" t="s">
        <v>506</v>
      </c>
      <c r="AE139" s="46"/>
    </row>
    <row r="140" spans="1:31" ht="15" thickBot="1">
      <c r="A140" s="34">
        <v>138</v>
      </c>
      <c r="B140" s="34" t="s">
        <v>251</v>
      </c>
      <c r="C140" s="41" t="s">
        <v>1355</v>
      </c>
      <c r="D140" s="34" t="s">
        <v>774</v>
      </c>
      <c r="E140" s="80">
        <f t="shared" si="14"/>
        <v>1.5831255849147541</v>
      </c>
      <c r="F140" s="35">
        <f t="shared" si="15"/>
        <v>59.386395180254262</v>
      </c>
      <c r="G140" s="42" cm="1">
        <f t="array" ref="G14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59.131970754019768</v>
      </c>
      <c r="H140" s="81" cm="1">
        <f t="array" ref="H1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1.5801343088179562</v>
      </c>
      <c r="I140" s="81" cm="1">
        <f t="array" ref="I1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1.5831255849147541</v>
      </c>
      <c r="J140" s="81" cm="1">
        <f t="array" ref="J1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1.5854673493928486</v>
      </c>
      <c r="K140" s="81" cm="1">
        <f t="array" ref="K1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1.589953486815624</v>
      </c>
      <c r="L140" s="81" cm="1">
        <f t="array" ref="L1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1.5952792509257816</v>
      </c>
      <c r="M140" s="37">
        <f t="shared" si="16"/>
        <v>9.8191779976677385E-3</v>
      </c>
      <c r="N140" s="43">
        <f t="shared" si="17"/>
        <v>2.9912760967978347E-3</v>
      </c>
      <c r="O140" s="43">
        <f t="shared" si="18"/>
        <v>5.3257641101576159E-3</v>
      </c>
      <c r="P140" s="43">
        <f t="shared" si="19"/>
        <v>0.30463610065000613</v>
      </c>
      <c r="Q140" s="37">
        <f t="shared" si="20"/>
        <v>0.54238390539641879</v>
      </c>
      <c r="R140" s="37">
        <v>-3.0999999999999999E-3</v>
      </c>
      <c r="S140" s="44" t="s">
        <v>1393</v>
      </c>
      <c r="T140" s="45">
        <v>1.39528097</v>
      </c>
      <c r="U140" s="45">
        <v>7.2551952000000003E-2</v>
      </c>
      <c r="V140" s="45">
        <v>1.6633584800000001</v>
      </c>
      <c r="W140" s="45">
        <v>1.1186203E-2</v>
      </c>
      <c r="X140" s="45">
        <v>-2.4674857500000001E-2</v>
      </c>
      <c r="Y140" s="45">
        <v>167.71795800000001</v>
      </c>
      <c r="Z140" s="36">
        <v>3.05</v>
      </c>
      <c r="AA140" s="38">
        <v>502</v>
      </c>
      <c r="AB140" s="38">
        <v>607</v>
      </c>
      <c r="AC140" s="39" t="s">
        <v>508</v>
      </c>
      <c r="AD140" s="39" t="s">
        <v>1371</v>
      </c>
      <c r="AE140" s="46"/>
    </row>
    <row r="141" spans="1:31" ht="15" thickBot="1">
      <c r="A141" s="34">
        <v>139</v>
      </c>
      <c r="B141" s="34" t="s">
        <v>251</v>
      </c>
      <c r="C141" s="41" t="s">
        <v>1355</v>
      </c>
      <c r="D141" s="34" t="s">
        <v>775</v>
      </c>
      <c r="E141" s="80">
        <f t="shared" si="14"/>
        <v>1.5859295657791037</v>
      </c>
      <c r="F141" s="35">
        <f t="shared" si="15"/>
        <v>59.248993881528996</v>
      </c>
      <c r="G141" s="42" cm="1">
        <f t="array" ref="G14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58.994790169338906</v>
      </c>
      <c r="H141" s="81" cm="1">
        <f t="array" ref="H1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1.5829171024295592</v>
      </c>
      <c r="I141" s="81" cm="1">
        <f t="array" ref="I1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1.5859295657791037</v>
      </c>
      <c r="J141" s="81" cm="1">
        <f t="array" ref="J1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1.5882880023717152</v>
      </c>
      <c r="K141" s="81" cm="1">
        <f t="array" ref="K1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1.5928063769537932</v>
      </c>
      <c r="L141" s="81" cm="1">
        <f t="array" ref="L1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1.598172669031517</v>
      </c>
      <c r="M141" s="37">
        <f t="shared" si="16"/>
        <v>9.8892745242340485E-3</v>
      </c>
      <c r="N141" s="43">
        <f t="shared" si="17"/>
        <v>3.0124633495445252E-3</v>
      </c>
      <c r="O141" s="43">
        <f t="shared" si="18"/>
        <v>5.3662920777237666E-3</v>
      </c>
      <c r="P141" s="43">
        <f t="shared" si="19"/>
        <v>0.30461924604907747</v>
      </c>
      <c r="Q141" s="37">
        <f t="shared" si="20"/>
        <v>0.54263758828551689</v>
      </c>
      <c r="R141" s="37">
        <v>-3.0999999999999999E-3</v>
      </c>
      <c r="S141" s="44" t="s">
        <v>1393</v>
      </c>
      <c r="T141" s="45">
        <v>0.881090017</v>
      </c>
      <c r="U141" s="45">
        <v>0.59503885899999998</v>
      </c>
      <c r="V141" s="45">
        <v>1.2258209799999999</v>
      </c>
      <c r="W141" s="45">
        <v>1.4849665499999999E-2</v>
      </c>
      <c r="X141" s="45">
        <v>1.6357737100000001E-3</v>
      </c>
      <c r="Y141" s="45">
        <v>125.11372</v>
      </c>
      <c r="Z141" s="36">
        <v>3.05</v>
      </c>
      <c r="AA141" s="38">
        <v>502</v>
      </c>
      <c r="AB141" s="38">
        <v>607</v>
      </c>
      <c r="AC141" s="39" t="s">
        <v>508</v>
      </c>
      <c r="AD141" s="49" t="s">
        <v>506</v>
      </c>
      <c r="AE141" s="46"/>
    </row>
    <row r="142" spans="1:31" ht="15" thickBot="1">
      <c r="A142" s="34">
        <v>140</v>
      </c>
      <c r="B142" s="34" t="s">
        <v>251</v>
      </c>
      <c r="C142" s="41" t="s">
        <v>1355</v>
      </c>
      <c r="D142" s="34" t="s">
        <v>776</v>
      </c>
      <c r="E142" s="80">
        <f t="shared" si="14"/>
        <v>1.5857294104483168</v>
      </c>
      <c r="F142" s="35">
        <f t="shared" si="15"/>
        <v>59.69768343166065</v>
      </c>
      <c r="G142" s="42" cm="1">
        <f t="array" ref="G14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59.450665801371549</v>
      </c>
      <c r="H142" s="81" cm="1">
        <f t="array" ref="H1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1.582736679265369</v>
      </c>
      <c r="I142" s="81" cm="1">
        <f t="array" ref="I1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1.5857294104483168</v>
      </c>
      <c r="J142" s="81" cm="1">
        <f t="array" ref="J1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1.5880695829558891</v>
      </c>
      <c r="K142" s="81" cm="1">
        <f t="array" ref="K1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1.592548272894774</v>
      </c>
      <c r="L142" s="81" cm="1">
        <f t="array" ref="L1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1.5978622156641649</v>
      </c>
      <c r="M142" s="37">
        <f t="shared" si="16"/>
        <v>9.8115936294049799E-3</v>
      </c>
      <c r="N142" s="43">
        <f t="shared" si="17"/>
        <v>2.9927311829478498E-3</v>
      </c>
      <c r="O142" s="43">
        <f t="shared" si="18"/>
        <v>5.3139427693909003E-3</v>
      </c>
      <c r="P142" s="43">
        <f t="shared" si="19"/>
        <v>0.30501988728709128</v>
      </c>
      <c r="Q142" s="37">
        <f t="shared" si="20"/>
        <v>0.54159833459319107</v>
      </c>
      <c r="R142" s="37">
        <v>-3.3999999999999998E-3</v>
      </c>
      <c r="S142" s="44" t="s">
        <v>1393</v>
      </c>
      <c r="T142" s="45">
        <v>1.0474529100000001</v>
      </c>
      <c r="U142" s="45">
        <v>0.42845287300000001</v>
      </c>
      <c r="V142" s="45">
        <v>1.1411130300000001</v>
      </c>
      <c r="W142" s="45">
        <v>5.6320975600000003E-3</v>
      </c>
      <c r="X142" s="45">
        <v>1.8832141600000001E-2</v>
      </c>
      <c r="Y142" s="45">
        <v>114.197069</v>
      </c>
      <c r="Z142" s="36">
        <v>3.05</v>
      </c>
      <c r="AA142" s="38">
        <v>506</v>
      </c>
      <c r="AB142" s="38">
        <v>596</v>
      </c>
      <c r="AC142" s="39" t="s">
        <v>508</v>
      </c>
      <c r="AD142" s="49" t="s">
        <v>506</v>
      </c>
      <c r="AE142" s="46"/>
    </row>
    <row r="143" spans="1:31" ht="15" thickBot="1">
      <c r="A143" s="34">
        <v>141</v>
      </c>
      <c r="B143" s="34" t="s">
        <v>251</v>
      </c>
      <c r="C143" s="41" t="s">
        <v>1356</v>
      </c>
      <c r="D143" s="34" t="s">
        <v>777</v>
      </c>
      <c r="E143" s="80">
        <f t="shared" si="14"/>
        <v>1.6894794923778631</v>
      </c>
      <c r="F143" s="35">
        <f t="shared" si="15"/>
        <v>31.023789345369526</v>
      </c>
      <c r="G143" s="42" cm="1">
        <f t="array" ref="G14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30.782809246488931</v>
      </c>
      <c r="H143" s="81" cm="1">
        <f t="array" ref="H1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1.6830260514116051</v>
      </c>
      <c r="I143" s="81" cm="1">
        <f t="array" ref="I1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1.6894794923778631</v>
      </c>
      <c r="J143" s="81" cm="1">
        <f t="array" ref="J1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1.6947307009837596</v>
      </c>
      <c r="K143" s="81" cm="1">
        <f t="array" ref="K1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1.7052502705326897</v>
      </c>
      <c r="L143" s="81" cm="1">
        <f t="array" ref="L1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1.7185571433564706</v>
      </c>
      <c r="M143" s="37">
        <f t="shared" si="16"/>
        <v>2.2224219121084632E-2</v>
      </c>
      <c r="N143" s="43">
        <f t="shared" si="17"/>
        <v>6.453440966257995E-3</v>
      </c>
      <c r="O143" s="43">
        <f t="shared" si="18"/>
        <v>1.3306872823780846E-2</v>
      </c>
      <c r="P143" s="43">
        <f t="shared" si="19"/>
        <v>0.29037874991681784</v>
      </c>
      <c r="Q143" s="37">
        <f t="shared" si="20"/>
        <v>0.59875547263464068</v>
      </c>
      <c r="R143" s="37">
        <v>7.4000000000000003E-3</v>
      </c>
      <c r="S143" s="44" t="s">
        <v>1393</v>
      </c>
      <c r="T143" s="45">
        <v>1.5278082900000001</v>
      </c>
      <c r="U143" s="45">
        <v>0.23277636700000001</v>
      </c>
      <c r="V143" s="45">
        <v>1.7163878100000001</v>
      </c>
      <c r="W143" s="45">
        <v>1.1413588299999999E-2</v>
      </c>
      <c r="X143" s="45">
        <v>5.5906856599999999E-2</v>
      </c>
      <c r="Y143" s="45">
        <v>171.51179999999999</v>
      </c>
      <c r="Z143" s="36">
        <v>2.88</v>
      </c>
      <c r="AA143" s="38">
        <v>503</v>
      </c>
      <c r="AB143" s="38">
        <v>582</v>
      </c>
      <c r="AC143" s="39" t="s">
        <v>508</v>
      </c>
      <c r="AD143" s="39" t="s">
        <v>1371</v>
      </c>
      <c r="AE143" s="46"/>
    </row>
    <row r="144" spans="1:31" ht="15" thickBot="1">
      <c r="A144" s="34">
        <v>142</v>
      </c>
      <c r="B144" s="34" t="s">
        <v>251</v>
      </c>
      <c r="C144" s="41" t="s">
        <v>1358</v>
      </c>
      <c r="D144" s="34" t="s">
        <v>779</v>
      </c>
      <c r="E144" s="80">
        <f t="shared" si="14"/>
        <v>1.6934996202256347</v>
      </c>
      <c r="F144" s="35">
        <f t="shared" si="15"/>
        <v>53.186431760657797</v>
      </c>
      <c r="G144" s="42" cm="1">
        <f t="array" ref="G14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52.937065173641223</v>
      </c>
      <c r="H144" s="81" cm="1">
        <f t="array" ref="H1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1.6895511346149916</v>
      </c>
      <c r="I144" s="81" cm="1">
        <f t="array" ref="I1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1.6934996202256347</v>
      </c>
      <c r="J144" s="81" cm="1">
        <f t="array" ref="J1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1.6966068650822319</v>
      </c>
      <c r="K144" s="81" cm="1">
        <f t="array" ref="K1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1.7025901672642663</v>
      </c>
      <c r="L144" s="81" cm="1">
        <f t="array" ref="L1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1.7097398528383199</v>
      </c>
      <c r="M144" s="37">
        <f t="shared" si="16"/>
        <v>1.303903264927464E-2</v>
      </c>
      <c r="N144" s="43">
        <f t="shared" si="17"/>
        <v>3.9484856106430932E-3</v>
      </c>
      <c r="O144" s="43">
        <f t="shared" si="18"/>
        <v>7.1496855740535992E-3</v>
      </c>
      <c r="P144" s="43">
        <f t="shared" si="19"/>
        <v>0.30282044050735213</v>
      </c>
      <c r="Q144" s="37">
        <f t="shared" si="20"/>
        <v>0.54832944792506022</v>
      </c>
      <c r="R144" s="37">
        <v>-7.1999999999999998E-3</v>
      </c>
      <c r="S144" s="44" t="s">
        <v>1393</v>
      </c>
      <c r="T144" s="45">
        <v>1.1777614599999999</v>
      </c>
      <c r="U144" s="45">
        <v>0.63459134500000003</v>
      </c>
      <c r="V144" s="45">
        <v>1.2043564899999999</v>
      </c>
      <c r="W144" s="45">
        <v>5.5761824299999999E-3</v>
      </c>
      <c r="X144" s="45">
        <v>2.06821469E-2</v>
      </c>
      <c r="Y144" s="45">
        <v>99.632277599999995</v>
      </c>
      <c r="Z144" s="36">
        <v>3.69</v>
      </c>
      <c r="AA144" s="38">
        <v>538</v>
      </c>
      <c r="AB144" s="38">
        <v>615</v>
      </c>
      <c r="AC144" s="39" t="s">
        <v>508</v>
      </c>
      <c r="AD144" s="39" t="s">
        <v>1371</v>
      </c>
      <c r="AE144" s="46"/>
    </row>
    <row r="145" spans="1:31" ht="15" thickBot="1">
      <c r="A145" s="34">
        <v>143</v>
      </c>
      <c r="B145" s="34" t="s">
        <v>251</v>
      </c>
      <c r="C145" s="41" t="s">
        <v>1358</v>
      </c>
      <c r="D145" s="34" t="s">
        <v>780</v>
      </c>
      <c r="E145" s="80">
        <f t="shared" si="14"/>
        <v>1.6930395780335787</v>
      </c>
      <c r="F145" s="35">
        <f t="shared" si="15"/>
        <v>52.93122839740392</v>
      </c>
      <c r="G145" s="42" cm="1">
        <f t="array" ref="G14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52.702188972726866</v>
      </c>
      <c r="H145" s="81" cm="1">
        <f t="array" ref="H1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1.6890645591868565</v>
      </c>
      <c r="I145" s="81" cm="1">
        <f t="array" ref="I1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1.6930395780335787</v>
      </c>
      <c r="J145" s="81" cm="1">
        <f t="array" ref="J1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1.696159802358153</v>
      </c>
      <c r="K145" s="81" cm="1">
        <f t="array" ref="K1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1.7021577670910881</v>
      </c>
      <c r="L145" s="81" cm="1">
        <f t="array" ref="L1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1.7093163807698857</v>
      </c>
      <c r="M145" s="37">
        <f t="shared" si="16"/>
        <v>1.309320790423163E-2</v>
      </c>
      <c r="N145" s="43">
        <f t="shared" si="17"/>
        <v>3.9750188467222447E-3</v>
      </c>
      <c r="O145" s="43">
        <f t="shared" si="18"/>
        <v>7.1586136787975541E-3</v>
      </c>
      <c r="P145" s="43">
        <f t="shared" si="19"/>
        <v>0.30359396076171274</v>
      </c>
      <c r="Q145" s="37">
        <f t="shared" si="20"/>
        <v>0.54674253484388213</v>
      </c>
      <c r="R145" s="37">
        <v>-9.1000000000000004E-3</v>
      </c>
      <c r="S145" s="44" t="s">
        <v>1393</v>
      </c>
      <c r="T145" s="45">
        <v>1.0795963399999999</v>
      </c>
      <c r="U145" s="45">
        <v>0.73187213399999995</v>
      </c>
      <c r="V145" s="45">
        <v>1.17111107</v>
      </c>
      <c r="W145" s="45">
        <v>4.70047543E-3</v>
      </c>
      <c r="X145" s="45">
        <v>1.98615758E-2</v>
      </c>
      <c r="Y145" s="45">
        <v>87.035989999999998</v>
      </c>
      <c r="Z145" s="36">
        <v>3.66</v>
      </c>
      <c r="AA145" s="38">
        <v>537</v>
      </c>
      <c r="AB145" s="38">
        <v>596</v>
      </c>
      <c r="AC145" s="39" t="s">
        <v>508</v>
      </c>
      <c r="AD145" s="39" t="s">
        <v>1371</v>
      </c>
      <c r="AE145" s="46"/>
    </row>
    <row r="146" spans="1:31" ht="15" thickBot="1">
      <c r="A146" s="34">
        <v>144</v>
      </c>
      <c r="B146" s="34" t="s">
        <v>251</v>
      </c>
      <c r="C146" s="41" t="s">
        <v>1358</v>
      </c>
      <c r="D146" s="34" t="s">
        <v>781</v>
      </c>
      <c r="E146" s="80">
        <f t="shared" si="14"/>
        <v>1.7431975532039952</v>
      </c>
      <c r="F146" s="35">
        <f t="shared" si="15"/>
        <v>49.296167974930512</v>
      </c>
      <c r="G146" s="42" cm="1">
        <f t="array" ref="G14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49.047091275262297</v>
      </c>
      <c r="H146" s="81" cm="1">
        <f t="array" ref="H1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1.7386549836874954</v>
      </c>
      <c r="I146" s="81" cm="1">
        <f t="array" ref="I1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1.7431975532039952</v>
      </c>
      <c r="J146" s="81" cm="1">
        <f t="array" ref="J1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1.746788079239262</v>
      </c>
      <c r="K146" s="81" cm="1">
        <f t="array" ref="K1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1.7537311566180556</v>
      </c>
      <c r="L146" s="81" cm="1">
        <f t="array" ref="L1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1.7620688938493916</v>
      </c>
      <c r="M146" s="37">
        <f t="shared" si="16"/>
        <v>1.5076172930560183E-2</v>
      </c>
      <c r="N146" s="43">
        <f t="shared" si="17"/>
        <v>4.5425695164997837E-3</v>
      </c>
      <c r="O146" s="43">
        <f t="shared" si="18"/>
        <v>8.3377372313360176E-3</v>
      </c>
      <c r="P146" s="43">
        <f t="shared" si="19"/>
        <v>0.30130786754851824</v>
      </c>
      <c r="Q146" s="37">
        <f t="shared" si="20"/>
        <v>0.55304070003302974</v>
      </c>
      <c r="R146" s="37">
        <v>-8.8000000000000005E-3</v>
      </c>
      <c r="S146" s="44" t="s">
        <v>1393</v>
      </c>
      <c r="T146" s="45">
        <v>1.47574184</v>
      </c>
      <c r="U146" s="45">
        <v>0.49613274299999999</v>
      </c>
      <c r="V146" s="45">
        <v>1.23796236</v>
      </c>
      <c r="W146" s="45">
        <v>7.3695000000000002E-3</v>
      </c>
      <c r="X146" s="45">
        <v>2.5189174599999999E-2</v>
      </c>
      <c r="Y146" s="45">
        <v>98.030665099999993</v>
      </c>
      <c r="Z146" s="36">
        <v>4.2</v>
      </c>
      <c r="AA146" s="38">
        <v>541</v>
      </c>
      <c r="AB146" s="38">
        <v>623</v>
      </c>
      <c r="AC146" s="39" t="s">
        <v>508</v>
      </c>
      <c r="AD146" s="39" t="s">
        <v>1371</v>
      </c>
      <c r="AE146" s="46"/>
    </row>
    <row r="147" spans="1:31" ht="15" thickBot="1">
      <c r="A147" s="34">
        <v>145</v>
      </c>
      <c r="B147" s="34" t="s">
        <v>251</v>
      </c>
      <c r="C147" s="41" t="s">
        <v>1358</v>
      </c>
      <c r="D147" s="34" t="s">
        <v>782</v>
      </c>
      <c r="E147" s="80">
        <f t="shared" si="14"/>
        <v>1.7307695064108601</v>
      </c>
      <c r="F147" s="35">
        <f t="shared" si="15"/>
        <v>40.508651616900728</v>
      </c>
      <c r="G147" s="42" cm="1">
        <f t="array" ref="G14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40.252002870258977</v>
      </c>
      <c r="H147" s="81" cm="1">
        <f t="array" ref="H1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1.7254158620533462</v>
      </c>
      <c r="I147" s="81" cm="1">
        <f t="array" ref="I1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1.7307695064108601</v>
      </c>
      <c r="J147" s="81" cm="1">
        <f t="array" ref="J1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1.7350506651390525</v>
      </c>
      <c r="K147" s="81" cm="1">
        <f t="array" ref="K1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1.7434556998964299</v>
      </c>
      <c r="L147" s="81" cm="1">
        <f t="array" ref="L1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1.7537890682533657</v>
      </c>
      <c r="M147" s="37">
        <f t="shared" si="16"/>
        <v>1.8039837843083717E-2</v>
      </c>
      <c r="N147" s="43">
        <f t="shared" si="17"/>
        <v>5.3536443575139536E-3</v>
      </c>
      <c r="O147" s="43">
        <f t="shared" si="18"/>
        <v>1.0333368356935768E-2</v>
      </c>
      <c r="P147" s="43">
        <f t="shared" si="19"/>
        <v>0.29676787585795755</v>
      </c>
      <c r="Q147" s="37">
        <f t="shared" si="20"/>
        <v>0.57280827282477331</v>
      </c>
      <c r="R147" s="37">
        <v>-3.0999999999999999E-3</v>
      </c>
      <c r="S147" s="44" t="s">
        <v>1393</v>
      </c>
      <c r="T147" s="45">
        <v>1.7403896000000001</v>
      </c>
      <c r="U147" s="45">
        <v>0.176996917</v>
      </c>
      <c r="V147" s="45">
        <v>1.7677541299999999</v>
      </c>
      <c r="W147" s="45">
        <v>1.0339887000000001E-2</v>
      </c>
      <c r="X147" s="45">
        <v>4.8482276499999997E-2</v>
      </c>
      <c r="Y147" s="45">
        <v>136.67199600000001</v>
      </c>
      <c r="Z147" s="36">
        <v>3.24</v>
      </c>
      <c r="AA147" s="38">
        <v>500</v>
      </c>
      <c r="AB147" s="38">
        <v>574</v>
      </c>
      <c r="AC147" s="39" t="s">
        <v>508</v>
      </c>
      <c r="AD147" s="49" t="s">
        <v>506</v>
      </c>
      <c r="AE147" s="46"/>
    </row>
    <row r="148" spans="1:31" ht="15" thickBot="1">
      <c r="A148" s="34">
        <v>146</v>
      </c>
      <c r="B148" s="34" t="s">
        <v>251</v>
      </c>
      <c r="C148" s="41" t="s">
        <v>1358</v>
      </c>
      <c r="D148" s="34" t="s">
        <v>783</v>
      </c>
      <c r="E148" s="80">
        <f t="shared" si="14"/>
        <v>1.8062494671729978</v>
      </c>
      <c r="F148" s="35">
        <f t="shared" si="15"/>
        <v>40.907800266945117</v>
      </c>
      <c r="G148" s="42" cm="1">
        <f t="array" ref="G14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40.656426001777703</v>
      </c>
      <c r="H148" s="81" cm="1">
        <f t="array" ref="H1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1.8003934167745272</v>
      </c>
      <c r="I148" s="81" cm="1">
        <f t="array" ref="I1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1.8062494671729978</v>
      </c>
      <c r="J148" s="81" cm="1">
        <f t="array" ref="J1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1.8109307829339101</v>
      </c>
      <c r="K148" s="81" cm="1">
        <f t="array" ref="K1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1.8201023588812109</v>
      </c>
      <c r="L148" s="81" cm="1">
        <f t="array" ref="L1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1.8313210575683059</v>
      </c>
      <c r="M148" s="37">
        <f t="shared" si="16"/>
        <v>1.9708942106683613E-2</v>
      </c>
      <c r="N148" s="43">
        <f t="shared" si="17"/>
        <v>5.8560503984705914E-3</v>
      </c>
      <c r="O148" s="43">
        <f t="shared" si="18"/>
        <v>1.1218698687095019E-2</v>
      </c>
      <c r="P148" s="43">
        <f t="shared" si="19"/>
        <v>0.29712657162277178</v>
      </c>
      <c r="Q148" s="37">
        <f t="shared" si="20"/>
        <v>0.56921871434644788</v>
      </c>
      <c r="R148" s="37">
        <v>-6.1999999999999998E-3</v>
      </c>
      <c r="S148" s="44" t="s">
        <v>1393</v>
      </c>
      <c r="T148" s="45">
        <v>1.87409991</v>
      </c>
      <c r="U148" s="45">
        <v>0.297921402</v>
      </c>
      <c r="V148" s="45">
        <v>1.3506428500000001</v>
      </c>
      <c r="W148" s="45">
        <v>9.9331834399999999E-3</v>
      </c>
      <c r="X148" s="45">
        <v>4.0550182499999997E-2</v>
      </c>
      <c r="Y148" s="45">
        <v>100.5022</v>
      </c>
      <c r="Z148" s="36">
        <v>4.49</v>
      </c>
      <c r="AA148" s="38">
        <v>573</v>
      </c>
      <c r="AB148" s="38">
        <v>646</v>
      </c>
      <c r="AC148" s="39" t="s">
        <v>508</v>
      </c>
      <c r="AD148" s="49" t="s">
        <v>506</v>
      </c>
      <c r="AE148" s="46"/>
    </row>
    <row r="149" spans="1:31" ht="15" thickBot="1">
      <c r="A149" s="34">
        <v>147</v>
      </c>
      <c r="B149" s="34" t="s">
        <v>251</v>
      </c>
      <c r="C149" s="41" t="s">
        <v>1358</v>
      </c>
      <c r="D149" s="34" t="s">
        <v>784</v>
      </c>
      <c r="E149" s="80">
        <f t="shared" si="14"/>
        <v>1.8083501003858191</v>
      </c>
      <c r="F149" s="35">
        <f t="shared" si="15"/>
        <v>40.548997076013265</v>
      </c>
      <c r="G149" s="42" cm="1">
        <f t="array" ref="G14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40.297892560295658</v>
      </c>
      <c r="H149" s="81" cm="1">
        <f t="array" ref="H1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1.8024319381110567</v>
      </c>
      <c r="I149" s="81" cm="1">
        <f t="array" ref="I1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1.8083501003858191</v>
      </c>
      <c r="J149" s="81" cm="1">
        <f t="array" ref="J1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1.8130856641134467</v>
      </c>
      <c r="K149" s="81" cm="1">
        <f t="array" ref="K1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1.8223670822249909</v>
      </c>
      <c r="L149" s="81" cm="1">
        <f t="array" ref="L1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1.833716613042164</v>
      </c>
      <c r="M149" s="37">
        <f t="shared" si="16"/>
        <v>1.9935144113934156E-2</v>
      </c>
      <c r="N149" s="43">
        <f t="shared" si="17"/>
        <v>5.9181622747623841E-3</v>
      </c>
      <c r="O149" s="43">
        <f t="shared" si="18"/>
        <v>1.1349530817173159E-2</v>
      </c>
      <c r="P149" s="43">
        <f t="shared" si="19"/>
        <v>0.29687080469238947</v>
      </c>
      <c r="Q149" s="37">
        <f t="shared" si="20"/>
        <v>0.56932273738819517</v>
      </c>
      <c r="R149" s="37">
        <v>-6.7000000000000002E-3</v>
      </c>
      <c r="S149" s="44" t="s">
        <v>1393</v>
      </c>
      <c r="T149" s="45">
        <v>1.8360612700000001</v>
      </c>
      <c r="U149" s="45">
        <v>0.34172003200000001</v>
      </c>
      <c r="V149" s="45">
        <v>1.3528017299999999</v>
      </c>
      <c r="W149" s="45">
        <v>9.8196990300000002E-3</v>
      </c>
      <c r="X149" s="45">
        <v>3.8563626400000002E-2</v>
      </c>
      <c r="Y149" s="45">
        <v>107.04553</v>
      </c>
      <c r="Z149" s="36">
        <v>4.62</v>
      </c>
      <c r="AA149" s="38">
        <v>531</v>
      </c>
      <c r="AB149" s="38">
        <v>603</v>
      </c>
      <c r="AC149" s="39" t="s">
        <v>508</v>
      </c>
      <c r="AD149" s="39" t="s">
        <v>1371</v>
      </c>
      <c r="AE149" s="46"/>
    </row>
    <row r="150" spans="1:31" ht="15" thickBot="1">
      <c r="A150" s="34">
        <v>148</v>
      </c>
      <c r="B150" s="34" t="s">
        <v>251</v>
      </c>
      <c r="C150" s="41" t="s">
        <v>1358</v>
      </c>
      <c r="D150" s="34" t="s">
        <v>785</v>
      </c>
      <c r="E150" s="80">
        <f t="shared" si="14"/>
        <v>1.8540001574325635</v>
      </c>
      <c r="F150" s="35">
        <f t="shared" si="15"/>
        <v>40.37886014759026</v>
      </c>
      <c r="G150" s="42" cm="1">
        <f t="array" ref="G15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40.130512236786409</v>
      </c>
      <c r="H150" s="81" cm="1">
        <f t="array" ref="H1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1.8477211511891687</v>
      </c>
      <c r="I150" s="81" cm="1">
        <f t="array" ref="I1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1.8540001574325635</v>
      </c>
      <c r="J150" s="81" cm="1">
        <f t="array" ref="J1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1.8590248680915771</v>
      </c>
      <c r="K150" s="81" cm="1">
        <f t="array" ref="K1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1.8688708358090682</v>
      </c>
      <c r="L150" s="81" cm="1">
        <f t="array" ref="L1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1.8809032646178587</v>
      </c>
      <c r="M150" s="37">
        <f t="shared" si="16"/>
        <v>2.1149684619899523E-2</v>
      </c>
      <c r="N150" s="43">
        <f t="shared" si="17"/>
        <v>6.2790062433948357E-3</v>
      </c>
      <c r="O150" s="43">
        <f t="shared" si="18"/>
        <v>1.2032428808790518E-2</v>
      </c>
      <c r="P150" s="43">
        <f t="shared" si="19"/>
        <v>0.29688415483448782</v>
      </c>
      <c r="Q150" s="37">
        <f t="shared" si="20"/>
        <v>0.56891764700213676</v>
      </c>
      <c r="R150" s="37">
        <v>-7.3000000000000001E-3</v>
      </c>
      <c r="S150" s="44" t="s">
        <v>1393</v>
      </c>
      <c r="T150" s="45">
        <v>1.97460503</v>
      </c>
      <c r="U150" s="45">
        <v>0.361903592</v>
      </c>
      <c r="V150" s="45">
        <v>1.3843324100000001</v>
      </c>
      <c r="W150" s="45">
        <v>1.01854258E-2</v>
      </c>
      <c r="X150" s="45">
        <v>3.8482911799999998E-2</v>
      </c>
      <c r="Y150" s="45">
        <v>103.713627</v>
      </c>
      <c r="Z150" s="36">
        <v>5.25</v>
      </c>
      <c r="AA150" s="38">
        <v>616</v>
      </c>
      <c r="AB150" s="38"/>
      <c r="AC150" s="39" t="s">
        <v>508</v>
      </c>
      <c r="AD150" s="39" t="s">
        <v>1371</v>
      </c>
      <c r="AE150" s="46"/>
    </row>
    <row r="151" spans="1:31" ht="15" thickBot="1">
      <c r="A151" s="34">
        <v>149</v>
      </c>
      <c r="B151" s="34" t="s">
        <v>251</v>
      </c>
      <c r="C151" s="41" t="s">
        <v>1358</v>
      </c>
      <c r="D151" s="34" t="s">
        <v>786</v>
      </c>
      <c r="E151" s="80">
        <f t="shared" si="14"/>
        <v>1.8321995222325425</v>
      </c>
      <c r="F151" s="35">
        <f t="shared" si="15"/>
        <v>40.098085025296207</v>
      </c>
      <c r="G151" s="42" cm="1">
        <f t="array" ref="G15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39.843449357476729</v>
      </c>
      <c r="H151" s="81" cm="1">
        <f t="array" ref="H1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1.8260467630109256</v>
      </c>
      <c r="I151" s="81" cm="1">
        <f t="array" ref="I1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1.8321995222325425</v>
      </c>
      <c r="J151" s="81" cm="1">
        <f t="array" ref="J1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1.8371274975673106</v>
      </c>
      <c r="K151" s="81" cm="1">
        <f t="array" ref="K1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1.8468008594149694</v>
      </c>
      <c r="L151" s="81" cm="1">
        <f t="array" ref="L1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1.8586623952690935</v>
      </c>
      <c r="M151" s="37">
        <f t="shared" si="16"/>
        <v>2.0754096404043798E-2</v>
      </c>
      <c r="N151" s="43">
        <f t="shared" si="17"/>
        <v>6.1527592216168436E-3</v>
      </c>
      <c r="O151" s="43">
        <f t="shared" si="18"/>
        <v>1.1861535854124083E-2</v>
      </c>
      <c r="P151" s="43">
        <f t="shared" si="19"/>
        <v>0.29645999044400795</v>
      </c>
      <c r="Q151" s="37">
        <f t="shared" si="20"/>
        <v>0.57152745285566575</v>
      </c>
      <c r="R151" s="37">
        <v>-5.1999999999999998E-3</v>
      </c>
      <c r="S151" s="44" t="s">
        <v>1393</v>
      </c>
      <c r="T151" s="45">
        <v>1.97595301</v>
      </c>
      <c r="U151" s="45">
        <v>0.28392498500000002</v>
      </c>
      <c r="V151" s="45">
        <v>1.3517636799999999</v>
      </c>
      <c r="W151" s="45">
        <v>1.04276395E-2</v>
      </c>
      <c r="X151" s="45">
        <v>4.2770822200000003E-2</v>
      </c>
      <c r="Y151" s="45">
        <v>101.45371</v>
      </c>
      <c r="Z151" s="36">
        <v>4.6500000000000004</v>
      </c>
      <c r="AA151" s="38">
        <v>615</v>
      </c>
      <c r="AB151" s="38">
        <v>677</v>
      </c>
      <c r="AC151" s="39" t="s">
        <v>508</v>
      </c>
      <c r="AD151" s="39" t="s">
        <v>1371</v>
      </c>
      <c r="AE151" s="46"/>
    </row>
    <row r="152" spans="1:31" ht="15" thickBot="1">
      <c r="A152" s="34">
        <v>150</v>
      </c>
      <c r="B152" s="34" t="s">
        <v>251</v>
      </c>
      <c r="C152" s="41" t="s">
        <v>1358</v>
      </c>
      <c r="D152" s="34" t="s">
        <v>787</v>
      </c>
      <c r="E152" s="80">
        <f t="shared" si="14"/>
        <v>1.7644995304173847</v>
      </c>
      <c r="F152" s="35">
        <f t="shared" si="15"/>
        <v>49.097500525966964</v>
      </c>
      <c r="G152" s="42" cm="1">
        <f t="array" ref="G15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48.850456522807164</v>
      </c>
      <c r="H152" s="81" cm="1">
        <f t="array" ref="H1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1.759807967550836</v>
      </c>
      <c r="I152" s="81" cm="1">
        <f t="array" ref="I1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1.7644995304173847</v>
      </c>
      <c r="J152" s="81" cm="1">
        <f t="array" ref="J1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1.7682080354580048</v>
      </c>
      <c r="K152" s="81" cm="1">
        <f t="array" ref="K1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1.7753790154092306</v>
      </c>
      <c r="L152" s="81" cm="1">
        <f t="array" ref="L1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1.7839883800652765</v>
      </c>
      <c r="M152" s="37">
        <f t="shared" si="16"/>
        <v>1.5571047858394582E-2</v>
      </c>
      <c r="N152" s="43">
        <f t="shared" si="17"/>
        <v>4.6915628665487041E-3</v>
      </c>
      <c r="O152" s="43">
        <f t="shared" si="18"/>
        <v>8.6093646560458925E-3</v>
      </c>
      <c r="P152" s="43">
        <f t="shared" si="19"/>
        <v>0.30130039475920134</v>
      </c>
      <c r="Q152" s="37">
        <f t="shared" si="20"/>
        <v>0.55290849622586302</v>
      </c>
      <c r="R152" s="37">
        <v>-9.1999999999999998E-3</v>
      </c>
      <c r="S152" s="44" t="s">
        <v>1393</v>
      </c>
      <c r="T152" s="45">
        <v>1.2614412800000001</v>
      </c>
      <c r="U152" s="45">
        <v>0.78211527300000006</v>
      </c>
      <c r="V152" s="45">
        <v>1.15823645</v>
      </c>
      <c r="W152" s="45">
        <v>5.7251258200000004E-3</v>
      </c>
      <c r="X152" s="45">
        <v>2.1982975200000001E-2</v>
      </c>
      <c r="Y152" s="45">
        <v>88.048220000000001</v>
      </c>
      <c r="Z152" s="36">
        <v>4.29</v>
      </c>
      <c r="AA152" s="38">
        <v>620</v>
      </c>
      <c r="AB152" s="38">
        <v>676</v>
      </c>
      <c r="AC152" s="39" t="s">
        <v>508</v>
      </c>
      <c r="AD152" s="39" t="s">
        <v>1371</v>
      </c>
      <c r="AE152" s="46"/>
    </row>
    <row r="153" spans="1:31" ht="15" thickBot="1">
      <c r="A153" s="34">
        <v>151</v>
      </c>
      <c r="B153" s="34" t="s">
        <v>251</v>
      </c>
      <c r="C153" s="41" t="s">
        <v>1358</v>
      </c>
      <c r="D153" s="34" t="s">
        <v>788</v>
      </c>
      <c r="E153" s="80">
        <f t="shared" si="14"/>
        <v>1.8609993080970877</v>
      </c>
      <c r="F153" s="35">
        <f t="shared" si="15"/>
        <v>37.09822415667287</v>
      </c>
      <c r="G153" s="42" cm="1">
        <f t="array" ref="G15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36.847018259682166</v>
      </c>
      <c r="H153" s="81" cm="1">
        <f t="array" ref="H1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1.85416070057807</v>
      </c>
      <c r="I153" s="81" cm="1">
        <f t="array" ref="I1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1.8609993080970877</v>
      </c>
      <c r="J153" s="81" cm="1">
        <f t="array" ref="J1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1.8665035757546504</v>
      </c>
      <c r="K153" s="81" cm="1">
        <f t="array" ref="K1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1.8773693400121552</v>
      </c>
      <c r="L153" s="81" cm="1">
        <f t="array" ref="L1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1.890797475512519</v>
      </c>
      <c r="M153" s="37">
        <f t="shared" si="16"/>
        <v>2.3208639434085132E-2</v>
      </c>
      <c r="N153" s="43">
        <f t="shared" si="17"/>
        <v>6.8386075190176587E-3</v>
      </c>
      <c r="O153" s="43">
        <f t="shared" si="18"/>
        <v>1.3428135500363814E-2</v>
      </c>
      <c r="P153" s="43">
        <f t="shared" si="19"/>
        <v>0.2946578380193286</v>
      </c>
      <c r="Q153" s="37">
        <f t="shared" si="20"/>
        <v>0.57858348562400941</v>
      </c>
      <c r="R153" s="37">
        <v>-2.8999999999999998E-3</v>
      </c>
      <c r="S153" s="44" t="s">
        <v>1393</v>
      </c>
      <c r="T153" s="45">
        <v>2.0062142000000001</v>
      </c>
      <c r="U153" s="45">
        <v>0.34702988800000001</v>
      </c>
      <c r="V153" s="45">
        <v>1.41688382</v>
      </c>
      <c r="W153" s="45">
        <v>1.05499238E-2</v>
      </c>
      <c r="X153" s="45">
        <v>4.4584501300000003E-2</v>
      </c>
      <c r="Y153" s="45">
        <v>105.99525</v>
      </c>
      <c r="Z153" s="36">
        <v>4.8899999999999997</v>
      </c>
      <c r="AA153" s="38">
        <v>595</v>
      </c>
      <c r="AB153" s="38">
        <v>664</v>
      </c>
      <c r="AC153" s="39" t="s">
        <v>508</v>
      </c>
      <c r="AD153" s="39" t="s">
        <v>1371</v>
      </c>
      <c r="AE153" s="46"/>
    </row>
    <row r="154" spans="1:31" ht="15" thickBot="1">
      <c r="A154" s="34">
        <v>152</v>
      </c>
      <c r="B154" s="34" t="s">
        <v>251</v>
      </c>
      <c r="C154" s="41" t="s">
        <v>1358</v>
      </c>
      <c r="D154" s="34" t="s">
        <v>1372</v>
      </c>
      <c r="E154" s="80">
        <f t="shared" si="14"/>
        <v>1.8849998558845866</v>
      </c>
      <c r="F154" s="35">
        <f t="shared" si="15"/>
        <v>30.164174612227082</v>
      </c>
      <c r="G154" s="42" cm="1">
        <f t="array" ref="G15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29.93934029792095</v>
      </c>
      <c r="H154" s="81" cm="1">
        <f t="array" ref="H1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1.876474225913298</v>
      </c>
      <c r="I154" s="81" cm="1">
        <f t="array" ref="I1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1.8849998558845866</v>
      </c>
      <c r="J154" s="81" cm="1">
        <f t="array" ref="J1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1.8919328797201092</v>
      </c>
      <c r="K154" s="81" cm="1">
        <f t="array" ref="K1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1.9058136614278323</v>
      </c>
      <c r="L154" s="81" cm="1">
        <f t="array" ref="L1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1.9233592843118257</v>
      </c>
      <c r="M154" s="37">
        <f t="shared" si="16"/>
        <v>2.9339435514534218E-2</v>
      </c>
      <c r="N154" s="43">
        <f t="shared" si="17"/>
        <v>8.5256299712885841E-3</v>
      </c>
      <c r="O154" s="43">
        <f t="shared" si="18"/>
        <v>1.7545622883993417E-2</v>
      </c>
      <c r="P154" s="43">
        <f t="shared" si="19"/>
        <v>0.29058602600125499</v>
      </c>
      <c r="Q154" s="37">
        <f t="shared" si="20"/>
        <v>0.5980218288556246</v>
      </c>
      <c r="R154" s="37">
        <v>5.1999999999999998E-3</v>
      </c>
      <c r="S154" s="44" t="s">
        <v>1393</v>
      </c>
      <c r="T154" s="45">
        <v>2.0663624700000001</v>
      </c>
      <c r="U154" s="45">
        <v>0.34931583199999999</v>
      </c>
      <c r="V154" s="45">
        <v>1.91746463</v>
      </c>
      <c r="W154" s="45">
        <v>1.22133846E-2</v>
      </c>
      <c r="X154" s="45">
        <v>5.5595990800000002E-2</v>
      </c>
      <c r="Y154" s="45">
        <v>125.47362</v>
      </c>
      <c r="Z154" s="36">
        <v>3.99</v>
      </c>
      <c r="AA154" s="38">
        <v>622</v>
      </c>
      <c r="AB154" s="38">
        <v>701</v>
      </c>
      <c r="AC154" s="49" t="s">
        <v>506</v>
      </c>
      <c r="AD154" s="49" t="s">
        <v>1385</v>
      </c>
      <c r="AE154" s="46"/>
    </row>
    <row r="155" spans="1:31" ht="15" thickBot="1">
      <c r="A155" s="34">
        <v>153</v>
      </c>
      <c r="B155" s="34" t="s">
        <v>251</v>
      </c>
      <c r="C155" s="41" t="s">
        <v>1356</v>
      </c>
      <c r="D155" s="34" t="s">
        <v>1373</v>
      </c>
      <c r="E155" s="80">
        <f t="shared" si="14"/>
        <v>1.8413900784185617</v>
      </c>
      <c r="F155" s="35">
        <f t="shared" si="15"/>
        <v>24.559372959381275</v>
      </c>
      <c r="G155" s="42" cm="1">
        <f t="array" ref="G15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24.371365929531862</v>
      </c>
      <c r="H155" s="81" cm="1">
        <f t="array" ref="H1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1.8315725383867671</v>
      </c>
      <c r="I155" s="81" cm="1">
        <f t="array" ref="I1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1.8413900784185617</v>
      </c>
      <c r="J155" s="81" cm="1">
        <f t="array" ref="J1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1.8494673189474902</v>
      </c>
      <c r="K155" s="81" cm="1">
        <f t="array" ref="K1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1.8658319667447361</v>
      </c>
      <c r="L155" s="81" cm="1">
        <f t="array" ref="L1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1.8868245135582389</v>
      </c>
      <c r="M155" s="37">
        <f t="shared" si="16"/>
        <v>3.4259428357968913E-2</v>
      </c>
      <c r="N155" s="43">
        <f t="shared" si="17"/>
        <v>9.8175400317945805E-3</v>
      </c>
      <c r="O155" s="43">
        <f t="shared" si="18"/>
        <v>2.0992546813502821E-2</v>
      </c>
      <c r="P155" s="43">
        <f t="shared" si="19"/>
        <v>0.28656461891930463</v>
      </c>
      <c r="Q155" s="37">
        <f t="shared" si="20"/>
        <v>0.61275239604573994</v>
      </c>
      <c r="R155" s="37">
        <v>1.0999999999999999E-2</v>
      </c>
      <c r="S155" s="44" t="s">
        <v>1393</v>
      </c>
      <c r="T155" s="45">
        <v>1.7855267699999999</v>
      </c>
      <c r="U155" s="45">
        <v>0.44668487099999998</v>
      </c>
      <c r="V155" s="45">
        <v>1.21749317</v>
      </c>
      <c r="W155" s="45">
        <v>1.36046011E-2</v>
      </c>
      <c r="X155" s="45">
        <v>5.7087515200000001E-2</v>
      </c>
      <c r="Y155" s="45">
        <v>129.967536</v>
      </c>
      <c r="Z155" s="36">
        <v>5.35</v>
      </c>
      <c r="AA155" s="38">
        <v>386</v>
      </c>
      <c r="AB155" s="38">
        <v>443</v>
      </c>
      <c r="AC155" s="49" t="s">
        <v>506</v>
      </c>
      <c r="AD155" s="49" t="s">
        <v>1385</v>
      </c>
      <c r="AE155" s="46"/>
    </row>
    <row r="156" spans="1:31" ht="15" thickBot="1">
      <c r="A156" s="34">
        <v>154</v>
      </c>
      <c r="B156" s="34" t="s">
        <v>251</v>
      </c>
      <c r="C156" s="41" t="s">
        <v>1355</v>
      </c>
      <c r="D156" s="34" t="s">
        <v>1374</v>
      </c>
      <c r="E156" s="80">
        <f t="shared" si="14"/>
        <v>1.5638389144445466</v>
      </c>
      <c r="F156" s="35">
        <f t="shared" si="15"/>
        <v>60.667288675467688</v>
      </c>
      <c r="G156" s="42" cm="1">
        <f t="array" ref="G15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60.423552571195074</v>
      </c>
      <c r="H156" s="81" cm="1">
        <f t="array" ref="H1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1.5610005394402127</v>
      </c>
      <c r="I156" s="81" cm="1">
        <f t="array" ref="I1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1.5638389144445466</v>
      </c>
      <c r="J156" s="81" cm="1">
        <f t="array" ref="J1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1.5660559487318229</v>
      </c>
      <c r="K156" s="81" cm="1">
        <f t="array" ref="K1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1.5702944921906106</v>
      </c>
      <c r="L156" s="81" cm="1">
        <f t="array" ref="L1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1.5753161957238817</v>
      </c>
      <c r="M156" s="37">
        <f t="shared" si="16"/>
        <v>9.2939527503979047E-3</v>
      </c>
      <c r="N156" s="43">
        <f t="shared" si="17"/>
        <v>2.8383750043339262E-3</v>
      </c>
      <c r="O156" s="43">
        <f t="shared" si="18"/>
        <v>5.0217035332711379E-3</v>
      </c>
      <c r="P156" s="43">
        <f t="shared" si="19"/>
        <v>0.30540019737160878</v>
      </c>
      <c r="Q156" s="37">
        <f t="shared" si="20"/>
        <v>0.54031946020557742</v>
      </c>
      <c r="R156" s="37">
        <v>-3.0999999999999999E-3</v>
      </c>
      <c r="S156" s="44" t="s">
        <v>1393</v>
      </c>
      <c r="T156" s="45">
        <v>1.2434419999999999</v>
      </c>
      <c r="U156" s="45">
        <v>0.16630110400000001</v>
      </c>
      <c r="V156" s="45">
        <v>1.10586114</v>
      </c>
      <c r="W156" s="45">
        <v>1.16396708E-2</v>
      </c>
      <c r="X156" s="45">
        <v>-8.9046493800000008E-3</v>
      </c>
      <c r="Y156" s="45">
        <v>114.11122</v>
      </c>
      <c r="Z156" s="36">
        <v>2.78</v>
      </c>
      <c r="AA156" s="38">
        <v>541</v>
      </c>
      <c r="AB156" s="38">
        <v>644</v>
      </c>
      <c r="AC156" s="49" t="s">
        <v>506</v>
      </c>
      <c r="AD156" s="49" t="s">
        <v>1385</v>
      </c>
      <c r="AE156" s="46"/>
    </row>
    <row r="157" spans="1:31" ht="15" thickBot="1">
      <c r="A157" s="34">
        <v>155</v>
      </c>
      <c r="B157" s="34" t="s">
        <v>251</v>
      </c>
      <c r="C157" s="41" t="s">
        <v>1358</v>
      </c>
      <c r="D157" s="34" t="s">
        <v>1375</v>
      </c>
      <c r="E157" s="80">
        <f t="shared" si="14"/>
        <v>1.6515968963607683</v>
      </c>
      <c r="F157" s="35">
        <f t="shared" si="15"/>
        <v>58.551346032757174</v>
      </c>
      <c r="G157" s="42" cm="1">
        <f t="array" ref="G15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58.303587756820676</v>
      </c>
      <c r="H157" s="81" cm="1">
        <f t="array" ref="H1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1.6482065190344424</v>
      </c>
      <c r="I157" s="81" cm="1">
        <f t="array" ref="I1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1.6515968963607683</v>
      </c>
      <c r="J157" s="81" cm="1">
        <f t="array" ref="J1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1.6542508226520867</v>
      </c>
      <c r="K157" s="81" cm="1">
        <f t="array" ref="K1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1.6593351598003818</v>
      </c>
      <c r="L157" s="81" cm="1">
        <f t="array" ref="L1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1.6653744520232912</v>
      </c>
      <c r="M157" s="37">
        <f t="shared" si="16"/>
        <v>1.1128640765939446E-2</v>
      </c>
      <c r="N157" s="43">
        <f t="shared" si="17"/>
        <v>3.3903773263259662E-3</v>
      </c>
      <c r="O157" s="43">
        <f t="shared" si="18"/>
        <v>6.0392922229093315E-3</v>
      </c>
      <c r="P157" s="43">
        <f t="shared" si="19"/>
        <v>0.30465331729483325</v>
      </c>
      <c r="Q157" s="37">
        <f t="shared" si="20"/>
        <v>0.54268013047858621</v>
      </c>
      <c r="R157" s="37">
        <v>-4.1999999999999997E-3</v>
      </c>
      <c r="S157" s="44" t="s">
        <v>1393</v>
      </c>
      <c r="T157" s="45">
        <v>0.91612124699999997</v>
      </c>
      <c r="U157" s="45">
        <v>0.76594831900000004</v>
      </c>
      <c r="V157" s="45">
        <v>1.2774502299999999</v>
      </c>
      <c r="W157" s="45">
        <v>3.9588974300000003E-3</v>
      </c>
      <c r="X157" s="45">
        <v>1.6754742499999999E-2</v>
      </c>
      <c r="Y157" s="45">
        <v>110.76270599999999</v>
      </c>
      <c r="Z157" s="36">
        <v>3.73</v>
      </c>
      <c r="AA157" s="38">
        <v>617</v>
      </c>
      <c r="AB157" s="38">
        <v>694</v>
      </c>
      <c r="AC157" s="49" t="s">
        <v>506</v>
      </c>
      <c r="AD157" s="49" t="s">
        <v>1385</v>
      </c>
      <c r="AE157" s="46"/>
    </row>
    <row r="158" spans="1:31" ht="15" thickBot="1">
      <c r="A158" s="34">
        <v>156</v>
      </c>
      <c r="B158" s="34" t="s">
        <v>251</v>
      </c>
      <c r="C158" s="41" t="s">
        <v>1358</v>
      </c>
      <c r="D158" s="34" t="s">
        <v>1376</v>
      </c>
      <c r="E158" s="80">
        <f t="shared" si="14"/>
        <v>1.6509958931283946</v>
      </c>
      <c r="F158" s="35">
        <f t="shared" si="15"/>
        <v>56.164384909067905</v>
      </c>
      <c r="G158" s="42" cm="1">
        <f t="array" ref="G15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55.889663246489995</v>
      </c>
      <c r="H158" s="81" cm="1">
        <f t="array" ref="H1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1.6474850464903801</v>
      </c>
      <c r="I158" s="81" cm="1">
        <f t="array" ref="I1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1.6509958931283946</v>
      </c>
      <c r="J158" s="81" cm="1">
        <f t="array" ref="J1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1.6537581189781196</v>
      </c>
      <c r="K158" s="81" cm="1">
        <f t="array" ref="K1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1.659075948699714</v>
      </c>
      <c r="L158" s="81" cm="1">
        <f t="array" ref="L1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1.6654299680065119</v>
      </c>
      <c r="M158" s="37">
        <f t="shared" si="16"/>
        <v>1.1590902209333898E-2</v>
      </c>
      <c r="N158" s="43">
        <f t="shared" si="17"/>
        <v>3.5108466380144865E-3</v>
      </c>
      <c r="O158" s="43">
        <f t="shared" si="18"/>
        <v>6.3540193067979089E-3</v>
      </c>
      <c r="P158" s="43">
        <f t="shared" si="19"/>
        <v>0.30289675252261894</v>
      </c>
      <c r="Q158" s="37">
        <f t="shared" si="20"/>
        <v>0.54819022644166193</v>
      </c>
      <c r="R158" s="37">
        <v>-2.3999999999999998E-3</v>
      </c>
      <c r="S158" s="44" t="s">
        <v>1393</v>
      </c>
      <c r="T158" s="45">
        <v>1.4191018900000001</v>
      </c>
      <c r="U158" s="45">
        <v>0.25841688099999999</v>
      </c>
      <c r="V158" s="45">
        <v>1.07385537</v>
      </c>
      <c r="W158" s="45">
        <v>7.2664742799999999E-3</v>
      </c>
      <c r="X158" s="45">
        <v>2.63842499E-2</v>
      </c>
      <c r="Y158" s="45">
        <v>102.555463</v>
      </c>
      <c r="Z158" s="36">
        <v>3.82</v>
      </c>
      <c r="AA158" s="38">
        <v>651</v>
      </c>
      <c r="AB158" s="38">
        <v>723</v>
      </c>
      <c r="AC158" s="49" t="s">
        <v>506</v>
      </c>
      <c r="AD158" s="49" t="s">
        <v>1385</v>
      </c>
      <c r="AE158" s="46"/>
    </row>
    <row r="159" spans="1:31" ht="15" thickBot="1">
      <c r="A159" s="34">
        <v>157</v>
      </c>
      <c r="B159" s="34" t="s">
        <v>251</v>
      </c>
      <c r="C159" s="41" t="s">
        <v>1358</v>
      </c>
      <c r="D159" s="34" t="s">
        <v>1377</v>
      </c>
      <c r="E159" s="80">
        <f t="shared" si="14"/>
        <v>1.7200015076685546</v>
      </c>
      <c r="F159" s="35">
        <f t="shared" si="15"/>
        <v>46.025128769348207</v>
      </c>
      <c r="G159" s="42" cm="1">
        <f t="array" ref="G15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45.747388534837796</v>
      </c>
      <c r="H159" s="81" cm="1">
        <f t="array" ref="H1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1.7153293663103526</v>
      </c>
      <c r="I159" s="81" cm="1">
        <f t="array" ref="I1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1.7200015076685546</v>
      </c>
      <c r="J159" s="81" cm="1">
        <f t="array" ref="J1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1.7237207231260534</v>
      </c>
      <c r="K159" s="81" cm="1">
        <f t="array" ref="K1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1.7309730272173496</v>
      </c>
      <c r="L159" s="81" cm="1">
        <f t="array" ref="L1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1.7397896844856804</v>
      </c>
      <c r="M159" s="37">
        <f t="shared" si="16"/>
        <v>1.5643660906996981E-2</v>
      </c>
      <c r="N159" s="43">
        <f t="shared" si="17"/>
        <v>4.6721413582020421E-3</v>
      </c>
      <c r="O159" s="43">
        <f t="shared" si="18"/>
        <v>8.8166572683308075E-3</v>
      </c>
      <c r="P159" s="43">
        <f t="shared" si="19"/>
        <v>0.29866035744307917</v>
      </c>
      <c r="Q159" s="37">
        <f t="shared" si="20"/>
        <v>0.5635929671926958</v>
      </c>
      <c r="R159" s="37">
        <v>-3.5000000000000001E-3</v>
      </c>
      <c r="S159" s="44" t="s">
        <v>1393</v>
      </c>
      <c r="T159" s="45">
        <v>1.7388333</v>
      </c>
      <c r="U159" s="45">
        <v>0.15093743000000001</v>
      </c>
      <c r="V159" s="45">
        <v>1.1211844500000001</v>
      </c>
      <c r="W159" s="45">
        <v>9.8024410499999992E-3</v>
      </c>
      <c r="X159" s="45">
        <v>4.3317968499999998E-2</v>
      </c>
      <c r="Y159" s="45">
        <v>101.214625</v>
      </c>
      <c r="Z159" s="36">
        <v>4.0999999999999996</v>
      </c>
      <c r="AA159" s="38">
        <v>629</v>
      </c>
      <c r="AB159" s="38">
        <v>713</v>
      </c>
      <c r="AC159" s="49" t="s">
        <v>506</v>
      </c>
      <c r="AD159" s="49" t="s">
        <v>1385</v>
      </c>
      <c r="AE159" s="46"/>
    </row>
    <row r="160" spans="1:31" ht="15" thickBot="1">
      <c r="A160" s="34">
        <v>158</v>
      </c>
      <c r="B160" s="34" t="s">
        <v>251</v>
      </c>
      <c r="C160" s="41" t="s">
        <v>1355</v>
      </c>
      <c r="D160" s="34" t="s">
        <v>1378</v>
      </c>
      <c r="E160" s="80">
        <f t="shared" si="14"/>
        <v>1.5709888973442334</v>
      </c>
      <c r="F160" s="35">
        <f t="shared" si="15"/>
        <v>50.800469201328035</v>
      </c>
      <c r="G160" s="42" cm="1">
        <f t="array" ref="G16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50.504555752553607</v>
      </c>
      <c r="H160" s="81" cm="1">
        <f t="array" ref="H1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1.5676156738078786</v>
      </c>
      <c r="I160" s="81" cm="1">
        <f t="array" ref="I1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1.5709888973442334</v>
      </c>
      <c r="J160" s="81" cm="1">
        <f t="array" ref="J1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1.5736627931583826</v>
      </c>
      <c r="K160" s="81" cm="1">
        <f t="array" ref="K1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1.5788555089180887</v>
      </c>
      <c r="L160" s="81" cm="1">
        <f t="array" ref="L1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1.5851373383056278</v>
      </c>
      <c r="M160" s="37">
        <f t="shared" si="16"/>
        <v>1.1239835110210095E-2</v>
      </c>
      <c r="N160" s="43">
        <f t="shared" si="17"/>
        <v>3.3732235363548302E-3</v>
      </c>
      <c r="O160" s="43">
        <f t="shared" si="18"/>
        <v>6.2818293875390729E-3</v>
      </c>
      <c r="P160" s="43">
        <f t="shared" si="19"/>
        <v>0.30011325818211027</v>
      </c>
      <c r="Q160" s="37">
        <f t="shared" si="20"/>
        <v>0.55888981697184814</v>
      </c>
      <c r="R160" s="37">
        <v>-5.0000000000000001E-4</v>
      </c>
      <c r="S160" s="44" t="s">
        <v>1393</v>
      </c>
      <c r="T160" s="45">
        <v>1.30923813</v>
      </c>
      <c r="U160" s="45">
        <v>0.114137353</v>
      </c>
      <c r="V160" s="45">
        <v>1.17882259</v>
      </c>
      <c r="W160" s="45">
        <v>8.3887395299999997E-3</v>
      </c>
      <c r="X160" s="45">
        <v>3.9943648499999998E-2</v>
      </c>
      <c r="Y160" s="45">
        <v>140.257892</v>
      </c>
      <c r="Z160" s="36">
        <v>2.89</v>
      </c>
      <c r="AA160" s="38">
        <v>540</v>
      </c>
      <c r="AB160" s="38">
        <v>663</v>
      </c>
      <c r="AC160" s="49" t="s">
        <v>506</v>
      </c>
      <c r="AD160" s="49" t="s">
        <v>1385</v>
      </c>
      <c r="AE160" s="46"/>
    </row>
    <row r="161" spans="1:31" ht="15" thickBot="1">
      <c r="A161" s="34">
        <v>159</v>
      </c>
      <c r="B161" s="34" t="s">
        <v>251</v>
      </c>
      <c r="C161" s="41" t="s">
        <v>1355</v>
      </c>
      <c r="D161" s="34" t="s">
        <v>1379</v>
      </c>
      <c r="E161" s="80">
        <f t="shared" si="14"/>
        <v>1.6700288682364963</v>
      </c>
      <c r="F161" s="35">
        <f t="shared" si="15"/>
        <v>47.231487440617222</v>
      </c>
      <c r="G161" s="42" cm="1">
        <f t="array" ref="G16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46.947077289434489</v>
      </c>
      <c r="H161" s="81" cm="1">
        <f t="array" ref="H1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1.6657875718132902</v>
      </c>
      <c r="I161" s="81" cm="1">
        <f t="array" ref="I1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1.6700288682364963</v>
      </c>
      <c r="J161" s="81" cm="1">
        <f t="array" ref="J1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1.6734017774101817</v>
      </c>
      <c r="K161" s="81" cm="1">
        <f t="array" ref="K1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1.679973635063551</v>
      </c>
      <c r="L161" s="81" cm="1">
        <f t="array" ref="L1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1.6879572620867087</v>
      </c>
      <c r="M161" s="37">
        <f t="shared" si="16"/>
        <v>1.4186063250260839E-2</v>
      </c>
      <c r="N161" s="43">
        <f t="shared" si="17"/>
        <v>4.2412964232061423E-3</v>
      </c>
      <c r="O161" s="43">
        <f t="shared" si="18"/>
        <v>7.9836270231576911E-3</v>
      </c>
      <c r="P161" s="43">
        <f t="shared" si="19"/>
        <v>0.29897628033825085</v>
      </c>
      <c r="Q161" s="37">
        <f t="shared" si="20"/>
        <v>0.56277960152270545</v>
      </c>
      <c r="R161" s="37">
        <v>-2.3999999999999998E-3</v>
      </c>
      <c r="S161" s="44" t="s">
        <v>1393</v>
      </c>
      <c r="T161" s="45">
        <v>1.59034337</v>
      </c>
      <c r="U161" s="45">
        <v>0.138464579</v>
      </c>
      <c r="V161" s="45">
        <v>1.2198804299999999</v>
      </c>
      <c r="W161" s="45">
        <v>9.3273434000000002E-3</v>
      </c>
      <c r="X161" s="45">
        <v>4.2749865400000003E-2</v>
      </c>
      <c r="Y161" s="45">
        <v>119.251777</v>
      </c>
      <c r="Z161" s="36">
        <v>3.48</v>
      </c>
      <c r="AA161" s="38">
        <v>623</v>
      </c>
      <c r="AB161" s="38">
        <v>734</v>
      </c>
      <c r="AC161" s="49" t="s">
        <v>506</v>
      </c>
      <c r="AD161" s="49" t="s">
        <v>1385</v>
      </c>
      <c r="AE161" s="46"/>
    </row>
    <row r="162" spans="1:31" ht="15" thickBot="1">
      <c r="A162" s="34">
        <v>160</v>
      </c>
      <c r="B162" s="34" t="s">
        <v>251</v>
      </c>
      <c r="C162" s="41" t="s">
        <v>1356</v>
      </c>
      <c r="D162" s="34" t="s">
        <v>1380</v>
      </c>
      <c r="E162" s="80">
        <f t="shared" si="14"/>
        <v>1.6476888244961745</v>
      </c>
      <c r="F162" s="35">
        <f t="shared" si="15"/>
        <v>33.793225463075558</v>
      </c>
      <c r="G162" s="42" cm="1">
        <f t="array" ref="G16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33.533068031997338</v>
      </c>
      <c r="H162" s="81" cm="1">
        <f t="array" ref="H1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1.6420958614223404</v>
      </c>
      <c r="I162" s="81" cm="1">
        <f t="array" ref="I1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1.6476888244961745</v>
      </c>
      <c r="J162" s="81" cm="1">
        <f t="array" ref="J1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1.6522204980888129</v>
      </c>
      <c r="K162" s="81" cm="1">
        <f t="array" ref="K1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1.6612620941693115</v>
      </c>
      <c r="L162" s="81" cm="1">
        <f t="array" ref="L1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1.6726457160590209</v>
      </c>
      <c r="M162" s="37">
        <f t="shared" si="16"/>
        <v>1.9166232746971046E-2</v>
      </c>
      <c r="N162" s="43">
        <f t="shared" si="17"/>
        <v>5.5929630738340563E-3</v>
      </c>
      <c r="O162" s="43">
        <f t="shared" si="18"/>
        <v>1.1383621889709428E-2</v>
      </c>
      <c r="P162" s="43">
        <f t="shared" si="19"/>
        <v>0.29181337551678982</v>
      </c>
      <c r="Q162" s="37">
        <f t="shared" si="20"/>
        <v>0.5939415450075054</v>
      </c>
      <c r="R162" s="37">
        <v>7.0000000000000001E-3</v>
      </c>
      <c r="S162" s="44" t="s">
        <v>1393</v>
      </c>
      <c r="T162" s="45">
        <v>1.44222294</v>
      </c>
      <c r="U162" s="45">
        <v>0.19443226499999999</v>
      </c>
      <c r="V162" s="45">
        <v>1.74092482</v>
      </c>
      <c r="W162" s="45">
        <v>1.0424940400000001E-2</v>
      </c>
      <c r="X162" s="45">
        <v>5.5023525699999999E-2</v>
      </c>
      <c r="Y162" s="45">
        <v>169.710769</v>
      </c>
      <c r="Z162" s="36">
        <v>2.79</v>
      </c>
      <c r="AA162" s="38">
        <v>593</v>
      </c>
      <c r="AB162" s="38">
        <v>692</v>
      </c>
      <c r="AC162" s="49" t="s">
        <v>506</v>
      </c>
      <c r="AD162" s="49" t="s">
        <v>1385</v>
      </c>
      <c r="AE162" s="46"/>
    </row>
    <row r="163" spans="1:31" ht="15" thickBot="1">
      <c r="A163" s="34">
        <v>161</v>
      </c>
      <c r="B163" s="34" t="s">
        <v>251</v>
      </c>
      <c r="C163" s="41" t="s">
        <v>1356</v>
      </c>
      <c r="D163" s="34" t="s">
        <v>1381</v>
      </c>
      <c r="E163" s="80">
        <f t="shared" si="14"/>
        <v>1.7846957315764465</v>
      </c>
      <c r="F163" s="35">
        <f t="shared" si="15"/>
        <v>26.291557253491586</v>
      </c>
      <c r="G163" s="42" cm="1">
        <f t="array" ref="G16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26.079029140603733</v>
      </c>
      <c r="H163" s="81" cm="1">
        <f t="array" ref="H1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1.7761250636014725</v>
      </c>
      <c r="I163" s="81" cm="1">
        <f t="array" ref="I1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1.7846957315764465</v>
      </c>
      <c r="J163" s="81" cm="1">
        <f t="array" ref="J1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1.7917289840403854</v>
      </c>
      <c r="K163" s="81" cm="1">
        <f t="array" ref="K1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1.8059709842523779</v>
      </c>
      <c r="L163" s="81" cm="1">
        <f t="array" ref="L1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1.8242850033521052</v>
      </c>
      <c r="M163" s="37">
        <f t="shared" si="16"/>
        <v>2.9845920650905411E-2</v>
      </c>
      <c r="N163" s="43">
        <f t="shared" si="17"/>
        <v>8.5706679749739667E-3</v>
      </c>
      <c r="O163" s="43">
        <f t="shared" si="18"/>
        <v>1.8314019099727297E-2</v>
      </c>
      <c r="P163" s="43">
        <f t="shared" si="19"/>
        <v>0.28716379954303622</v>
      </c>
      <c r="Q163" s="37">
        <f t="shared" si="20"/>
        <v>0.61361883635416414</v>
      </c>
      <c r="R163" s="37">
        <v>1.46E-2</v>
      </c>
      <c r="S163" s="44" t="s">
        <v>1393</v>
      </c>
      <c r="T163" s="45">
        <v>1.73986485</v>
      </c>
      <c r="U163" s="45">
        <v>0.31389491800000002</v>
      </c>
      <c r="V163" s="45">
        <v>2.3109320599999998</v>
      </c>
      <c r="W163" s="45">
        <v>1.294413E-2</v>
      </c>
      <c r="X163" s="45">
        <v>6.1211686799999998E-2</v>
      </c>
      <c r="Y163" s="45">
        <v>197.42048199999999</v>
      </c>
      <c r="Z163" s="36">
        <v>3.3</v>
      </c>
      <c r="AA163" s="38">
        <v>604</v>
      </c>
      <c r="AB163" s="38">
        <v>684</v>
      </c>
      <c r="AC163" s="49" t="s">
        <v>506</v>
      </c>
      <c r="AD163" s="49" t="s">
        <v>1385</v>
      </c>
      <c r="AE163" s="46"/>
    </row>
    <row r="164" spans="1:31" ht="15" thickBot="1">
      <c r="A164" s="34">
        <v>162</v>
      </c>
      <c r="B164" s="34" t="s">
        <v>251</v>
      </c>
      <c r="C164" s="41" t="s">
        <v>1358</v>
      </c>
      <c r="D164" s="34" t="s">
        <v>1382</v>
      </c>
      <c r="E164" s="80">
        <f t="shared" si="14"/>
        <v>1.6935008788493224</v>
      </c>
      <c r="F164" s="35">
        <f t="shared" si="15"/>
        <v>53.205958630977314</v>
      </c>
      <c r="G164" s="42" cm="1">
        <f t="array" ref="G16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52.967764005799168</v>
      </c>
      <c r="H164" s="81" cm="1">
        <f t="array" ref="H1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1.6895475222014351</v>
      </c>
      <c r="I164" s="81" cm="1">
        <f t="array" ref="I1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1.6935008788493224</v>
      </c>
      <c r="J164" s="81" cm="1">
        <f t="array" ref="J1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1.6966070244133253</v>
      </c>
      <c r="K164" s="81" cm="1">
        <f t="array" ref="K1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1.7025817931119409</v>
      </c>
      <c r="L164" s="81" cm="1">
        <f t="array" ref="L1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1.709715754913393</v>
      </c>
      <c r="M164" s="37">
        <f t="shared" si="16"/>
        <v>1.3034270910505796E-2</v>
      </c>
      <c r="N164" s="43">
        <f t="shared" si="17"/>
        <v>3.9533566478873183E-3</v>
      </c>
      <c r="O164" s="43">
        <f t="shared" si="18"/>
        <v>7.1339618014520934E-3</v>
      </c>
      <c r="P164" s="43">
        <f t="shared" si="19"/>
        <v>0.30330477822897328</v>
      </c>
      <c r="Q164" s="37">
        <f t="shared" si="20"/>
        <v>0.54732342533267631</v>
      </c>
      <c r="R164" s="37">
        <v>-8.0999999999999996E-3</v>
      </c>
      <c r="S164" s="44" t="s">
        <v>1393</v>
      </c>
      <c r="T164" s="45">
        <v>0.98007126700000002</v>
      </c>
      <c r="U164" s="45">
        <v>0.83290477600000001</v>
      </c>
      <c r="V164" s="45">
        <v>1.2811199499999999</v>
      </c>
      <c r="W164" s="45">
        <v>3.8912369800000002E-3</v>
      </c>
      <c r="X164" s="45">
        <v>1.8916459199999999E-2</v>
      </c>
      <c r="Y164" s="45">
        <v>98.905267600000002</v>
      </c>
      <c r="Z164" s="36">
        <v>3.6</v>
      </c>
      <c r="AA164" s="38">
        <v>641</v>
      </c>
      <c r="AB164" s="38">
        <v>701</v>
      </c>
      <c r="AC164" s="49" t="s">
        <v>506</v>
      </c>
      <c r="AD164" s="49" t="s">
        <v>1385</v>
      </c>
      <c r="AE164" s="46"/>
    </row>
    <row r="165" spans="1:31" ht="15" thickBot="1">
      <c r="A165" s="34">
        <v>163</v>
      </c>
      <c r="B165" s="34" t="s">
        <v>251</v>
      </c>
      <c r="C165" s="41" t="s">
        <v>1358</v>
      </c>
      <c r="D165" s="34" t="s">
        <v>1383</v>
      </c>
      <c r="E165" s="80">
        <f t="shared" si="14"/>
        <v>1.7569978539405489</v>
      </c>
      <c r="F165" s="35">
        <f t="shared" si="15"/>
        <v>47.823744441559022</v>
      </c>
      <c r="G165" s="42" cm="1">
        <f t="array" ref="G16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47.57730341684762</v>
      </c>
      <c r="H165" s="81" cm="1">
        <f t="array" ref="H1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1.7522341621537811</v>
      </c>
      <c r="I165" s="81" cm="1">
        <f t="array" ref="I1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1.7569978539405489</v>
      </c>
      <c r="J165" s="81" cm="1">
        <f t="array" ref="J1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1.7607642176145315</v>
      </c>
      <c r="K165" s="81" cm="1">
        <f t="array" ref="K1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1.7680630743976897</v>
      </c>
      <c r="L165" s="81" cm="1">
        <f t="array" ref="L1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1.7768740444376756</v>
      </c>
      <c r="M165" s="37">
        <f t="shared" si="16"/>
        <v>1.5828912243908588E-2</v>
      </c>
      <c r="N165" s="43">
        <f t="shared" si="17"/>
        <v>4.7636917867677209E-3</v>
      </c>
      <c r="O165" s="43">
        <f t="shared" si="18"/>
        <v>8.810970039985877E-3</v>
      </c>
      <c r="P165" s="43">
        <f t="shared" si="19"/>
        <v>0.30094877736156023</v>
      </c>
      <c r="Q165" s="37">
        <f t="shared" si="20"/>
        <v>0.55663774643621433</v>
      </c>
      <c r="R165" s="37">
        <v>-7.6E-3</v>
      </c>
      <c r="S165" s="44" t="s">
        <v>1393</v>
      </c>
      <c r="T165" s="45">
        <v>1.8421330600000001</v>
      </c>
      <c r="U165" s="45">
        <v>0.17546863100000001</v>
      </c>
      <c r="V165" s="45">
        <v>1.25750878</v>
      </c>
      <c r="W165" s="45">
        <v>9.4399322000000008E-3</v>
      </c>
      <c r="X165" s="45">
        <v>3.95281122E-2</v>
      </c>
      <c r="Y165" s="45">
        <v>86.546301299999996</v>
      </c>
      <c r="Z165" s="36">
        <v>4.08</v>
      </c>
      <c r="AA165" s="38">
        <v>664</v>
      </c>
      <c r="AB165" s="38">
        <v>721</v>
      </c>
      <c r="AC165" s="49" t="s">
        <v>506</v>
      </c>
      <c r="AD165" s="49" t="s">
        <v>1385</v>
      </c>
      <c r="AE165" s="46"/>
    </row>
    <row r="166" spans="1:31" ht="15" thickBot="1">
      <c r="A166" s="34">
        <v>164</v>
      </c>
      <c r="B166" s="34" t="s">
        <v>251</v>
      </c>
      <c r="C166" s="41" t="s">
        <v>1358</v>
      </c>
      <c r="D166" s="34" t="s">
        <v>1384</v>
      </c>
      <c r="E166" s="80">
        <f t="shared" si="14"/>
        <v>1.8043978128212881</v>
      </c>
      <c r="F166" s="35">
        <f t="shared" si="15"/>
        <v>39.586634162225408</v>
      </c>
      <c r="G166" s="42" cm="1">
        <f t="array" ref="G16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39.335269246412416</v>
      </c>
      <c r="H166" s="81" cm="1">
        <f t="array" ref="H1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1.7983753346701505</v>
      </c>
      <c r="I166" s="81" cm="1">
        <f t="array" ref="I1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1.8043978128212881</v>
      </c>
      <c r="J166" s="81" cm="1">
        <f t="array" ref="J1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1.8092206685966317</v>
      </c>
      <c r="K166" s="81" cm="1">
        <f t="array" ref="K1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1.8186952691592733</v>
      </c>
      <c r="L166" s="81" cm="1">
        <f t="array" ref="L1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1.8303383586601751</v>
      </c>
      <c r="M166" s="37">
        <f t="shared" si="16"/>
        <v>2.0319934489122726E-2</v>
      </c>
      <c r="N166" s="43">
        <f t="shared" si="17"/>
        <v>6.0224781511375447E-3</v>
      </c>
      <c r="O166" s="43">
        <f t="shared" si="18"/>
        <v>1.1643089500901871E-2</v>
      </c>
      <c r="P166" s="43">
        <f t="shared" si="19"/>
        <v>0.29638275430274547</v>
      </c>
      <c r="Q166" s="37">
        <f t="shared" si="20"/>
        <v>0.57298853532891181</v>
      </c>
      <c r="R166" s="37">
        <v>-4.4999999999999997E-3</v>
      </c>
      <c r="S166" s="44" t="s">
        <v>1393</v>
      </c>
      <c r="T166" s="45">
        <v>1.89458276</v>
      </c>
      <c r="U166" s="45">
        <v>0.26870297799999998</v>
      </c>
      <c r="V166" s="45">
        <v>1.45705526</v>
      </c>
      <c r="W166" s="45">
        <v>1.0227704799999999E-2</v>
      </c>
      <c r="X166" s="45">
        <v>4.4280124300000001E-2</v>
      </c>
      <c r="Y166" s="45">
        <v>104.874927</v>
      </c>
      <c r="Z166" s="36">
        <v>4.34</v>
      </c>
      <c r="AA166" s="38">
        <v>607</v>
      </c>
      <c r="AB166" s="38">
        <v>675</v>
      </c>
      <c r="AC166" s="49" t="s">
        <v>506</v>
      </c>
      <c r="AD166" s="49" t="s">
        <v>1385</v>
      </c>
      <c r="AE166" s="46"/>
    </row>
    <row r="167" spans="1:31" ht="15" thickBot="1">
      <c r="A167" s="34">
        <v>165</v>
      </c>
      <c r="B167" s="34" t="s">
        <v>251</v>
      </c>
      <c r="C167" s="41" t="s">
        <v>1356</v>
      </c>
      <c r="D167" s="34" t="s">
        <v>778</v>
      </c>
      <c r="E167" s="80">
        <f t="shared" si="14"/>
        <v>1.6945294924279195</v>
      </c>
      <c r="F167" s="35">
        <f t="shared" si="15"/>
        <v>30.656378065823571</v>
      </c>
      <c r="G167" s="42" cm="1">
        <f t="array" ref="G16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30.418301112576959</v>
      </c>
      <c r="H167" s="81" cm="1">
        <f t="array" ref="H1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1.6879551829518353</v>
      </c>
      <c r="I167" s="81" cm="1">
        <f t="array" ref="I1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1.6945294924279195</v>
      </c>
      <c r="J167" s="81" cm="1">
        <f t="array" ref="J1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1.6998821492684943</v>
      </c>
      <c r="K167" s="81" cm="1">
        <f t="array" ref="K1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1.7106104845969503</v>
      </c>
      <c r="L167" s="81" cm="1">
        <f t="array" ref="L1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1.7241881740013043</v>
      </c>
      <c r="M167" s="37">
        <f t="shared" si="16"/>
        <v>2.2655301645114978E-2</v>
      </c>
      <c r="N167" s="43">
        <f t="shared" si="17"/>
        <v>6.5743094760841725E-3</v>
      </c>
      <c r="O167" s="43">
        <f t="shared" si="18"/>
        <v>1.3577689404353999E-2</v>
      </c>
      <c r="P167" s="43">
        <f t="shared" si="19"/>
        <v>0.29018856509031521</v>
      </c>
      <c r="Q167" s="37">
        <f t="shared" si="20"/>
        <v>0.59931620496792948</v>
      </c>
      <c r="R167" s="37">
        <v>7.3000000000000001E-3</v>
      </c>
      <c r="S167" s="44" t="s">
        <v>1393</v>
      </c>
      <c r="T167" s="45">
        <v>1.5301339599999999</v>
      </c>
      <c r="U167" s="45">
        <v>0.24536227999999999</v>
      </c>
      <c r="V167" s="45">
        <v>1.7823303100000001</v>
      </c>
      <c r="W167" s="45">
        <v>1.14236857E-2</v>
      </c>
      <c r="X167" s="45">
        <v>5.5510185199999999E-2</v>
      </c>
      <c r="Y167" s="45">
        <v>179.07429999999999</v>
      </c>
      <c r="Z167" s="36">
        <v>2.88</v>
      </c>
      <c r="AA167" s="38">
        <v>504</v>
      </c>
      <c r="AB167" s="38">
        <v>582</v>
      </c>
      <c r="AC167" s="39" t="s">
        <v>508</v>
      </c>
      <c r="AD167" s="49" t="s">
        <v>1385</v>
      </c>
      <c r="AE167" s="46"/>
    </row>
    <row r="168" spans="1:31" ht="15" thickBot="1">
      <c r="A168" s="34">
        <v>166</v>
      </c>
      <c r="B168" s="34" t="s">
        <v>252</v>
      </c>
      <c r="C168" s="41" t="s">
        <v>1355</v>
      </c>
      <c r="D168" s="34" t="s">
        <v>120</v>
      </c>
      <c r="E168" s="80">
        <f t="shared" si="14"/>
        <v>1.4874894868342756</v>
      </c>
      <c r="F168" s="35">
        <f t="shared" si="15"/>
        <v>70.441981615346577</v>
      </c>
      <c r="G168" s="42" cm="1">
        <f t="array" ref="G16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70.242102108642356</v>
      </c>
      <c r="H168" s="81" cm="1">
        <f t="array" ref="H1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1.4853500040225573</v>
      </c>
      <c r="I168" s="81" cm="1">
        <f t="array" ref="I1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1.4874894868342756</v>
      </c>
      <c r="J168" s="81" cm="1">
        <f t="array" ref="J1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1.4891415471940304</v>
      </c>
      <c r="K168" s="81" cm="1">
        <f t="array" ref="K1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1.4922704437327325</v>
      </c>
      <c r="L168" s="81" cm="1">
        <f t="array" ref="L1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1.4959426365448409</v>
      </c>
      <c r="M168" s="37">
        <f t="shared" si="16"/>
        <v>6.9204397101751969E-3</v>
      </c>
      <c r="N168" s="43">
        <f t="shared" si="17"/>
        <v>2.139482811718274E-3</v>
      </c>
      <c r="O168" s="43">
        <f t="shared" si="18"/>
        <v>3.6721928121083991E-3</v>
      </c>
      <c r="P168" s="43">
        <f t="shared" si="19"/>
        <v>0.30915417246863225</v>
      </c>
      <c r="Q168" s="37">
        <f t="shared" si="20"/>
        <v>0.53062998391693728</v>
      </c>
      <c r="R168" s="37">
        <v>8.9999999999999993E-3</v>
      </c>
      <c r="S168" s="44" t="s">
        <v>1394</v>
      </c>
      <c r="T168" s="45">
        <v>2.1894054000000001</v>
      </c>
      <c r="U168" s="45">
        <v>-9.9044908000000004E-3</v>
      </c>
      <c r="V168" s="45">
        <v>8.6403370000000014E-3</v>
      </c>
      <c r="W168" s="45">
        <v>2.2263067000000001E-4</v>
      </c>
      <c r="X168" s="45">
        <v>-1.2291942000000002E-5</v>
      </c>
      <c r="Y168" s="45">
        <v>5.9386348999999995E-7</v>
      </c>
      <c r="Z168" s="36">
        <v>2.4500000000000002</v>
      </c>
      <c r="AA168" s="38">
        <v>482</v>
      </c>
      <c r="AB168" s="38">
        <v>688</v>
      </c>
      <c r="AC168" s="49" t="s">
        <v>506</v>
      </c>
      <c r="AD168" s="49" t="s">
        <v>506</v>
      </c>
      <c r="AE168" s="46" t="s">
        <v>249</v>
      </c>
    </row>
    <row r="169" spans="1:31" ht="15" thickBot="1">
      <c r="A169" s="34">
        <v>167</v>
      </c>
      <c r="B169" s="34" t="s">
        <v>252</v>
      </c>
      <c r="C169" s="41" t="s">
        <v>1365</v>
      </c>
      <c r="D169" s="34" t="s">
        <v>121</v>
      </c>
      <c r="E169" s="80">
        <f t="shared" si="14"/>
        <v>1.4969972274005203</v>
      </c>
      <c r="F169" s="35">
        <f t="shared" si="15"/>
        <v>81.609338867295563</v>
      </c>
      <c r="G169" s="42" cm="1">
        <f t="array" ref="G16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81.202568010819462</v>
      </c>
      <c r="H169" s="81" cm="1">
        <f t="array" ref="H1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1.4951374776446764</v>
      </c>
      <c r="I169" s="81" cm="1">
        <f t="array" ref="I1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1.4969972274005203</v>
      </c>
      <c r="J169" s="81" cm="1">
        <f t="array" ref="J1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1.4984505084548911</v>
      </c>
      <c r="K169" s="81" cm="1">
        <f t="array" ref="K1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1.5012274329647248</v>
      </c>
      <c r="L169" s="81" cm="1">
        <f t="array" ref="L1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1.5045092423865143</v>
      </c>
      <c r="M169" s="37">
        <f t="shared" si="16"/>
        <v>6.0899553200484124E-3</v>
      </c>
      <c r="N169" s="43">
        <f t="shared" si="17"/>
        <v>1.8597497558439091E-3</v>
      </c>
      <c r="O169" s="43">
        <f t="shared" si="18"/>
        <v>3.2818094217894611E-3</v>
      </c>
      <c r="P169" s="43">
        <f t="shared" si="19"/>
        <v>0.30537986867022282</v>
      </c>
      <c r="Q169" s="37">
        <f t="shared" si="20"/>
        <v>0.53888891614452306</v>
      </c>
      <c r="R169" s="37">
        <v>3.7400000000000003E-2</v>
      </c>
      <c r="S169" s="44" t="s">
        <v>1394</v>
      </c>
      <c r="T169" s="45">
        <v>2.2181131999999999</v>
      </c>
      <c r="U169" s="45">
        <v>-5.7994269999999994E-3</v>
      </c>
      <c r="V169" s="45">
        <v>8.3470679000000013E-3</v>
      </c>
      <c r="W169" s="45">
        <v>6.5046523000000011E-5</v>
      </c>
      <c r="X169" s="45">
        <v>8.5142185999999994E-6</v>
      </c>
      <c r="Y169" s="45">
        <v>-5.8852269E-7</v>
      </c>
      <c r="Z169" s="36">
        <v>3.7</v>
      </c>
      <c r="AA169" s="38">
        <v>457</v>
      </c>
      <c r="AB169" s="38">
        <v>560</v>
      </c>
      <c r="AC169" s="49" t="s">
        <v>506</v>
      </c>
      <c r="AD169" s="39" t="s">
        <v>1371</v>
      </c>
      <c r="AE169" s="46" t="s">
        <v>249</v>
      </c>
    </row>
    <row r="170" spans="1:31" ht="15" thickBot="1">
      <c r="A170" s="34">
        <v>168</v>
      </c>
      <c r="B170" s="34" t="s">
        <v>252</v>
      </c>
      <c r="C170" s="41" t="s">
        <v>1365</v>
      </c>
      <c r="D170" s="34" t="s">
        <v>122</v>
      </c>
      <c r="E170" s="80">
        <f t="shared" si="14"/>
        <v>1.4971026214040963</v>
      </c>
      <c r="F170" s="35">
        <f t="shared" si="15"/>
        <v>81.560538997994428</v>
      </c>
      <c r="G170" s="42" cm="1">
        <f t="array" ref="G17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81.157002600235003</v>
      </c>
      <c r="H170" s="81" cm="1">
        <f t="array" ref="H1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1.4952410787808088</v>
      </c>
      <c r="I170" s="81" cm="1">
        <f t="array" ref="I1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1.4971026214040963</v>
      </c>
      <c r="J170" s="81" cm="1">
        <f t="array" ref="J1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1.498557109347356</v>
      </c>
      <c r="K170" s="81" cm="1">
        <f t="array" ref="K1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1.5013359701033921</v>
      </c>
      <c r="L170" s="81" cm="1">
        <f t="array" ref="L1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1.5046180276295016</v>
      </c>
      <c r="M170" s="37">
        <f t="shared" si="16"/>
        <v>6.0948913225833401E-3</v>
      </c>
      <c r="N170" s="43">
        <f t="shared" si="17"/>
        <v>1.8615426232875265E-3</v>
      </c>
      <c r="O170" s="43">
        <f t="shared" si="18"/>
        <v>3.2820575261094387E-3</v>
      </c>
      <c r="P170" s="43">
        <f t="shared" si="19"/>
        <v>0.30542671308838126</v>
      </c>
      <c r="Q170" s="37">
        <f t="shared" si="20"/>
        <v>0.53849319904170623</v>
      </c>
      <c r="R170" s="37">
        <v>3.6900000000000002E-2</v>
      </c>
      <c r="S170" s="44" t="s">
        <v>1394</v>
      </c>
      <c r="T170" s="45">
        <v>2.2189068000000001</v>
      </c>
      <c r="U170" s="45">
        <v>-6.1707064999999995E-3</v>
      </c>
      <c r="V170" s="45">
        <v>8.0887631000000002E-3</v>
      </c>
      <c r="W170" s="45">
        <v>1.3357782000000002E-4</v>
      </c>
      <c r="X170" s="45">
        <v>1.9476185999999998E-7</v>
      </c>
      <c r="Y170" s="45">
        <v>-2.2577804000000001E-7</v>
      </c>
      <c r="Z170" s="36">
        <v>3.64</v>
      </c>
      <c r="AA170" s="38">
        <v>384</v>
      </c>
      <c r="AB170" s="38">
        <v>513</v>
      </c>
      <c r="AC170" s="49" t="s">
        <v>506</v>
      </c>
      <c r="AD170" s="49" t="s">
        <v>506</v>
      </c>
      <c r="AE170" s="46" t="s">
        <v>249</v>
      </c>
    </row>
    <row r="171" spans="1:31" ht="15" thickBot="1">
      <c r="A171" s="34">
        <v>169</v>
      </c>
      <c r="B171" s="34" t="s">
        <v>252</v>
      </c>
      <c r="C171" s="41" t="s">
        <v>1365</v>
      </c>
      <c r="D171" s="34" t="s">
        <v>123</v>
      </c>
      <c r="E171" s="80">
        <f t="shared" si="14"/>
        <v>1.458597231695097</v>
      </c>
      <c r="F171" s="35">
        <f t="shared" si="15"/>
        <v>90.195979557961806</v>
      </c>
      <c r="G171" s="42" cm="1">
        <f t="array" ref="G17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89.767610591377831</v>
      </c>
      <c r="H171" s="81" cm="1">
        <f t="array" ref="H1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1.4570391490985279</v>
      </c>
      <c r="I171" s="81" cm="1">
        <f t="array" ref="I1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1.458597231695097</v>
      </c>
      <c r="J171" s="81" cm="1">
        <f t="array" ref="J1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1.4598114867141661</v>
      </c>
      <c r="K171" s="81" cm="1">
        <f t="array" ref="K1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1.4621236022409254</v>
      </c>
      <c r="L171" s="81" cm="1">
        <f t="array" ref="L1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1.4648446617327642</v>
      </c>
      <c r="M171" s="37">
        <f t="shared" si="16"/>
        <v>5.0844531423974715E-3</v>
      </c>
      <c r="N171" s="43">
        <f t="shared" si="17"/>
        <v>1.5580825965690881E-3</v>
      </c>
      <c r="O171" s="43">
        <f t="shared" si="18"/>
        <v>2.7210594918387621E-3</v>
      </c>
      <c r="P171" s="43">
        <f t="shared" si="19"/>
        <v>0.30644054590193465</v>
      </c>
      <c r="Q171" s="37">
        <f t="shared" si="20"/>
        <v>0.53517249852276172</v>
      </c>
      <c r="R171" s="37">
        <v>4.9000000000000002E-2</v>
      </c>
      <c r="S171" s="44" t="s">
        <v>1394</v>
      </c>
      <c r="T171" s="45">
        <v>2.1085888000000002</v>
      </c>
      <c r="U171" s="45">
        <v>-4.6553722000000006E-3</v>
      </c>
      <c r="V171" s="45">
        <v>6.9547480000000002E-3</v>
      </c>
      <c r="W171" s="45">
        <v>3.2184141000000001E-5</v>
      </c>
      <c r="X171" s="45">
        <v>5.2670945999999998E-6</v>
      </c>
      <c r="Y171" s="45">
        <v>-2.7164843999999998E-7</v>
      </c>
      <c r="Z171" s="36">
        <v>3.63</v>
      </c>
      <c r="AA171" s="38">
        <v>417</v>
      </c>
      <c r="AB171" s="38">
        <v>601</v>
      </c>
      <c r="AC171" s="49" t="s">
        <v>506</v>
      </c>
      <c r="AD171" s="39" t="s">
        <v>1371</v>
      </c>
      <c r="AE171" s="46" t="s">
        <v>249</v>
      </c>
    </row>
    <row r="172" spans="1:31" ht="15" thickBot="1">
      <c r="A172" s="34">
        <v>170</v>
      </c>
      <c r="B172" s="34" t="s">
        <v>252</v>
      </c>
      <c r="C172" s="41" t="s">
        <v>1365</v>
      </c>
      <c r="D172" s="34" t="s">
        <v>124</v>
      </c>
      <c r="E172" s="80">
        <f t="shared" si="14"/>
        <v>1.4370005605782559</v>
      </c>
      <c r="F172" s="35">
        <f t="shared" si="15"/>
        <v>95.101497339120698</v>
      </c>
      <c r="G172" s="42" cm="1">
        <f t="array" ref="G17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94.660690599254096</v>
      </c>
      <c r="H172" s="81" cm="1">
        <f t="array" ref="H1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1.4355899618746153</v>
      </c>
      <c r="I172" s="81" cm="1">
        <f t="array" ref="I1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1.4370005605782559</v>
      </c>
      <c r="J172" s="81" cm="1">
        <f t="array" ref="J1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1.438098157224033</v>
      </c>
      <c r="K172" s="81" cm="1">
        <f t="array" ref="K1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1.440185058406271</v>
      </c>
      <c r="L172" s="81" cm="1">
        <f t="array" ref="L1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1.4426372580064797</v>
      </c>
      <c r="M172" s="37">
        <f t="shared" si="16"/>
        <v>4.5950965316556847E-3</v>
      </c>
      <c r="N172" s="43">
        <f t="shared" si="17"/>
        <v>1.4105987036405754E-3</v>
      </c>
      <c r="O172" s="43">
        <f t="shared" si="18"/>
        <v>2.4521996002087043E-3</v>
      </c>
      <c r="P172" s="43">
        <f t="shared" si="19"/>
        <v>0.30697912305496544</v>
      </c>
      <c r="Q172" s="37">
        <f t="shared" si="20"/>
        <v>0.53365573134654887</v>
      </c>
      <c r="R172" s="37">
        <v>5.6399999999999999E-2</v>
      </c>
      <c r="S172" s="44" t="s">
        <v>1394</v>
      </c>
      <c r="T172" s="45">
        <v>2.0482157000000001</v>
      </c>
      <c r="U172" s="45">
        <v>-4.3211221999999994E-3</v>
      </c>
      <c r="V172" s="45">
        <v>6.1826755000000001E-3</v>
      </c>
      <c r="W172" s="45">
        <v>3.1411480000000001E-5</v>
      </c>
      <c r="X172" s="45">
        <v>3.5370792999999999E-6</v>
      </c>
      <c r="Y172" s="45">
        <v>-1.6694496999999999E-7</v>
      </c>
      <c r="Z172" s="36">
        <v>3.53</v>
      </c>
      <c r="AA172" s="38">
        <v>404</v>
      </c>
      <c r="AB172" s="38" t="s">
        <v>249</v>
      </c>
      <c r="AC172" s="49" t="s">
        <v>506</v>
      </c>
      <c r="AD172" s="39" t="s">
        <v>1371</v>
      </c>
      <c r="AE172" s="46" t="s">
        <v>249</v>
      </c>
    </row>
    <row r="173" spans="1:31" ht="15" thickBot="1">
      <c r="A173" s="34">
        <v>171</v>
      </c>
      <c r="B173" s="34" t="s">
        <v>252</v>
      </c>
      <c r="C173" s="41" t="s">
        <v>1365</v>
      </c>
      <c r="D173" s="34" t="s">
        <v>493</v>
      </c>
      <c r="E173" s="80">
        <f t="shared" si="14"/>
        <v>1.5539673481543672</v>
      </c>
      <c r="F173" s="35">
        <f t="shared" si="15"/>
        <v>71.762352755064896</v>
      </c>
      <c r="G173" s="42" cm="1">
        <f t="array" ref="G17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71.398254447057766</v>
      </c>
      <c r="H173" s="81" cm="1">
        <f t="array" ref="H1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1.5516204097666608</v>
      </c>
      <c r="I173" s="81" cm="1">
        <f t="array" ref="I1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1.5539673481543672</v>
      </c>
      <c r="J173" s="81" cm="1">
        <f t="array" ref="J1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1.5558107587533034</v>
      </c>
      <c r="K173" s="81" cm="1">
        <f t="array" ref="K1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1.5593398800304792</v>
      </c>
      <c r="L173" s="81" cm="1">
        <f t="array" ref="L1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1.5635032226310306</v>
      </c>
      <c r="M173" s="37">
        <f t="shared" si="16"/>
        <v>7.7194702638183621E-3</v>
      </c>
      <c r="N173" s="43">
        <f t="shared" si="17"/>
        <v>2.3469383877063876E-3</v>
      </c>
      <c r="O173" s="43">
        <f t="shared" si="18"/>
        <v>4.1633426005514007E-3</v>
      </c>
      <c r="P173" s="43">
        <f t="shared" si="19"/>
        <v>0.30402842520252121</v>
      </c>
      <c r="Q173" s="37">
        <f t="shared" si="20"/>
        <v>0.53933009108996077</v>
      </c>
      <c r="R173" s="37">
        <v>0.02</v>
      </c>
      <c r="S173" s="44" t="s">
        <v>1394</v>
      </c>
      <c r="T173" s="45">
        <v>2.3872008</v>
      </c>
      <c r="U173" s="45">
        <v>-8.2934918999999999E-3</v>
      </c>
      <c r="V173" s="45">
        <v>8.9478007999999991E-3</v>
      </c>
      <c r="W173" s="45">
        <v>7.528485100000001E-4</v>
      </c>
      <c r="X173" s="45">
        <v>-8.4935706000000011E-5</v>
      </c>
      <c r="Y173" s="45">
        <v>4.3458586999999999E-6</v>
      </c>
      <c r="Z173" s="36">
        <v>3.66</v>
      </c>
      <c r="AA173" s="38">
        <v>397</v>
      </c>
      <c r="AB173" s="38">
        <v>503</v>
      </c>
      <c r="AC173" s="49" t="s">
        <v>506</v>
      </c>
      <c r="AD173" s="39" t="s">
        <v>1371</v>
      </c>
      <c r="AE173" s="46"/>
    </row>
    <row r="174" spans="1:31" ht="15" thickBot="1">
      <c r="A174" s="34">
        <v>172</v>
      </c>
      <c r="B174" s="34" t="s">
        <v>252</v>
      </c>
      <c r="C174" s="41" t="s">
        <v>1365</v>
      </c>
      <c r="D174" s="34" t="s">
        <v>125</v>
      </c>
      <c r="E174" s="80">
        <f t="shared" si="14"/>
        <v>1.5928242844404696</v>
      </c>
      <c r="F174" s="35">
        <f t="shared" si="15"/>
        <v>68.625190919574877</v>
      </c>
      <c r="G174" s="42" cm="1">
        <f t="array" ref="G17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68.251131316885903</v>
      </c>
      <c r="H174" s="81" cm="1">
        <f t="array" ref="H1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1.5902060588438109</v>
      </c>
      <c r="I174" s="81" cm="1">
        <f t="array" ref="I1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1.5928242844404696</v>
      </c>
      <c r="J174" s="81" cm="1">
        <f t="array" ref="J1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1.594885407915823</v>
      </c>
      <c r="K174" s="81" cm="1">
        <f t="array" ref="K1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1.5988446400484189</v>
      </c>
      <c r="L174" s="81" cm="1">
        <f t="array" ref="L1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1.6035453487338023</v>
      </c>
      <c r="M174" s="37">
        <f t="shared" si="16"/>
        <v>8.6385812046079202E-3</v>
      </c>
      <c r="N174" s="43">
        <f t="shared" si="17"/>
        <v>2.6182255966586965E-3</v>
      </c>
      <c r="O174" s="43">
        <f t="shared" si="18"/>
        <v>4.7007086853834146E-3</v>
      </c>
      <c r="P174" s="43">
        <f t="shared" si="19"/>
        <v>0.30308514033092659</v>
      </c>
      <c r="Q174" s="37">
        <f t="shared" si="20"/>
        <v>0.54415286191626022</v>
      </c>
      <c r="R174" s="37">
        <v>1.9199999999999998E-2</v>
      </c>
      <c r="S174" s="44" t="s">
        <v>1394</v>
      </c>
      <c r="T174" s="45">
        <v>2.5023550000000001</v>
      </c>
      <c r="U174" s="45">
        <v>-7.2080042000000006E-3</v>
      </c>
      <c r="V174" s="45">
        <v>1.2012742999999999E-2</v>
      </c>
      <c r="W174" s="45">
        <v>3.4920842E-4</v>
      </c>
      <c r="X174" s="45">
        <v>-2.4729676000000002E-5</v>
      </c>
      <c r="Y174" s="45">
        <v>1.3801566999999998E-6</v>
      </c>
      <c r="Z174" s="36">
        <v>4.13</v>
      </c>
      <c r="AA174" s="38">
        <v>540</v>
      </c>
      <c r="AB174" s="38" t="s">
        <v>249</v>
      </c>
      <c r="AC174" s="49" t="s">
        <v>506</v>
      </c>
      <c r="AD174" s="39" t="s">
        <v>1371</v>
      </c>
      <c r="AE174" s="46" t="s">
        <v>249</v>
      </c>
    </row>
    <row r="175" spans="1:31" ht="15" thickBot="1">
      <c r="A175" s="34">
        <v>173</v>
      </c>
      <c r="B175" s="34" t="s">
        <v>252</v>
      </c>
      <c r="C175" s="41" t="s">
        <v>1365</v>
      </c>
      <c r="D175" s="34" t="s">
        <v>126</v>
      </c>
      <c r="E175" s="80">
        <f t="shared" si="14"/>
        <v>1.5941013903364352</v>
      </c>
      <c r="F175" s="35">
        <f t="shared" si="15"/>
        <v>60.475408544928001</v>
      </c>
      <c r="G175" s="42" cm="1">
        <f t="array" ref="G17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60.1019286791336</v>
      </c>
      <c r="H175" s="81" cm="1">
        <f t="array" ref="H1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1.5911458530050147</v>
      </c>
      <c r="I175" s="81" cm="1">
        <f t="array" ref="I1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1.5941013903364352</v>
      </c>
      <c r="J175" s="81" cm="1">
        <f t="array" ref="J1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1.596440340339619</v>
      </c>
      <c r="K175" s="81" cm="1">
        <f t="array" ref="K1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1.600969703800418</v>
      </c>
      <c r="L175" s="81" cm="1">
        <f t="array" ref="L1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1.6064236916829668</v>
      </c>
      <c r="M175" s="37">
        <f t="shared" si="16"/>
        <v>9.8238507954033771E-3</v>
      </c>
      <c r="N175" s="43">
        <f t="shared" si="17"/>
        <v>2.9555373314205102E-3</v>
      </c>
      <c r="O175" s="43">
        <f t="shared" si="18"/>
        <v>5.4539878825488053E-3</v>
      </c>
      <c r="P175" s="43">
        <f t="shared" si="19"/>
        <v>0.30085323901737382</v>
      </c>
      <c r="Q175" s="37">
        <f t="shared" si="20"/>
        <v>0.55517820823385777</v>
      </c>
      <c r="R175" s="37">
        <v>1.5599999999999999E-2</v>
      </c>
      <c r="S175" s="44" t="s">
        <v>1394</v>
      </c>
      <c r="T175" s="45">
        <v>2.5009632000000002</v>
      </c>
      <c r="U175" s="45">
        <v>-7.1951364000000005E-3</v>
      </c>
      <c r="V175" s="45">
        <v>1.4064825000000001E-2</v>
      </c>
      <c r="W175" s="45">
        <v>2.1434104E-4</v>
      </c>
      <c r="X175" s="45">
        <v>4.3873461000000003E-6</v>
      </c>
      <c r="Y175" s="45">
        <v>4.8834354999999995E-7</v>
      </c>
      <c r="Z175" s="36">
        <v>4.09</v>
      </c>
      <c r="AA175" s="38">
        <v>509</v>
      </c>
      <c r="AB175" s="38" t="s">
        <v>249</v>
      </c>
      <c r="AC175" s="49" t="s">
        <v>506</v>
      </c>
      <c r="AD175" s="39" t="s">
        <v>1371</v>
      </c>
      <c r="AE175" s="46" t="s">
        <v>249</v>
      </c>
    </row>
    <row r="176" spans="1:31" ht="15" thickBot="1">
      <c r="A176" s="34">
        <v>174</v>
      </c>
      <c r="B176" s="34" t="s">
        <v>252</v>
      </c>
      <c r="C176" s="41" t="s">
        <v>1365</v>
      </c>
      <c r="D176" s="34" t="s">
        <v>1039</v>
      </c>
      <c r="E176" s="80">
        <f t="shared" si="14"/>
        <v>1.5714396305991443</v>
      </c>
      <c r="F176" s="35">
        <f t="shared" si="15"/>
        <v>71.616620856964005</v>
      </c>
      <c r="G176" s="42" cm="1">
        <f t="array" ref="G17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71.243697980778208</v>
      </c>
      <c r="H176" s="81" cm="1">
        <f t="array" ref="H1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1.5690144377889013</v>
      </c>
      <c r="I176" s="81" cm="1">
        <f t="array" ref="I1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1.5714396305991443</v>
      </c>
      <c r="J176" s="81" cm="1">
        <f t="array" ref="J1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1.5733437254698579</v>
      </c>
      <c r="K176" s="81" cm="1">
        <f t="array" ref="K1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1.5769935859777058</v>
      </c>
      <c r="L176" s="81" cm="1">
        <f t="array" ref="L1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1.5813178490160749</v>
      </c>
      <c r="M176" s="37">
        <f t="shared" si="16"/>
        <v>7.979148188804519E-3</v>
      </c>
      <c r="N176" s="43">
        <f t="shared" si="17"/>
        <v>2.4251928102430043E-3</v>
      </c>
      <c r="O176" s="43">
        <f t="shared" si="18"/>
        <v>4.3242630383690805E-3</v>
      </c>
      <c r="P176" s="43">
        <f t="shared" si="19"/>
        <v>0.30394131715034112</v>
      </c>
      <c r="Q176" s="37">
        <f t="shared" si="20"/>
        <v>0.54194544781564791</v>
      </c>
      <c r="R176" s="37">
        <v>2.24E-2</v>
      </c>
      <c r="S176" s="44" t="s">
        <v>1394</v>
      </c>
      <c r="T176" s="45">
        <v>2.4378989999999998</v>
      </c>
      <c r="U176" s="45">
        <v>-7.0862375000000002E-3</v>
      </c>
      <c r="V176" s="45">
        <v>1.1069237999999999E-2</v>
      </c>
      <c r="W176" s="45">
        <v>2.6372834000000002E-4</v>
      </c>
      <c r="X176" s="45">
        <v>-1.4860741E-5</v>
      </c>
      <c r="Y176" s="45">
        <v>7.7817111999999997E-7</v>
      </c>
      <c r="Z176" s="36">
        <v>4.1100000000000003</v>
      </c>
      <c r="AA176" s="38">
        <v>520</v>
      </c>
      <c r="AB176" s="38" t="s">
        <v>249</v>
      </c>
      <c r="AC176" s="49" t="s">
        <v>506</v>
      </c>
      <c r="AD176" s="39" t="s">
        <v>1371</v>
      </c>
      <c r="AE176" s="46" t="s">
        <v>249</v>
      </c>
    </row>
    <row r="177" spans="1:31" ht="15" thickBot="1">
      <c r="A177" s="34">
        <v>175</v>
      </c>
      <c r="B177" s="34" t="s">
        <v>252</v>
      </c>
      <c r="C177" s="41" t="s">
        <v>1365</v>
      </c>
      <c r="D177" s="34" t="s">
        <v>127</v>
      </c>
      <c r="E177" s="80">
        <f t="shared" si="14"/>
        <v>1.5503230748471186</v>
      </c>
      <c r="F177" s="35">
        <f t="shared" si="15"/>
        <v>75.497227339899098</v>
      </c>
      <c r="G177" s="42" cm="1">
        <f t="array" ref="G17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75.120195004532761</v>
      </c>
      <c r="H177" s="81" cm="1">
        <f t="array" ref="H1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1.5481010815705685</v>
      </c>
      <c r="I177" s="81" cm="1">
        <f t="array" ref="I1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1.5503230748471186</v>
      </c>
      <c r="J177" s="81" cm="1">
        <f t="array" ref="J1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1.5520628779967927</v>
      </c>
      <c r="K177" s="81" cm="1">
        <f t="array" ref="K1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1.5553903966121592</v>
      </c>
      <c r="L177" s="81" cm="1">
        <f t="array" ref="L1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1.5593267956073091</v>
      </c>
      <c r="M177" s="37">
        <f t="shared" si="16"/>
        <v>7.2893150415906938E-3</v>
      </c>
      <c r="N177" s="43">
        <f t="shared" si="17"/>
        <v>2.2219932765501493E-3</v>
      </c>
      <c r="O177" s="43">
        <f t="shared" si="18"/>
        <v>3.93639899514997E-3</v>
      </c>
      <c r="P177" s="43">
        <f t="shared" si="19"/>
        <v>0.30482881640759213</v>
      </c>
      <c r="Q177" s="37">
        <f t="shared" si="20"/>
        <v>0.54002316715494281</v>
      </c>
      <c r="R177" s="37">
        <v>2.76E-2</v>
      </c>
      <c r="S177" s="44" t="s">
        <v>1394</v>
      </c>
      <c r="T177" s="45">
        <v>2.3742831999999998</v>
      </c>
      <c r="U177" s="45">
        <v>-6.2014417999999997E-3</v>
      </c>
      <c r="V177" s="45">
        <v>1.0582967E-2</v>
      </c>
      <c r="W177" s="45">
        <v>6.3100702999999999E-5</v>
      </c>
      <c r="X177" s="45">
        <v>8.1967149999999983E-6</v>
      </c>
      <c r="Y177" s="45">
        <v>-3.4424446E-7</v>
      </c>
      <c r="Z177" s="36">
        <v>4.09</v>
      </c>
      <c r="AA177" s="38">
        <v>543</v>
      </c>
      <c r="AB177" s="38" t="s">
        <v>249</v>
      </c>
      <c r="AC177" s="49" t="s">
        <v>506</v>
      </c>
      <c r="AD177" s="39" t="s">
        <v>1371</v>
      </c>
      <c r="AE177" s="46" t="s">
        <v>249</v>
      </c>
    </row>
    <row r="178" spans="1:31" ht="15" thickBot="1">
      <c r="A178" s="34">
        <v>176</v>
      </c>
      <c r="B178" s="34" t="s">
        <v>252</v>
      </c>
      <c r="C178" s="41" t="s">
        <v>1365</v>
      </c>
      <c r="D178" s="34" t="s">
        <v>1040</v>
      </c>
      <c r="E178" s="80">
        <f t="shared" si="14"/>
        <v>1.4807085526700769</v>
      </c>
      <c r="F178" s="35">
        <f t="shared" si="15"/>
        <v>85.297025940146852</v>
      </c>
      <c r="G178" s="42" cm="1">
        <f t="array" ref="G17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84.889271681717815</v>
      </c>
      <c r="H178" s="81" cm="1">
        <f t="array" ref="H1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1.4789838577589369</v>
      </c>
      <c r="I178" s="81" cm="1">
        <f t="array" ref="I1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1.4807085526700769</v>
      </c>
      <c r="J178" s="81" cm="1">
        <f t="array" ref="J1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1.4820543053294699</v>
      </c>
      <c r="K178" s="81" cm="1">
        <f t="array" ref="K1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1.4846195589732722</v>
      </c>
      <c r="L178" s="81" cm="1">
        <f t="array" ref="L1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1.4876416829895907</v>
      </c>
      <c r="M178" s="37">
        <f t="shared" si="16"/>
        <v>5.6357012143353202E-3</v>
      </c>
      <c r="N178" s="43">
        <f t="shared" si="17"/>
        <v>1.7246949111400234E-3</v>
      </c>
      <c r="O178" s="43">
        <f t="shared" si="18"/>
        <v>3.022124016318406E-3</v>
      </c>
      <c r="P178" s="43">
        <f t="shared" si="19"/>
        <v>0.30603022508591871</v>
      </c>
      <c r="Q178" s="37">
        <f t="shared" si="20"/>
        <v>0.5362463163645268</v>
      </c>
      <c r="R178" s="37">
        <v>4.1300000000000003E-2</v>
      </c>
      <c r="S178" s="44" t="s">
        <v>1394</v>
      </c>
      <c r="T178" s="45">
        <v>2.1715724000000001</v>
      </c>
      <c r="U178" s="45">
        <v>-5.3538524000000002E-3</v>
      </c>
      <c r="V178" s="45">
        <v>7.5638472999999999E-3</v>
      </c>
      <c r="W178" s="45">
        <v>1.1364553E-4</v>
      </c>
      <c r="X178" s="45">
        <v>-4.4330103000000003E-6</v>
      </c>
      <c r="Y178" s="45">
        <v>2.5942802999999999E-7</v>
      </c>
      <c r="Z178" s="36">
        <v>3.68</v>
      </c>
      <c r="AA178" s="38">
        <v>434</v>
      </c>
      <c r="AB178" s="38" t="s">
        <v>249</v>
      </c>
      <c r="AC178" s="49" t="s">
        <v>506</v>
      </c>
      <c r="AD178" s="39" t="s">
        <v>1371</v>
      </c>
      <c r="AE178" s="46" t="s">
        <v>249</v>
      </c>
    </row>
    <row r="179" spans="1:31" ht="15" thickBot="1">
      <c r="A179" s="34">
        <v>177</v>
      </c>
      <c r="B179" s="34" t="s">
        <v>252</v>
      </c>
      <c r="C179" s="41" t="s">
        <v>1366</v>
      </c>
      <c r="D179" s="34" t="s">
        <v>128</v>
      </c>
      <c r="E179" s="80">
        <f t="shared" si="14"/>
        <v>1.6179979152019208</v>
      </c>
      <c r="F179" s="35">
        <f t="shared" si="15"/>
        <v>63.396604110053339</v>
      </c>
      <c r="G179" s="42" cm="1">
        <f t="array" ref="G17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63.114599975432334</v>
      </c>
      <c r="H179" s="81" cm="1">
        <f t="array" ref="H1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1.6150282477579678</v>
      </c>
      <c r="I179" s="81" cm="1">
        <f t="array" ref="I1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1.6179979152019208</v>
      </c>
      <c r="J179" s="81" cm="1">
        <f t="array" ref="J1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1.6203244321230759</v>
      </c>
      <c r="K179" s="81" cm="1">
        <f t="array" ref="K1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1.6247763710821936</v>
      </c>
      <c r="L179" s="81" cm="1">
        <f t="array" ref="L1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1.6300419568432933</v>
      </c>
      <c r="M179" s="37">
        <f t="shared" si="16"/>
        <v>9.7481233242258103E-3</v>
      </c>
      <c r="N179" s="43">
        <f t="shared" si="17"/>
        <v>2.9696674439529946E-3</v>
      </c>
      <c r="O179" s="43">
        <f t="shared" si="18"/>
        <v>5.2655857610997003E-3</v>
      </c>
      <c r="P179" s="43">
        <f t="shared" si="19"/>
        <v>0.30463991326133982</v>
      </c>
      <c r="Q179" s="37">
        <f t="shared" si="20"/>
        <v>0.5401640486034669</v>
      </c>
      <c r="R179" s="37">
        <v>5.8999999999999999E-3</v>
      </c>
      <c r="S179" s="44" t="s">
        <v>1394</v>
      </c>
      <c r="T179" s="45">
        <v>2.5807045</v>
      </c>
      <c r="U179" s="45">
        <v>-1.0957538000000001E-2</v>
      </c>
      <c r="V179" s="45">
        <v>1.268943E-2</v>
      </c>
      <c r="W179" s="45">
        <v>6.6387812000000008E-4</v>
      </c>
      <c r="X179" s="45">
        <v>-6.4849664000000005E-5</v>
      </c>
      <c r="Y179" s="45">
        <v>3.4787862999999999E-6</v>
      </c>
      <c r="Z179" s="36">
        <v>3.52</v>
      </c>
      <c r="AA179" s="38">
        <v>604</v>
      </c>
      <c r="AB179" s="38">
        <v>690</v>
      </c>
      <c r="AC179" s="49" t="s">
        <v>506</v>
      </c>
      <c r="AD179" s="39" t="s">
        <v>1371</v>
      </c>
      <c r="AE179" s="46" t="s">
        <v>249</v>
      </c>
    </row>
    <row r="180" spans="1:31" ht="15" thickBot="1">
      <c r="A180" s="34">
        <v>178</v>
      </c>
      <c r="B180" s="34" t="s">
        <v>252</v>
      </c>
      <c r="C180" s="41" t="s">
        <v>1366</v>
      </c>
      <c r="D180" s="34" t="s">
        <v>129</v>
      </c>
      <c r="E180" s="80">
        <f t="shared" si="14"/>
        <v>1.6199663490014107</v>
      </c>
      <c r="F180" s="35">
        <f t="shared" si="15"/>
        <v>63.880720723193605</v>
      </c>
      <c r="G180" s="42" cm="1">
        <f t="array" ref="G18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63.580109353195738</v>
      </c>
      <c r="H180" s="81" cm="1">
        <f t="array" ref="H1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1.6170133056757523</v>
      </c>
      <c r="I180" s="81" cm="1">
        <f t="array" ref="I1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1.6199663490014107</v>
      </c>
      <c r="J180" s="81" cm="1">
        <f t="array" ref="J1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1.6222814573954885</v>
      </c>
      <c r="K180" s="81" cm="1">
        <f t="array" ref="K1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1.6267183675783541</v>
      </c>
      <c r="L180" s="81" cm="1">
        <f t="array" ref="L1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1.6319837380369155</v>
      </c>
      <c r="M180" s="37">
        <f t="shared" si="16"/>
        <v>9.7050619026017859E-3</v>
      </c>
      <c r="N180" s="43">
        <f t="shared" si="17"/>
        <v>2.9530433256583777E-3</v>
      </c>
      <c r="O180" s="43">
        <f t="shared" si="18"/>
        <v>5.265370458561458E-3</v>
      </c>
      <c r="P180" s="43">
        <f t="shared" si="19"/>
        <v>0.30427866975961376</v>
      </c>
      <c r="Q180" s="37">
        <f t="shared" si="20"/>
        <v>0.5425385753747628</v>
      </c>
      <c r="R180" s="37">
        <v>9.1999999999999998E-3</v>
      </c>
      <c r="S180" s="44" t="s">
        <v>1394</v>
      </c>
      <c r="T180" s="45">
        <v>2.5844463000000002</v>
      </c>
      <c r="U180" s="45">
        <v>-9.0521858000000011E-3</v>
      </c>
      <c r="V180" s="45">
        <v>1.4301987E-2</v>
      </c>
      <c r="W180" s="45">
        <v>1.7050769999999999E-4</v>
      </c>
      <c r="X180" s="45">
        <v>4.9645359999999998E-6</v>
      </c>
      <c r="Y180" s="45">
        <v>-1.2927478999999998E-7</v>
      </c>
      <c r="Z180" s="36">
        <v>3.57</v>
      </c>
      <c r="AA180" s="38">
        <v>508</v>
      </c>
      <c r="AB180" s="38">
        <v>588</v>
      </c>
      <c r="AC180" s="49" t="s">
        <v>506</v>
      </c>
      <c r="AD180" s="39" t="s">
        <v>1371</v>
      </c>
      <c r="AE180" s="46" t="s">
        <v>249</v>
      </c>
    </row>
    <row r="181" spans="1:31" ht="15" thickBot="1">
      <c r="A181" s="34">
        <v>179</v>
      </c>
      <c r="B181" s="34" t="s">
        <v>252</v>
      </c>
      <c r="C181" s="41" t="s">
        <v>1366</v>
      </c>
      <c r="D181" s="34" t="s">
        <v>130</v>
      </c>
      <c r="E181" s="80">
        <f t="shared" si="14"/>
        <v>1.5934930923134489</v>
      </c>
      <c r="F181" s="35">
        <f t="shared" si="15"/>
        <v>67.002631026534914</v>
      </c>
      <c r="G181" s="42" cm="1">
        <f t="array" ref="G18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66.745158719603481</v>
      </c>
      <c r="H181" s="81" cm="1">
        <f t="array" ref="H1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1.5907777777657663</v>
      </c>
      <c r="I181" s="81" cm="1">
        <f t="array" ref="I1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1.5934930923134489</v>
      </c>
      <c r="J181" s="81" cm="1">
        <f t="array" ref="J1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1.5956071508366738</v>
      </c>
      <c r="K181" s="81" cm="1">
        <f t="array" ref="K1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1.5996355357854239</v>
      </c>
      <c r="L181" s="81" cm="1">
        <f t="array" ref="L1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1.6043893368334201</v>
      </c>
      <c r="M181" s="37">
        <f t="shared" si="16"/>
        <v>8.8577580196576022E-3</v>
      </c>
      <c r="N181" s="43">
        <f t="shared" si="17"/>
        <v>2.7153145476825902E-3</v>
      </c>
      <c r="O181" s="43">
        <f t="shared" si="18"/>
        <v>4.7538010479961645E-3</v>
      </c>
      <c r="P181" s="43">
        <f t="shared" si="19"/>
        <v>0.30654648068468582</v>
      </c>
      <c r="Q181" s="37">
        <f t="shared" si="20"/>
        <v>0.53668219852543719</v>
      </c>
      <c r="R181" s="37">
        <v>8.8000000000000005E-3</v>
      </c>
      <c r="S181" s="44" t="s">
        <v>1394</v>
      </c>
      <c r="T181" s="45">
        <v>2.5046637999999999</v>
      </c>
      <c r="U181" s="45">
        <v>-1.0149448000000002E-2</v>
      </c>
      <c r="V181" s="45">
        <v>1.2653768999999999E-2</v>
      </c>
      <c r="W181" s="45">
        <v>1.6566642E-4</v>
      </c>
      <c r="X181" s="45">
        <v>5.3871746999999998E-7</v>
      </c>
      <c r="Y181" s="45">
        <v>5.5840930000000001E-8</v>
      </c>
      <c r="Z181" s="36">
        <v>3.14</v>
      </c>
      <c r="AA181" s="38">
        <v>499</v>
      </c>
      <c r="AB181" s="38">
        <v>580</v>
      </c>
      <c r="AC181" s="49" t="s">
        <v>506</v>
      </c>
      <c r="AD181" s="39" t="s">
        <v>1371</v>
      </c>
      <c r="AE181" s="46" t="s">
        <v>249</v>
      </c>
    </row>
    <row r="182" spans="1:31" ht="15" thickBot="1">
      <c r="A182" s="34">
        <v>180</v>
      </c>
      <c r="B182" s="34" t="s">
        <v>252</v>
      </c>
      <c r="C182" s="41" t="s">
        <v>1355</v>
      </c>
      <c r="D182" s="34" t="s">
        <v>131</v>
      </c>
      <c r="E182" s="80">
        <f t="shared" si="14"/>
        <v>1.5167982160259881</v>
      </c>
      <c r="F182" s="35">
        <f t="shared" si="15"/>
        <v>64.199006677264492</v>
      </c>
      <c r="G182" s="42" cm="1">
        <f t="array" ref="G18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64.001734034772227</v>
      </c>
      <c r="H182" s="81" cm="1">
        <f t="array" ref="H1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1.5143187028334535</v>
      </c>
      <c r="I182" s="81" cm="1">
        <f t="array" ref="I1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1.5167982160259881</v>
      </c>
      <c r="J182" s="81" cm="1">
        <f t="array" ref="J1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1.5187194463852303</v>
      </c>
      <c r="K182" s="81" cm="1">
        <f t="array" ref="K1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1.5223686438336934</v>
      </c>
      <c r="L182" s="81" cm="1">
        <f t="array" ref="L1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1.526669868330538</v>
      </c>
      <c r="M182" s="37">
        <f t="shared" si="16"/>
        <v>8.0499410002399241E-3</v>
      </c>
      <c r="N182" s="43">
        <f t="shared" si="17"/>
        <v>2.4795131925345881E-3</v>
      </c>
      <c r="O182" s="43">
        <f t="shared" si="18"/>
        <v>4.3012244968445579E-3</v>
      </c>
      <c r="P182" s="43">
        <f t="shared" si="19"/>
        <v>0.30801631868614782</v>
      </c>
      <c r="Q182" s="37">
        <f t="shared" si="20"/>
        <v>0.53431751819253859</v>
      </c>
      <c r="R182" s="37">
        <v>1.5E-3</v>
      </c>
      <c r="S182" s="44" t="s">
        <v>1394</v>
      </c>
      <c r="T182" s="45">
        <v>2.2702566000000002</v>
      </c>
      <c r="U182" s="45">
        <v>-9.1988100999999996E-3</v>
      </c>
      <c r="V182" s="45">
        <v>1.1609705999999999E-2</v>
      </c>
      <c r="W182" s="45">
        <v>-7.6123911000000008E-5</v>
      </c>
      <c r="X182" s="45">
        <v>2.8558727000000002E-5</v>
      </c>
      <c r="Y182" s="45">
        <v>-1.2566485999999999E-6</v>
      </c>
      <c r="Z182" s="36">
        <v>2.52</v>
      </c>
      <c r="AA182" s="38">
        <v>556</v>
      </c>
      <c r="AB182" s="38">
        <v>711</v>
      </c>
      <c r="AC182" s="49" t="s">
        <v>506</v>
      </c>
      <c r="AD182" s="49" t="s">
        <v>506</v>
      </c>
      <c r="AE182" s="46" t="s">
        <v>249</v>
      </c>
    </row>
    <row r="183" spans="1:31" ht="15" thickBot="1">
      <c r="A183" s="34">
        <v>181</v>
      </c>
      <c r="B183" s="34" t="s">
        <v>252</v>
      </c>
      <c r="C183" s="41" t="s">
        <v>1355</v>
      </c>
      <c r="D183" s="34" t="s">
        <v>247</v>
      </c>
      <c r="E183" s="80">
        <f t="shared" si="14"/>
        <v>1.5182299256827272</v>
      </c>
      <c r="F183" s="35">
        <f t="shared" si="15"/>
        <v>58.961579914903972</v>
      </c>
      <c r="G183" s="42" cm="1">
        <f t="array" ref="G18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58.688718761820098</v>
      </c>
      <c r="H183" s="81" cm="1">
        <f t="array" ref="H1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1.5155599602747516</v>
      </c>
      <c r="I183" s="81" cm="1">
        <f t="array" ref="I1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1.5182299256827272</v>
      </c>
      <c r="J183" s="81" cm="1">
        <f t="array" ref="J1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1.5203260099764124</v>
      </c>
      <c r="K183" s="81" cm="1">
        <f t="array" ref="K1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1.5243492418108071</v>
      </c>
      <c r="L183" s="81" cm="1">
        <f t="array" ref="L1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1.5291324974922884</v>
      </c>
      <c r="M183" s="37">
        <f t="shared" si="16"/>
        <v>8.7892815360555154E-3</v>
      </c>
      <c r="N183" s="43">
        <f t="shared" si="17"/>
        <v>2.6699654079755941E-3</v>
      </c>
      <c r="O183" s="43">
        <f t="shared" si="18"/>
        <v>4.7832556814813021E-3</v>
      </c>
      <c r="P183" s="43">
        <f t="shared" si="19"/>
        <v>0.30377516034989027</v>
      </c>
      <c r="Q183" s="37">
        <f t="shared" si="20"/>
        <v>0.54421463937175785</v>
      </c>
      <c r="R183" s="37">
        <v>2E-3</v>
      </c>
      <c r="S183" s="44" t="s">
        <v>1394</v>
      </c>
      <c r="T183" s="45">
        <v>2.2725452000000002</v>
      </c>
      <c r="U183" s="45">
        <v>-8.4104910000000008E-3</v>
      </c>
      <c r="V183" s="45">
        <v>1.1306843E-2</v>
      </c>
      <c r="W183" s="45">
        <v>3.7782297000000002E-4</v>
      </c>
      <c r="X183" s="45">
        <v>-2.6903423000000004E-5</v>
      </c>
      <c r="Y183" s="45">
        <v>1.5976488999999999E-6</v>
      </c>
      <c r="Z183" s="36">
        <v>2.5299999999999998</v>
      </c>
      <c r="AA183" s="38">
        <v>501</v>
      </c>
      <c r="AB183" s="38">
        <v>652</v>
      </c>
      <c r="AC183" s="49" t="s">
        <v>506</v>
      </c>
      <c r="AD183" s="49" t="s">
        <v>506</v>
      </c>
      <c r="AE183" s="46" t="s">
        <v>249</v>
      </c>
    </row>
    <row r="184" spans="1:31" ht="15" thickBot="1">
      <c r="A184" s="34">
        <v>182</v>
      </c>
      <c r="B184" s="34" t="s">
        <v>252</v>
      </c>
      <c r="C184" s="41" t="s">
        <v>1355</v>
      </c>
      <c r="D184" s="34" t="s">
        <v>1041</v>
      </c>
      <c r="E184" s="80">
        <f t="shared" si="14"/>
        <v>1.5688291018777281</v>
      </c>
      <c r="F184" s="35">
        <f t="shared" si="15"/>
        <v>56.044789264357206</v>
      </c>
      <c r="G184" s="42" cm="1">
        <f t="array" ref="G18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55.776731380418106</v>
      </c>
      <c r="H184" s="81" cm="1">
        <f t="array" ref="H1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1.5657514339813368</v>
      </c>
      <c r="I184" s="81" cm="1">
        <f t="array" ref="I1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1.5688291018777281</v>
      </c>
      <c r="J184" s="81" cm="1">
        <f t="array" ref="J1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1.5712469068539232</v>
      </c>
      <c r="K184" s="81" cm="1">
        <f t="array" ref="K1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1.5759009788247409</v>
      </c>
      <c r="L184" s="81" cm="1">
        <f t="array" ref="L1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1.5814684759888213</v>
      </c>
      <c r="M184" s="37">
        <f t="shared" si="16"/>
        <v>1.0149544843404135E-2</v>
      </c>
      <c r="N184" s="43">
        <f t="shared" si="17"/>
        <v>3.0776678963913007E-3</v>
      </c>
      <c r="O184" s="43">
        <f t="shared" si="18"/>
        <v>5.5674971640804483E-3</v>
      </c>
      <c r="P184" s="43">
        <f t="shared" si="19"/>
        <v>0.30323210980159165</v>
      </c>
      <c r="Q184" s="37">
        <f t="shared" si="20"/>
        <v>0.54854648656472382</v>
      </c>
      <c r="R184" s="37">
        <v>1E-3</v>
      </c>
      <c r="S184" s="44" t="s">
        <v>1394</v>
      </c>
      <c r="T184" s="45">
        <v>2.4196645000000001</v>
      </c>
      <c r="U184" s="45">
        <v>-8.3329314000000002E-3</v>
      </c>
      <c r="V184" s="45">
        <v>1.539739E-2</v>
      </c>
      <c r="W184" s="45">
        <v>-1.7391654000000002E-4</v>
      </c>
      <c r="X184" s="45">
        <v>6.2183219999999999E-5</v>
      </c>
      <c r="Y184" s="45">
        <v>-3.0621309999999997E-6</v>
      </c>
      <c r="Z184" s="36">
        <v>2.85</v>
      </c>
      <c r="AA184" s="38">
        <v>590</v>
      </c>
      <c r="AB184" s="38">
        <v>748</v>
      </c>
      <c r="AC184" s="49" t="s">
        <v>506</v>
      </c>
      <c r="AD184" s="49" t="s">
        <v>506</v>
      </c>
      <c r="AE184" s="46" t="s">
        <v>249</v>
      </c>
    </row>
    <row r="185" spans="1:31" ht="15" thickBot="1">
      <c r="A185" s="34">
        <v>183</v>
      </c>
      <c r="B185" s="34" t="s">
        <v>252</v>
      </c>
      <c r="C185" s="41" t="s">
        <v>1355</v>
      </c>
      <c r="D185" s="34" t="s">
        <v>1042</v>
      </c>
      <c r="E185" s="80">
        <f t="shared" si="14"/>
        <v>1.5891287376786898</v>
      </c>
      <c r="F185" s="35">
        <f t="shared" si="15"/>
        <v>61.253339064275551</v>
      </c>
      <c r="G185" s="42" cm="1">
        <f t="array" ref="G18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61.013182957982416</v>
      </c>
      <c r="H185" s="81" cm="1">
        <f t="array" ref="H1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1.5861875950993349</v>
      </c>
      <c r="I185" s="81" cm="1">
        <f t="array" ref="I1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1.5891287376786898</v>
      </c>
      <c r="J185" s="81" cm="1">
        <f t="array" ref="J1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1.5914227211413208</v>
      </c>
      <c r="K185" s="81" cm="1">
        <f t="array" ref="K1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1.5958054991463371</v>
      </c>
      <c r="L185" s="81" cm="1">
        <f t="array" ref="L1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1.6010029201217355</v>
      </c>
      <c r="M185" s="37">
        <f t="shared" si="16"/>
        <v>9.6179040470021349E-3</v>
      </c>
      <c r="N185" s="43">
        <f t="shared" si="17"/>
        <v>2.9411425793548496E-3</v>
      </c>
      <c r="O185" s="43">
        <f t="shared" si="18"/>
        <v>5.1974209753984368E-3</v>
      </c>
      <c r="P185" s="43">
        <f t="shared" si="19"/>
        <v>0.30579870260523057</v>
      </c>
      <c r="Q185" s="37">
        <f t="shared" si="20"/>
        <v>0.54039018792441096</v>
      </c>
      <c r="R185" s="37">
        <v>2.2000000000000001E-3</v>
      </c>
      <c r="S185" s="44" t="s">
        <v>1394</v>
      </c>
      <c r="T185" s="45">
        <v>2.4861499</v>
      </c>
      <c r="U185" s="45">
        <v>-9.5684845000000001E-3</v>
      </c>
      <c r="V185" s="45">
        <v>1.4685059E-2</v>
      </c>
      <c r="W185" s="45">
        <v>-1.1216487E-4</v>
      </c>
      <c r="X185" s="45">
        <v>4.1978777000000009E-5</v>
      </c>
      <c r="Y185" s="45">
        <v>-1.8856189999999999E-6</v>
      </c>
      <c r="Z185" s="36">
        <v>3.27</v>
      </c>
      <c r="AA185" s="38">
        <v>612</v>
      </c>
      <c r="AB185" s="38">
        <v>724</v>
      </c>
      <c r="AC185" s="49" t="s">
        <v>506</v>
      </c>
      <c r="AD185" s="49" t="s">
        <v>506</v>
      </c>
      <c r="AE185" s="46" t="s">
        <v>249</v>
      </c>
    </row>
    <row r="186" spans="1:31" ht="15" thickBot="1">
      <c r="A186" s="34">
        <v>184</v>
      </c>
      <c r="B186" s="34" t="s">
        <v>252</v>
      </c>
      <c r="C186" s="41" t="s">
        <v>1355</v>
      </c>
      <c r="D186" s="34" t="s">
        <v>1043</v>
      </c>
      <c r="E186" s="80">
        <f t="shared" si="14"/>
        <v>1.6204088924572073</v>
      </c>
      <c r="F186" s="35">
        <f t="shared" si="15"/>
        <v>60.344559093863069</v>
      </c>
      <c r="G186" s="42" cm="1">
        <f t="array" ref="G18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60.1059199703082</v>
      </c>
      <c r="H186" s="81" cm="1">
        <f t="array" ref="H1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1.6172688772549011</v>
      </c>
      <c r="I186" s="81" cm="1">
        <f t="array" ref="I1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1.6204088924572073</v>
      </c>
      <c r="J186" s="81" cm="1">
        <f t="array" ref="J1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1.6228621086400181</v>
      </c>
      <c r="K186" s="81" cm="1">
        <f t="array" ref="K1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1.6275499846450834</v>
      </c>
      <c r="L186" s="81" cm="1">
        <f t="array" ref="L1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1.6330964063114795</v>
      </c>
      <c r="M186" s="37">
        <f t="shared" si="16"/>
        <v>1.0281107390182287E-2</v>
      </c>
      <c r="N186" s="43">
        <f t="shared" si="17"/>
        <v>3.1400152023062233E-3</v>
      </c>
      <c r="O186" s="43">
        <f t="shared" si="18"/>
        <v>5.546421666396073E-3</v>
      </c>
      <c r="P186" s="43">
        <f t="shared" si="19"/>
        <v>0.30541604937467248</v>
      </c>
      <c r="Q186" s="37">
        <f t="shared" si="20"/>
        <v>0.5394770675863676</v>
      </c>
      <c r="R186" s="37">
        <v>-2.9999999999999997E-4</v>
      </c>
      <c r="S186" s="44" t="s">
        <v>1394</v>
      </c>
      <c r="T186" s="45">
        <v>2.5859898000000001</v>
      </c>
      <c r="U186" s="45">
        <v>-1.1940432000000001E-2</v>
      </c>
      <c r="V186" s="45">
        <v>1.3995502E-2</v>
      </c>
      <c r="W186" s="45">
        <v>4.8974502000000001E-4</v>
      </c>
      <c r="X186" s="45">
        <v>-3.9120717E-5</v>
      </c>
      <c r="Y186" s="45">
        <v>2.2611914999999997E-6</v>
      </c>
      <c r="Z186" s="36">
        <v>3.52</v>
      </c>
      <c r="AA186" s="38">
        <v>644</v>
      </c>
      <c r="AB186" s="38">
        <v>735</v>
      </c>
      <c r="AC186" s="49" t="s">
        <v>506</v>
      </c>
      <c r="AD186" s="49" t="s">
        <v>506</v>
      </c>
      <c r="AE186" s="46" t="s">
        <v>249</v>
      </c>
    </row>
    <row r="187" spans="1:31" ht="15" thickBot="1">
      <c r="A187" s="34">
        <v>185</v>
      </c>
      <c r="B187" s="34" t="s">
        <v>252</v>
      </c>
      <c r="C187" s="41" t="s">
        <v>1355</v>
      </c>
      <c r="D187" s="34" t="s">
        <v>1044</v>
      </c>
      <c r="E187" s="80">
        <f t="shared" si="14"/>
        <v>1.6584356352853769</v>
      </c>
      <c r="F187" s="35">
        <f t="shared" si="15"/>
        <v>50.855201418297376</v>
      </c>
      <c r="G187" s="42" cm="1">
        <f t="array" ref="G18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50.568908618098959</v>
      </c>
      <c r="H187" s="81" cm="1">
        <f t="array" ref="H1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1.6545440183736764</v>
      </c>
      <c r="I187" s="81" cm="1">
        <f t="array" ref="I1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1.6584356352853769</v>
      </c>
      <c r="J187" s="81" cm="1">
        <f t="array" ref="J1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1.6615165304401316</v>
      </c>
      <c r="K187" s="81" cm="1">
        <f t="array" ref="K1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1.667491280736666</v>
      </c>
      <c r="L187" s="81" cm="1">
        <f t="array" ref="L1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1.6747102684754605</v>
      </c>
      <c r="M187" s="37">
        <f t="shared" si="16"/>
        <v>1.2947262362989598E-2</v>
      </c>
      <c r="N187" s="43">
        <f t="shared" si="17"/>
        <v>3.8916169117004795E-3</v>
      </c>
      <c r="O187" s="43">
        <f t="shared" si="18"/>
        <v>7.2189877387944801E-3</v>
      </c>
      <c r="P187" s="43">
        <f t="shared" si="19"/>
        <v>0.30057450004449299</v>
      </c>
      <c r="Q187" s="37">
        <f t="shared" si="20"/>
        <v>0.5575686609572631</v>
      </c>
      <c r="R187" s="37">
        <v>8.0000000000000004E-4</v>
      </c>
      <c r="S187" s="44" t="s">
        <v>1394</v>
      </c>
      <c r="T187" s="45">
        <v>2.6934244999999999</v>
      </c>
      <c r="U187" s="45">
        <v>-8.6370140000000001E-3</v>
      </c>
      <c r="V187" s="45">
        <v>2.0496449999999999E-2</v>
      </c>
      <c r="W187" s="45">
        <v>-9.3205453000000005E-5</v>
      </c>
      <c r="X187" s="45">
        <v>6.2709747000000009E-5</v>
      </c>
      <c r="Y187" s="45">
        <v>-2.0834652E-6</v>
      </c>
      <c r="Z187" s="36">
        <v>3.64</v>
      </c>
      <c r="AA187" s="38">
        <v>601</v>
      </c>
      <c r="AB187" s="38">
        <v>729</v>
      </c>
      <c r="AC187" s="49" t="s">
        <v>506</v>
      </c>
      <c r="AD187" s="49" t="s">
        <v>506</v>
      </c>
      <c r="AE187" s="46" t="s">
        <v>249</v>
      </c>
    </row>
    <row r="188" spans="1:31" ht="15" thickBot="1">
      <c r="A188" s="34">
        <v>186</v>
      </c>
      <c r="B188" s="34" t="s">
        <v>252</v>
      </c>
      <c r="C188" s="41" t="s">
        <v>1355</v>
      </c>
      <c r="D188" s="34" t="s">
        <v>1045</v>
      </c>
      <c r="E188" s="80">
        <f t="shared" si="14"/>
        <v>1.7129998248904119</v>
      </c>
      <c r="F188" s="35">
        <f t="shared" si="15"/>
        <v>53.93949056535773</v>
      </c>
      <c r="G188" s="42" cm="1">
        <f t="array" ref="G18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53.718327099138492</v>
      </c>
      <c r="H188" s="81" cm="1">
        <f t="array" ref="H1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1.7089785191080578</v>
      </c>
      <c r="I188" s="81" cm="1">
        <f t="array" ref="I1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1.7129998248904119</v>
      </c>
      <c r="J188" s="81" cm="1">
        <f t="array" ref="J1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1.7161514804577183</v>
      </c>
      <c r="K188" s="81" cm="1">
        <f t="array" ref="K1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1.722197031508105</v>
      </c>
      <c r="L188" s="81" cm="1">
        <f t="array" ref="L1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1.729391303238758</v>
      </c>
      <c r="M188" s="37">
        <f t="shared" si="16"/>
        <v>1.3218512400047233E-2</v>
      </c>
      <c r="N188" s="43">
        <f t="shared" si="17"/>
        <v>4.0213057823541565E-3</v>
      </c>
      <c r="O188" s="43">
        <f t="shared" si="18"/>
        <v>7.1942717306530124E-3</v>
      </c>
      <c r="P188" s="43">
        <f t="shared" si="19"/>
        <v>0.3042177259174631</v>
      </c>
      <c r="Q188" s="37">
        <f t="shared" si="20"/>
        <v>0.54425728954396602</v>
      </c>
      <c r="R188" s="37">
        <v>-7.1000000000000004E-3</v>
      </c>
      <c r="S188" s="44" t="s">
        <v>1394</v>
      </c>
      <c r="T188" s="45">
        <v>2.8778537000000002</v>
      </c>
      <c r="U188" s="45">
        <v>-1.3832906000000001E-2</v>
      </c>
      <c r="V188" s="45">
        <v>2.0301184999999999E-2</v>
      </c>
      <c r="W188" s="45">
        <v>2.7759871000000003E-4</v>
      </c>
      <c r="X188" s="45">
        <v>5.905983E-6</v>
      </c>
      <c r="Y188" s="45">
        <v>1.7747646999999998E-7</v>
      </c>
      <c r="Z188" s="36">
        <v>3.81</v>
      </c>
      <c r="AA188" s="38">
        <v>636</v>
      </c>
      <c r="AB188" s="38">
        <v>704</v>
      </c>
      <c r="AC188" s="49" t="s">
        <v>506</v>
      </c>
      <c r="AD188" s="39" t="s">
        <v>1371</v>
      </c>
      <c r="AE188" s="46" t="s">
        <v>249</v>
      </c>
    </row>
    <row r="189" spans="1:31" ht="15" thickBot="1">
      <c r="A189" s="34">
        <v>187</v>
      </c>
      <c r="B189" s="34" t="s">
        <v>252</v>
      </c>
      <c r="C189" s="41" t="s">
        <v>1355</v>
      </c>
      <c r="D189" s="34" t="s">
        <v>1046</v>
      </c>
      <c r="E189" s="80">
        <f t="shared" si="14"/>
        <v>1.6968023412354998</v>
      </c>
      <c r="F189" s="35">
        <f t="shared" si="15"/>
        <v>55.46034796386013</v>
      </c>
      <c r="G189" s="42" cm="1">
        <f t="array" ref="G18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55.247270442789528</v>
      </c>
      <c r="H189" s="81" cm="1">
        <f t="array" ref="H1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1.6929689885533989</v>
      </c>
      <c r="I189" s="81" cm="1">
        <f t="array" ref="I1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1.6968023412354998</v>
      </c>
      <c r="J189" s="81" cm="1">
        <f t="array" ref="J1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1.6997978620180791</v>
      </c>
      <c r="K189" s="81" cm="1">
        <f t="array" ref="K1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1.7055329620374737</v>
      </c>
      <c r="L189" s="81" cm="1">
        <f t="array" ref="L1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1.7123503191567497</v>
      </c>
      <c r="M189" s="37">
        <f t="shared" si="16"/>
        <v>1.2563973484074786E-2</v>
      </c>
      <c r="N189" s="43">
        <f t="shared" si="17"/>
        <v>3.8333526821008324E-3</v>
      </c>
      <c r="O189" s="43">
        <f t="shared" si="18"/>
        <v>6.8173571192760019E-3</v>
      </c>
      <c r="P189" s="43">
        <f t="shared" si="19"/>
        <v>0.30510671540016554</v>
      </c>
      <c r="Q189" s="37">
        <f t="shared" si="20"/>
        <v>0.54261154943674517</v>
      </c>
      <c r="R189" s="37">
        <v>-6.0000000000000001E-3</v>
      </c>
      <c r="S189" s="44" t="s">
        <v>1394</v>
      </c>
      <c r="T189" s="45">
        <v>2.8255229000000002</v>
      </c>
      <c r="U189" s="45">
        <v>-1.3632902000000001E-2</v>
      </c>
      <c r="V189" s="45">
        <v>1.9791402E-2</v>
      </c>
      <c r="W189" s="45">
        <v>1.5032564000000001E-5</v>
      </c>
      <c r="X189" s="45">
        <v>4.0761367999999998E-5</v>
      </c>
      <c r="Y189" s="45">
        <v>-1.7527266999999998E-6</v>
      </c>
      <c r="Z189" s="36">
        <v>3.67</v>
      </c>
      <c r="AA189" s="38">
        <v>637</v>
      </c>
      <c r="AB189" s="38">
        <v>705</v>
      </c>
      <c r="AC189" s="49" t="s">
        <v>506</v>
      </c>
      <c r="AD189" s="39" t="s">
        <v>1371</v>
      </c>
      <c r="AE189" s="46" t="s">
        <v>249</v>
      </c>
    </row>
    <row r="190" spans="1:31" ht="15" thickBot="1">
      <c r="A190" s="34">
        <v>188</v>
      </c>
      <c r="B190" s="34" t="s">
        <v>252</v>
      </c>
      <c r="C190" s="41" t="s">
        <v>1355</v>
      </c>
      <c r="D190" s="34" t="s">
        <v>1047</v>
      </c>
      <c r="E190" s="80">
        <f t="shared" si="14"/>
        <v>1.7550008618125197</v>
      </c>
      <c r="F190" s="35">
        <f t="shared" si="15"/>
        <v>52.318448485475685</v>
      </c>
      <c r="G190" s="42" cm="1">
        <f t="array" ref="G19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52.084934571656461</v>
      </c>
      <c r="H190" s="81" cm="1">
        <f t="array" ref="H1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1.7506260932594691</v>
      </c>
      <c r="I190" s="81" cm="1">
        <f t="array" ref="I1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1.7550008618125197</v>
      </c>
      <c r="J190" s="81" cm="1">
        <f t="array" ref="J1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1.7584400934139275</v>
      </c>
      <c r="K190" s="81" cm="1">
        <f t="array" ref="K1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1.7650569658038282</v>
      </c>
      <c r="L190" s="81" cm="1">
        <f t="array" ref="L1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1.772957164713149</v>
      </c>
      <c r="M190" s="37">
        <f t="shared" si="16"/>
        <v>1.4430872544359152E-2</v>
      </c>
      <c r="N190" s="43">
        <f t="shared" si="17"/>
        <v>4.3747685530506342E-3</v>
      </c>
      <c r="O190" s="43">
        <f t="shared" si="18"/>
        <v>7.9001989093208103E-3</v>
      </c>
      <c r="P190" s="43">
        <f t="shared" si="19"/>
        <v>0.30315343300295977</v>
      </c>
      <c r="Q190" s="37">
        <f t="shared" si="20"/>
        <v>0.54745122895627674</v>
      </c>
      <c r="R190" s="37">
        <v>-6.7999999999999996E-3</v>
      </c>
      <c r="S190" s="44" t="s">
        <v>1394</v>
      </c>
      <c r="T190" s="45">
        <v>3.0165377000000002</v>
      </c>
      <c r="U190" s="45">
        <v>-1.444351E-2</v>
      </c>
      <c r="V190" s="45">
        <v>2.2581959000000002E-2</v>
      </c>
      <c r="W190" s="45">
        <v>3.4150903999999999E-4</v>
      </c>
      <c r="X190" s="45">
        <v>7.9160305000000002E-6</v>
      </c>
      <c r="Y190" s="45">
        <v>1.0328887999999999E-7</v>
      </c>
      <c r="Z190" s="36">
        <v>4.1900000000000004</v>
      </c>
      <c r="AA190" s="38">
        <v>685</v>
      </c>
      <c r="AB190" s="38">
        <v>739</v>
      </c>
      <c r="AC190" s="49" t="s">
        <v>506</v>
      </c>
      <c r="AD190" s="39" t="s">
        <v>1371</v>
      </c>
      <c r="AE190" s="46" t="s">
        <v>1367</v>
      </c>
    </row>
    <row r="191" spans="1:31" ht="15" thickBot="1">
      <c r="A191" s="34">
        <v>189</v>
      </c>
      <c r="B191" s="34" t="s">
        <v>252</v>
      </c>
      <c r="C191" s="41" t="s">
        <v>1355</v>
      </c>
      <c r="D191" s="34" t="s">
        <v>1048</v>
      </c>
      <c r="E191" s="80">
        <f t="shared" si="14"/>
        <v>1.7550000007981292</v>
      </c>
      <c r="F191" s="35">
        <f t="shared" si="15"/>
        <v>52.323469565240309</v>
      </c>
      <c r="G191" s="42" cm="1">
        <f t="array" ref="G19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52.087277958218344</v>
      </c>
      <c r="H191" s="81" cm="1">
        <f t="array" ref="H1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1.7506279674747849</v>
      </c>
      <c r="I191" s="81" cm="1">
        <f t="array" ref="I1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1.7550000007981292</v>
      </c>
      <c r="J191" s="81" cm="1">
        <f t="array" ref="J1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1.7584390901536804</v>
      </c>
      <c r="K191" s="81" cm="1">
        <f t="array" ref="K1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1.7650574387440161</v>
      </c>
      <c r="L191" s="81" cm="1">
        <f t="array" ref="L1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1.7729559320109787</v>
      </c>
      <c r="M191" s="37">
        <f t="shared" si="16"/>
        <v>1.442947126923122E-2</v>
      </c>
      <c r="N191" s="43">
        <f t="shared" si="17"/>
        <v>4.3720333233443487E-3</v>
      </c>
      <c r="O191" s="43">
        <f t="shared" si="18"/>
        <v>7.8984932669625696E-3</v>
      </c>
      <c r="P191" s="43">
        <f t="shared" si="19"/>
        <v>0.30299331429191612</v>
      </c>
      <c r="Q191" s="37">
        <f t="shared" si="20"/>
        <v>0.54738618758713464</v>
      </c>
      <c r="R191" s="37">
        <v>-6.8999999999999999E-3</v>
      </c>
      <c r="S191" s="44" t="s">
        <v>1394</v>
      </c>
      <c r="T191" s="45">
        <v>3.0182183999999999</v>
      </c>
      <c r="U191" s="45">
        <v>-1.5381632999999999E-2</v>
      </c>
      <c r="V191" s="45">
        <v>2.1520136999999998E-2</v>
      </c>
      <c r="W191" s="45">
        <v>6.4608302999999998E-4</v>
      </c>
      <c r="X191" s="45">
        <v>-3.2355748000000004E-5</v>
      </c>
      <c r="Y191" s="45">
        <v>2.0791593000000001E-6</v>
      </c>
      <c r="Z191" s="36">
        <v>4.2699999999999996</v>
      </c>
      <c r="AA191" s="38">
        <v>675</v>
      </c>
      <c r="AB191" s="38">
        <v>738</v>
      </c>
      <c r="AC191" s="49" t="s">
        <v>506</v>
      </c>
      <c r="AD191" s="49" t="s">
        <v>506</v>
      </c>
      <c r="AE191" s="46" t="s">
        <v>249</v>
      </c>
    </row>
    <row r="192" spans="1:31" ht="15" thickBot="1">
      <c r="A192" s="34">
        <v>190</v>
      </c>
      <c r="B192" s="34" t="s">
        <v>252</v>
      </c>
      <c r="C192" s="41" t="s">
        <v>1355</v>
      </c>
      <c r="D192" s="34" t="s">
        <v>1049</v>
      </c>
      <c r="E192" s="80">
        <f t="shared" si="14"/>
        <v>1.7291590962031991</v>
      </c>
      <c r="F192" s="35">
        <f t="shared" si="15"/>
        <v>54.538176708208205</v>
      </c>
      <c r="G192" s="42" cm="1">
        <f t="array" ref="G19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54.308963383252689</v>
      </c>
      <c r="H192" s="81" cm="1">
        <f t="array" ref="H1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1.7250921732957762</v>
      </c>
      <c r="I192" s="81" cm="1">
        <f t="array" ref="I1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1.7291590962031991</v>
      </c>
      <c r="J192" s="81" cm="1">
        <f t="array" ref="J1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1.7323452798273054</v>
      </c>
      <c r="K192" s="81" cm="1">
        <f t="array" ref="K1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1.7384618739387656</v>
      </c>
      <c r="L192" s="81" cm="1">
        <f t="array" ref="L1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1.7457532589588454</v>
      </c>
      <c r="M192" s="37">
        <f t="shared" si="16"/>
        <v>1.3369700642989368E-2</v>
      </c>
      <c r="N192" s="43">
        <f t="shared" si="17"/>
        <v>4.0669229074228319E-3</v>
      </c>
      <c r="O192" s="43">
        <f t="shared" si="18"/>
        <v>7.2913850200797548E-3</v>
      </c>
      <c r="P192" s="43">
        <f t="shared" si="19"/>
        <v>0.3041895264540117</v>
      </c>
      <c r="Q192" s="37">
        <f t="shared" si="20"/>
        <v>0.54536636344981426</v>
      </c>
      <c r="R192" s="37">
        <v>-4.8999999999999998E-3</v>
      </c>
      <c r="S192" s="44" t="s">
        <v>1394</v>
      </c>
      <c r="T192" s="45">
        <v>2.9312694000000001</v>
      </c>
      <c r="U192" s="45">
        <v>-1.3849508999999999E-2</v>
      </c>
      <c r="V192" s="45">
        <v>2.1679031000000001E-2</v>
      </c>
      <c r="W192" s="45">
        <v>-7.921210600000001E-5</v>
      </c>
      <c r="X192" s="45">
        <v>6.609871400000001E-5</v>
      </c>
      <c r="Y192" s="45">
        <v>-3.3369837000000001E-6</v>
      </c>
      <c r="Z192" s="36">
        <v>4.05</v>
      </c>
      <c r="AA192" s="38">
        <v>679</v>
      </c>
      <c r="AB192" s="38">
        <v>739</v>
      </c>
      <c r="AC192" s="49" t="s">
        <v>506</v>
      </c>
      <c r="AD192" s="39" t="s">
        <v>1371</v>
      </c>
      <c r="AE192" s="46" t="s">
        <v>1367</v>
      </c>
    </row>
    <row r="193" spans="1:31" ht="15" thickBot="1">
      <c r="A193" s="34">
        <v>191</v>
      </c>
      <c r="B193" s="34" t="s">
        <v>252</v>
      </c>
      <c r="C193" s="41" t="s">
        <v>1355</v>
      </c>
      <c r="D193" s="34" t="s">
        <v>1050</v>
      </c>
      <c r="E193" s="80">
        <f t="shared" si="14"/>
        <v>1.7291600604177819</v>
      </c>
      <c r="F193" s="35">
        <f t="shared" si="15"/>
        <v>54.674159882718605</v>
      </c>
      <c r="G193" s="42" cm="1">
        <f t="array" ref="G19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54.445120237249846</v>
      </c>
      <c r="H193" s="81" cm="1">
        <f t="array" ref="H1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1.7251025131003241</v>
      </c>
      <c r="I193" s="81" cm="1">
        <f t="array" ref="I1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1.7291600604177819</v>
      </c>
      <c r="J193" s="81" cm="1">
        <f t="array" ref="J1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1.7323381293112137</v>
      </c>
      <c r="K193" s="81" cm="1">
        <f t="array" ref="K1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1.7384389788454202</v>
      </c>
      <c r="L193" s="81" cm="1">
        <f t="array" ref="L1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1.7457120997136863</v>
      </c>
      <c r="M193" s="37">
        <f t="shared" si="16"/>
        <v>1.333646574509606E-2</v>
      </c>
      <c r="N193" s="43">
        <f t="shared" si="17"/>
        <v>4.057547317457777E-3</v>
      </c>
      <c r="O193" s="43">
        <f t="shared" si="18"/>
        <v>7.2731208682661475E-3</v>
      </c>
      <c r="P193" s="43">
        <f t="shared" si="19"/>
        <v>0.30424457236354197</v>
      </c>
      <c r="Q193" s="37">
        <f t="shared" si="20"/>
        <v>0.54535594416688249</v>
      </c>
      <c r="R193" s="37">
        <v>-4.5999999999999999E-3</v>
      </c>
      <c r="S193" s="44" t="s">
        <v>1394</v>
      </c>
      <c r="T193" s="45">
        <v>2.9324178000000001</v>
      </c>
      <c r="U193" s="45">
        <v>-1.4603155999999999E-2</v>
      </c>
      <c r="V193" s="45">
        <v>2.1121636000000003E-2</v>
      </c>
      <c r="W193" s="45">
        <v>4.8240144000000006E-5</v>
      </c>
      <c r="X193" s="45">
        <v>4.9669475000000001E-5</v>
      </c>
      <c r="Y193" s="45">
        <v>-2.4904491000000001E-6</v>
      </c>
      <c r="Z193" s="36">
        <v>4.05</v>
      </c>
      <c r="AA193" s="38">
        <v>679</v>
      </c>
      <c r="AB193" s="38">
        <v>739</v>
      </c>
      <c r="AC193" s="49" t="s">
        <v>506</v>
      </c>
      <c r="AD193" s="39" t="s">
        <v>1371</v>
      </c>
      <c r="AE193" s="46" t="s">
        <v>249</v>
      </c>
    </row>
    <row r="194" spans="1:31" ht="15" thickBot="1">
      <c r="A194" s="34">
        <v>192</v>
      </c>
      <c r="B194" s="34" t="s">
        <v>252</v>
      </c>
      <c r="C194" s="41" t="s">
        <v>1356</v>
      </c>
      <c r="D194" s="34" t="s">
        <v>132</v>
      </c>
      <c r="E194" s="80">
        <f t="shared" si="14"/>
        <v>1.5174199008856428</v>
      </c>
      <c r="F194" s="35">
        <f t="shared" si="15"/>
        <v>52.151432255089226</v>
      </c>
      <c r="G194" s="42" cm="1">
        <f t="array" ref="G19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51.854370898497244</v>
      </c>
      <c r="H194" s="81" cm="1">
        <f t="array" ref="H1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1.5144358908893558</v>
      </c>
      <c r="I194" s="81" cm="1">
        <f t="array" ref="I1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1.5174199008856428</v>
      </c>
      <c r="J194" s="81" cm="1">
        <f t="array" ref="J1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1.5197793128495909</v>
      </c>
      <c r="K194" s="81" cm="1">
        <f t="array" ref="K1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1.5243573806454718</v>
      </c>
      <c r="L194" s="81" cm="1">
        <f t="array" ref="L1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1.529903270564603</v>
      </c>
      <c r="M194" s="37">
        <f t="shared" si="16"/>
        <v>9.9214897561159532E-3</v>
      </c>
      <c r="N194" s="43">
        <f t="shared" si="17"/>
        <v>2.984009996287007E-3</v>
      </c>
      <c r="O194" s="43">
        <f t="shared" si="18"/>
        <v>5.5458899191311861E-3</v>
      </c>
      <c r="P194" s="43">
        <f t="shared" si="19"/>
        <v>0.3007622917160761</v>
      </c>
      <c r="Q194" s="37">
        <f t="shared" si="20"/>
        <v>0.55897753819808216</v>
      </c>
      <c r="R194" s="37">
        <v>4.4999999999999997E-3</v>
      </c>
      <c r="S194" s="44" t="s">
        <v>1394</v>
      </c>
      <c r="T194" s="45">
        <v>2.2668911999999999</v>
      </c>
      <c r="U194" s="45">
        <v>-9.3866212000000004E-3</v>
      </c>
      <c r="V194" s="45">
        <v>1.2174195000000001E-2</v>
      </c>
      <c r="W194" s="45">
        <v>5.0769029999999998E-4</v>
      </c>
      <c r="X194" s="45">
        <v>-3.3573414000000004E-5</v>
      </c>
      <c r="Y194" s="45">
        <v>2.9059013000000001E-6</v>
      </c>
      <c r="Z194" s="36">
        <v>2.4300000000000002</v>
      </c>
      <c r="AA194" s="38">
        <v>494</v>
      </c>
      <c r="AB194" s="38">
        <v>681</v>
      </c>
      <c r="AC194" s="49" t="s">
        <v>506</v>
      </c>
      <c r="AD194" s="49" t="s">
        <v>506</v>
      </c>
      <c r="AE194" s="46" t="s">
        <v>249</v>
      </c>
    </row>
    <row r="195" spans="1:31" ht="15" thickBot="1">
      <c r="A195" s="34">
        <v>193</v>
      </c>
      <c r="B195" s="34" t="s">
        <v>252</v>
      </c>
      <c r="C195" s="41" t="s">
        <v>1356</v>
      </c>
      <c r="D195" s="34" t="s">
        <v>133</v>
      </c>
      <c r="E195" s="80">
        <f t="shared" ref="E195:E258" si="21">I195</f>
        <v>1.5481398782610183</v>
      </c>
      <c r="F195" s="35">
        <f t="shared" ref="F195:F258" si="22">(I195-1)/M195</f>
        <v>45.821286012394708</v>
      </c>
      <c r="G195" s="42" cm="1">
        <f t="array" ref="G19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45.521197197928139</v>
      </c>
      <c r="H195" s="81" cm="1">
        <f t="array" ref="H1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1.5445783248099241</v>
      </c>
      <c r="I195" s="81" cm="1">
        <f t="array" ref="I1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1.5481398782610183</v>
      </c>
      <c r="J195" s="81" cm="1">
        <f t="array" ref="J1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1.5509799476876229</v>
      </c>
      <c r="K195" s="81" cm="1">
        <f t="array" ref="K1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1.5565408847021267</v>
      </c>
      <c r="L195" s="81" cm="1">
        <f t="array" ref="L1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1.5633601516897104</v>
      </c>
      <c r="M195" s="37">
        <f t="shared" ref="M195:M258" si="23">K195-H195</f>
        <v>1.1962559892202629E-2</v>
      </c>
      <c r="N195" s="43">
        <f t="shared" ref="N195:N258" si="24">I195-H195</f>
        <v>3.5615534510942126E-3</v>
      </c>
      <c r="O195" s="43">
        <f t="shared" ref="O195:O258" si="25">L195-K195</f>
        <v>6.8192669875837275E-3</v>
      </c>
      <c r="P195" s="43">
        <f t="shared" ref="P195:P258" si="26">(I195-H195)/M195</f>
        <v>0.29772502567913456</v>
      </c>
      <c r="Q195" s="37">
        <f t="shared" ref="Q195:Q258" si="27">(L195-K195)/M195</f>
        <v>0.57005081262152135</v>
      </c>
      <c r="R195" s="37">
        <v>4.1000000000000003E-3</v>
      </c>
      <c r="S195" s="44" t="s">
        <v>1394</v>
      </c>
      <c r="T195" s="45">
        <v>2.3534484</v>
      </c>
      <c r="U195" s="45">
        <v>-1.0330437999999999E-2</v>
      </c>
      <c r="V195" s="45">
        <v>1.4097325000000001E-2</v>
      </c>
      <c r="W195" s="45">
        <v>8.7167875000000012E-4</v>
      </c>
      <c r="X195" s="45">
        <v>-6.9981970000000007E-5</v>
      </c>
      <c r="Y195" s="45">
        <v>5.7867358999999994E-6</v>
      </c>
      <c r="Z195" s="36">
        <v>2.54</v>
      </c>
      <c r="AA195" s="38">
        <v>502</v>
      </c>
      <c r="AB195" s="38">
        <v>659</v>
      </c>
      <c r="AC195" s="49" t="s">
        <v>506</v>
      </c>
      <c r="AD195" s="49" t="s">
        <v>506</v>
      </c>
      <c r="AE195" s="46" t="s">
        <v>249</v>
      </c>
    </row>
    <row r="196" spans="1:31" ht="15" thickBot="1">
      <c r="A196" s="34">
        <v>194</v>
      </c>
      <c r="B196" s="34" t="s">
        <v>252</v>
      </c>
      <c r="C196" s="41" t="s">
        <v>1356</v>
      </c>
      <c r="D196" s="34" t="s">
        <v>134</v>
      </c>
      <c r="E196" s="80">
        <f t="shared" si="21"/>
        <v>1.5407199107549094</v>
      </c>
      <c r="F196" s="35">
        <f t="shared" si="22"/>
        <v>47.20132044930147</v>
      </c>
      <c r="G196" s="42" cm="1">
        <f t="array" ref="G19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46.899156298079383</v>
      </c>
      <c r="H196" s="81" cm="1">
        <f t="array" ref="H1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1.5373021017637436</v>
      </c>
      <c r="I196" s="81" cm="1">
        <f t="array" ref="I1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1.5407199107549094</v>
      </c>
      <c r="J196" s="81" cm="1">
        <f t="array" ref="J1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1.5434403911352224</v>
      </c>
      <c r="K196" s="81" cm="1">
        <f t="array" ref="K1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1.5487577115985509</v>
      </c>
      <c r="L196" s="81" cm="1">
        <f t="array" ref="L1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1.5552628458092315</v>
      </c>
      <c r="M196" s="37">
        <f t="shared" si="23"/>
        <v>1.1455609834807312E-2</v>
      </c>
      <c r="N196" s="43">
        <f t="shared" si="24"/>
        <v>3.4178089911658383E-3</v>
      </c>
      <c r="O196" s="43">
        <f t="shared" si="25"/>
        <v>6.5051342106805521E-3</v>
      </c>
      <c r="P196" s="43">
        <f t="shared" si="26"/>
        <v>0.2983524264924764</v>
      </c>
      <c r="Q196" s="37">
        <f t="shared" si="27"/>
        <v>0.56785577585883018</v>
      </c>
      <c r="R196" s="37">
        <v>4.4000000000000003E-3</v>
      </c>
      <c r="S196" s="44" t="s">
        <v>1394</v>
      </c>
      <c r="T196" s="45">
        <v>2.3317983</v>
      </c>
      <c r="U196" s="45">
        <v>-9.704219200000001E-3</v>
      </c>
      <c r="V196" s="45">
        <v>1.4032761000000001E-2</v>
      </c>
      <c r="W196" s="45">
        <v>6.4822896E-4</v>
      </c>
      <c r="X196" s="45">
        <v>-4.0813761000000006E-5</v>
      </c>
      <c r="Y196" s="45">
        <v>3.9064872999999999E-6</v>
      </c>
      <c r="Z196" s="36">
        <v>2.5299999999999998</v>
      </c>
      <c r="AA196" s="38">
        <v>497</v>
      </c>
      <c r="AB196" s="38">
        <v>656</v>
      </c>
      <c r="AC196" s="49" t="s">
        <v>506</v>
      </c>
      <c r="AD196" s="49" t="s">
        <v>506</v>
      </c>
      <c r="AE196" s="46" t="s">
        <v>249</v>
      </c>
    </row>
    <row r="197" spans="1:31" ht="15" thickBot="1">
      <c r="A197" s="34">
        <v>195</v>
      </c>
      <c r="B197" s="34" t="s">
        <v>252</v>
      </c>
      <c r="C197" s="41" t="s">
        <v>1356</v>
      </c>
      <c r="D197" s="34" t="s">
        <v>135</v>
      </c>
      <c r="E197" s="80">
        <f t="shared" si="21"/>
        <v>1.5814398822964624</v>
      </c>
      <c r="F197" s="35">
        <f t="shared" si="22"/>
        <v>40.891164705064483</v>
      </c>
      <c r="G197" s="42" cm="1">
        <f t="array" ref="G19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40.611861153496939</v>
      </c>
      <c r="H197" s="81" cm="1">
        <f t="array" ref="H1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1.5772323800973227</v>
      </c>
      <c r="I197" s="81" cm="1">
        <f t="array" ref="I1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1.5814398822964624</v>
      </c>
      <c r="J197" s="81" cm="1">
        <f t="array" ref="J1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1.5848123628538087</v>
      </c>
      <c r="K197" s="81" cm="1">
        <f t="array" ref="K1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1.5914515857983638</v>
      </c>
      <c r="L197" s="81" cm="1">
        <f t="array" ref="L1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1.5996535078280769</v>
      </c>
      <c r="M197" s="37">
        <f t="shared" si="23"/>
        <v>1.4219205701041071E-2</v>
      </c>
      <c r="N197" s="43">
        <f t="shared" si="24"/>
        <v>4.2075021991396788E-3</v>
      </c>
      <c r="O197" s="43">
        <f t="shared" si="25"/>
        <v>8.201922029713149E-3</v>
      </c>
      <c r="P197" s="43">
        <f t="shared" si="26"/>
        <v>0.29590275909937946</v>
      </c>
      <c r="Q197" s="37">
        <f t="shared" si="27"/>
        <v>0.57681998574031734</v>
      </c>
      <c r="R197" s="37">
        <v>2E-3</v>
      </c>
      <c r="S197" s="44" t="s">
        <v>1394</v>
      </c>
      <c r="T197" s="45">
        <v>2.4465754</v>
      </c>
      <c r="U197" s="45">
        <v>-1.0107041000000001E-2</v>
      </c>
      <c r="V197" s="45">
        <v>1.7759132E-2</v>
      </c>
      <c r="W197" s="45">
        <v>8.7970259000000003E-4</v>
      </c>
      <c r="X197" s="45">
        <v>-5.7014929000000001E-5</v>
      </c>
      <c r="Y197" s="45">
        <v>6.0924662999999998E-6</v>
      </c>
      <c r="Z197" s="36">
        <v>2.59</v>
      </c>
      <c r="AA197" s="38">
        <v>585</v>
      </c>
      <c r="AB197" s="38">
        <v>710</v>
      </c>
      <c r="AC197" s="49" t="s">
        <v>506</v>
      </c>
      <c r="AD197" s="49" t="s">
        <v>506</v>
      </c>
      <c r="AE197" s="46" t="s">
        <v>249</v>
      </c>
    </row>
    <row r="198" spans="1:31" ht="15" thickBot="1">
      <c r="A198" s="34">
        <v>196</v>
      </c>
      <c r="B198" s="34" t="s">
        <v>252</v>
      </c>
      <c r="C198" s="41" t="s">
        <v>1356</v>
      </c>
      <c r="D198" s="34" t="s">
        <v>136</v>
      </c>
      <c r="E198" s="80">
        <f t="shared" si="21"/>
        <v>1.5673196535502854</v>
      </c>
      <c r="F198" s="35">
        <f t="shared" si="22"/>
        <v>42.842308114992854</v>
      </c>
      <c r="G198" s="42" cm="1">
        <f t="array" ref="G19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42.556563459895266</v>
      </c>
      <c r="H198" s="81" cm="1">
        <f t="array" ref="H1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1.5633892242196985</v>
      </c>
      <c r="I198" s="81" cm="1">
        <f t="array" ref="I1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1.5673196535502854</v>
      </c>
      <c r="J198" s="81" cm="1">
        <f t="array" ref="J1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1.5704611256501135</v>
      </c>
      <c r="K198" s="81" cm="1">
        <f t="array" ref="K1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1.5766312664557878</v>
      </c>
      <c r="L198" s="81" cm="1">
        <f t="array" ref="L1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1.5842372172587029</v>
      </c>
      <c r="M198" s="37">
        <f t="shared" si="23"/>
        <v>1.3242042236089269E-2</v>
      </c>
      <c r="N198" s="43">
        <f t="shared" si="24"/>
        <v>3.9304293305868487E-3</v>
      </c>
      <c r="O198" s="43">
        <f t="shared" si="25"/>
        <v>7.6059508029151512E-3</v>
      </c>
      <c r="P198" s="43">
        <f t="shared" si="26"/>
        <v>0.29681443847649364</v>
      </c>
      <c r="Q198" s="37">
        <f t="shared" si="27"/>
        <v>0.57437898681415123</v>
      </c>
      <c r="R198" s="37">
        <v>3.0999999999999999E-3</v>
      </c>
      <c r="S198" s="44" t="s">
        <v>1394</v>
      </c>
      <c r="T198" s="45">
        <v>2.4079652999999999</v>
      </c>
      <c r="U198" s="45">
        <v>-1.1135638000000002E-2</v>
      </c>
      <c r="V198" s="45">
        <v>1.5704715000000001E-2</v>
      </c>
      <c r="W198" s="45">
        <v>9.9186507000000013E-4</v>
      </c>
      <c r="X198" s="45">
        <v>-7.9934653000000017E-5</v>
      </c>
      <c r="Y198" s="45">
        <v>7.0985472999999999E-6</v>
      </c>
      <c r="Z198" s="36">
        <v>2.5299999999999998</v>
      </c>
      <c r="AA198" s="38">
        <v>580</v>
      </c>
      <c r="AB198" s="38">
        <v>710</v>
      </c>
      <c r="AC198" s="49" t="s">
        <v>506</v>
      </c>
      <c r="AD198" s="49" t="s">
        <v>506</v>
      </c>
      <c r="AE198" s="46" t="s">
        <v>249</v>
      </c>
    </row>
    <row r="199" spans="1:31" ht="15" thickBot="1">
      <c r="A199" s="34">
        <v>197</v>
      </c>
      <c r="B199" s="34" t="s">
        <v>252</v>
      </c>
      <c r="C199" s="41" t="s">
        <v>1356</v>
      </c>
      <c r="D199" s="34" t="s">
        <v>137</v>
      </c>
      <c r="E199" s="80">
        <f t="shared" si="21"/>
        <v>1.6200398535395895</v>
      </c>
      <c r="F199" s="35">
        <f t="shared" si="22"/>
        <v>36.301050123506045</v>
      </c>
      <c r="G199" s="42" cm="1">
        <f t="array" ref="G19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36.03792546298299</v>
      </c>
      <c r="H199" s="81" cm="1">
        <f t="array" ref="H1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1.6150225001444407</v>
      </c>
      <c r="I199" s="81" cm="1">
        <f t="array" ref="I1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1.6200398535395895</v>
      </c>
      <c r="J199" s="81" cm="1">
        <f t="array" ref="J1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1.6240833298760633</v>
      </c>
      <c r="K199" s="81" cm="1">
        <f t="array" ref="K1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1.6321029937232778</v>
      </c>
      <c r="L199" s="81" cm="1">
        <f t="array" ref="L1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1.6421345285013795</v>
      </c>
      <c r="M199" s="37">
        <f t="shared" si="23"/>
        <v>1.7080493578837119E-2</v>
      </c>
      <c r="N199" s="43">
        <f t="shared" si="24"/>
        <v>5.0173533951487492E-3</v>
      </c>
      <c r="O199" s="43">
        <f t="shared" si="25"/>
        <v>1.0031534778101703E-2</v>
      </c>
      <c r="P199" s="43">
        <f t="shared" si="26"/>
        <v>0.29374756484585984</v>
      </c>
      <c r="Q199" s="37">
        <f t="shared" si="27"/>
        <v>0.58730942005861364</v>
      </c>
      <c r="R199" s="37">
        <v>4.3E-3</v>
      </c>
      <c r="S199" s="44" t="s">
        <v>1394</v>
      </c>
      <c r="T199" s="45">
        <v>2.5561821999999998</v>
      </c>
      <c r="U199" s="45">
        <v>-1.0237038E-2</v>
      </c>
      <c r="V199" s="45">
        <v>2.2470348000000001E-2</v>
      </c>
      <c r="W199" s="45">
        <v>8.4580679000000004E-4</v>
      </c>
      <c r="X199" s="45">
        <v>-3.3087089E-5</v>
      </c>
      <c r="Y199" s="45">
        <v>7.105491899999999E-6</v>
      </c>
      <c r="Z199" s="36">
        <v>2.67</v>
      </c>
      <c r="AA199" s="38">
        <v>579</v>
      </c>
      <c r="AB199" s="38">
        <v>684</v>
      </c>
      <c r="AC199" s="49" t="s">
        <v>506</v>
      </c>
      <c r="AD199" s="49" t="s">
        <v>506</v>
      </c>
      <c r="AE199" s="46"/>
    </row>
    <row r="200" spans="1:31" ht="15" thickBot="1">
      <c r="A200" s="34">
        <v>198</v>
      </c>
      <c r="B200" s="34" t="s">
        <v>252</v>
      </c>
      <c r="C200" s="41" t="s">
        <v>1356</v>
      </c>
      <c r="D200" s="34" t="s">
        <v>138</v>
      </c>
      <c r="E200" s="80">
        <f t="shared" si="21"/>
        <v>1.6034198664599437</v>
      </c>
      <c r="F200" s="35">
        <f t="shared" si="22"/>
        <v>38.011091292179586</v>
      </c>
      <c r="G200" s="42" cm="1">
        <f t="array" ref="G20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37.742280569518769</v>
      </c>
      <c r="H200" s="81" cm="1">
        <f t="array" ref="H2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1.5987431027485142</v>
      </c>
      <c r="I200" s="81" cm="1">
        <f t="array" ref="I2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1.6034198664599437</v>
      </c>
      <c r="J200" s="81" cm="1">
        <f t="array" ref="J2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1.6071809159603394</v>
      </c>
      <c r="K200" s="81" cm="1">
        <f t="array" ref="K2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1.6146179394329345</v>
      </c>
      <c r="L200" s="81" cm="1">
        <f t="array" ref="L2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1.6238704660244321</v>
      </c>
      <c r="M200" s="37">
        <f t="shared" si="23"/>
        <v>1.5874836684420357E-2</v>
      </c>
      <c r="N200" s="43">
        <f t="shared" si="24"/>
        <v>4.6767637114295546E-3</v>
      </c>
      <c r="O200" s="43">
        <f t="shared" si="25"/>
        <v>9.2525265914975563E-3</v>
      </c>
      <c r="P200" s="43">
        <f t="shared" si="26"/>
        <v>0.29460231965846639</v>
      </c>
      <c r="Q200" s="37">
        <f t="shared" si="27"/>
        <v>0.58284231677029041</v>
      </c>
      <c r="R200" s="37">
        <v>2.8999999999999998E-3</v>
      </c>
      <c r="S200" s="44" t="s">
        <v>1394</v>
      </c>
      <c r="T200" s="45">
        <v>2.5095673000000001</v>
      </c>
      <c r="U200" s="45">
        <v>-1.0862661000000001E-2</v>
      </c>
      <c r="V200" s="45">
        <v>1.9894774E-2</v>
      </c>
      <c r="W200" s="45">
        <v>1.0137134000000002E-3</v>
      </c>
      <c r="X200" s="45">
        <v>-6.2697117000000006E-5</v>
      </c>
      <c r="Y200" s="45">
        <v>7.5080044999999998E-6</v>
      </c>
      <c r="Z200" s="36">
        <v>2.63</v>
      </c>
      <c r="AA200" s="38">
        <v>583</v>
      </c>
      <c r="AB200" s="38">
        <v>692</v>
      </c>
      <c r="AC200" s="49" t="s">
        <v>506</v>
      </c>
      <c r="AD200" s="49" t="s">
        <v>506</v>
      </c>
      <c r="AE200" s="46" t="s">
        <v>249</v>
      </c>
    </row>
    <row r="201" spans="1:31" ht="15" thickBot="1">
      <c r="A201" s="34">
        <v>199</v>
      </c>
      <c r="B201" s="34" t="s">
        <v>252</v>
      </c>
      <c r="C201" s="41" t="s">
        <v>1356</v>
      </c>
      <c r="D201" s="34" t="s">
        <v>792</v>
      </c>
      <c r="E201" s="80">
        <f t="shared" si="21"/>
        <v>1.7173610988318846</v>
      </c>
      <c r="F201" s="35">
        <f t="shared" si="22"/>
        <v>29.501185363434487</v>
      </c>
      <c r="G201" s="42" cm="1">
        <f t="array" ref="G20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29.26897750470653</v>
      </c>
      <c r="H201" s="81" cm="1">
        <f t="array" ref="H2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1.7103219152490818</v>
      </c>
      <c r="I201" s="81" cm="1">
        <f t="array" ref="I2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1.7173610988318846</v>
      </c>
      <c r="J201" s="81" cm="1">
        <f t="array" ref="J2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1.7231027513958332</v>
      </c>
      <c r="K201" s="81" cm="1">
        <f t="array" ref="K2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1.7346382635582933</v>
      </c>
      <c r="L201" s="81" cm="1">
        <f t="array" ref="L2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1.7493266616350818</v>
      </c>
      <c r="M201" s="37">
        <f t="shared" si="23"/>
        <v>2.4316348309211477E-2</v>
      </c>
      <c r="N201" s="43">
        <f t="shared" si="24"/>
        <v>7.0391835828027549E-3</v>
      </c>
      <c r="O201" s="43">
        <f t="shared" si="25"/>
        <v>1.4688398076788456E-2</v>
      </c>
      <c r="P201" s="43">
        <f t="shared" si="26"/>
        <v>0.28948358089344295</v>
      </c>
      <c r="Q201" s="37">
        <f t="shared" si="27"/>
        <v>0.6040544365464704</v>
      </c>
      <c r="R201" s="37">
        <v>8.8000000000000005E-3</v>
      </c>
      <c r="S201" s="44" t="s">
        <v>1394</v>
      </c>
      <c r="T201" s="45">
        <v>2.8496451</v>
      </c>
      <c r="U201" s="45">
        <v>-1.2662471E-2</v>
      </c>
      <c r="V201" s="45">
        <v>3.0196873000000003E-2</v>
      </c>
      <c r="W201" s="45">
        <v>2.3492981999999997E-3</v>
      </c>
      <c r="X201" s="45">
        <v>-1.9216545000000002E-4</v>
      </c>
      <c r="Y201" s="45">
        <v>2.1946899000000002E-5</v>
      </c>
      <c r="Z201" s="36">
        <v>3.05</v>
      </c>
      <c r="AA201" s="38">
        <v>608</v>
      </c>
      <c r="AB201" s="38">
        <v>687</v>
      </c>
      <c r="AC201" s="49" t="s">
        <v>506</v>
      </c>
      <c r="AD201" s="39" t="s">
        <v>1371</v>
      </c>
      <c r="AE201" s="46" t="s">
        <v>1367</v>
      </c>
    </row>
    <row r="202" spans="1:31" ht="15" thickBot="1">
      <c r="A202" s="34">
        <v>200</v>
      </c>
      <c r="B202" s="34" t="s">
        <v>252</v>
      </c>
      <c r="C202" s="41" t="s">
        <v>1356</v>
      </c>
      <c r="D202" s="34" t="s">
        <v>140</v>
      </c>
      <c r="E202" s="80">
        <f t="shared" si="21"/>
        <v>1.6476898240085489</v>
      </c>
      <c r="F202" s="35">
        <f t="shared" si="22"/>
        <v>33.840988096025463</v>
      </c>
      <c r="G202" s="42" cm="1">
        <f t="array" ref="G20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33.58371333432278</v>
      </c>
      <c r="H202" s="81" cm="1">
        <f t="array" ref="H2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1.6421024200681384</v>
      </c>
      <c r="I202" s="81" cm="1">
        <f t="array" ref="I2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1.6476898240085489</v>
      </c>
      <c r="J202" s="81" cm="1">
        <f t="array" ref="J2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1.6522180500618187</v>
      </c>
      <c r="K202" s="81" cm="1">
        <f t="array" ref="K2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1.6612416314342693</v>
      </c>
      <c r="L202" s="81" cm="1">
        <f t="array" ref="L2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1.6725806246923183</v>
      </c>
      <c r="M202" s="37">
        <f t="shared" si="23"/>
        <v>1.9139211366130837E-2</v>
      </c>
      <c r="N202" s="43">
        <f t="shared" si="24"/>
        <v>5.5874039404104625E-3</v>
      </c>
      <c r="O202" s="43">
        <f t="shared" si="25"/>
        <v>1.133899325804899E-2</v>
      </c>
      <c r="P202" s="43">
        <f t="shared" si="26"/>
        <v>0.29193490962214114</v>
      </c>
      <c r="Q202" s="37">
        <f t="shared" si="27"/>
        <v>0.5924483010890782</v>
      </c>
      <c r="R202" s="37">
        <v>4.8999999999999998E-3</v>
      </c>
      <c r="S202" s="44" t="s">
        <v>1394</v>
      </c>
      <c r="T202" s="45">
        <v>2.6399644000000002</v>
      </c>
      <c r="U202" s="45">
        <v>-1.1645718000000001E-2</v>
      </c>
      <c r="V202" s="45">
        <v>2.3061733000000001E-2</v>
      </c>
      <c r="W202" s="45">
        <v>1.7348219E-3</v>
      </c>
      <c r="X202" s="45">
        <v>-1.3986059000000001E-4</v>
      </c>
      <c r="Y202" s="45">
        <v>1.3916670000000001E-5</v>
      </c>
      <c r="Z202" s="36">
        <v>2.77</v>
      </c>
      <c r="AA202" s="38">
        <v>574</v>
      </c>
      <c r="AB202" s="38">
        <v>677</v>
      </c>
      <c r="AC202" s="49" t="s">
        <v>506</v>
      </c>
      <c r="AD202" s="49" t="s">
        <v>506</v>
      </c>
      <c r="AE202" s="46"/>
    </row>
    <row r="203" spans="1:31" ht="15" thickBot="1">
      <c r="A203" s="34">
        <v>201</v>
      </c>
      <c r="B203" s="34" t="s">
        <v>252</v>
      </c>
      <c r="C203" s="41" t="s">
        <v>1356</v>
      </c>
      <c r="D203" s="34" t="s">
        <v>791</v>
      </c>
      <c r="E203" s="80">
        <f t="shared" si="21"/>
        <v>1.7552010193983711</v>
      </c>
      <c r="F203" s="35">
        <f t="shared" si="22"/>
        <v>27.530614208633949</v>
      </c>
      <c r="G203" s="42" cm="1">
        <f t="array" ref="G20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27.310764750960999</v>
      </c>
      <c r="H203" s="81" cm="1">
        <f t="array" ref="H2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1.7472969242612242</v>
      </c>
      <c r="I203" s="81" cm="1">
        <f t="array" ref="I2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1.7552010193983711</v>
      </c>
      <c r="J203" s="81" cm="1">
        <f t="array" ref="J2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1.7616723663940621</v>
      </c>
      <c r="K203" s="81" cm="1">
        <f t="array" ref="K2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1.7747282417638148</v>
      </c>
      <c r="L203" s="81" cm="1">
        <f t="array" ref="L2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1.7914580871384758</v>
      </c>
      <c r="M203" s="37">
        <f t="shared" si="23"/>
        <v>2.7431317502590646E-2</v>
      </c>
      <c r="N203" s="43">
        <f t="shared" si="24"/>
        <v>7.9040951371469603E-3</v>
      </c>
      <c r="O203" s="43">
        <f t="shared" si="25"/>
        <v>1.6729845374660934E-2</v>
      </c>
      <c r="P203" s="43">
        <f t="shared" si="26"/>
        <v>0.2881412872859821</v>
      </c>
      <c r="Q203" s="37">
        <f t="shared" si="27"/>
        <v>0.60988121963449071</v>
      </c>
      <c r="R203" s="37">
        <v>1.11E-2</v>
      </c>
      <c r="S203" s="44" t="s">
        <v>1394</v>
      </c>
      <c r="T203" s="45">
        <v>2.9677007</v>
      </c>
      <c r="U203" s="45">
        <v>-1.4006378E-2</v>
      </c>
      <c r="V203" s="45">
        <v>3.3049583E-2</v>
      </c>
      <c r="W203" s="45">
        <v>3.2455044000000003E-3</v>
      </c>
      <c r="X203" s="45">
        <v>-3.0156480000000004E-4</v>
      </c>
      <c r="Y203" s="45">
        <v>3.1689142000000003E-5</v>
      </c>
      <c r="Z203" s="36">
        <v>3.17</v>
      </c>
      <c r="AA203" s="38">
        <v>618</v>
      </c>
      <c r="AB203" s="38">
        <v>700</v>
      </c>
      <c r="AC203" s="49" t="s">
        <v>506</v>
      </c>
      <c r="AD203" s="39" t="s">
        <v>1371</v>
      </c>
      <c r="AE203" s="46" t="s">
        <v>1367</v>
      </c>
    </row>
    <row r="204" spans="1:31" ht="15" thickBot="1">
      <c r="A204" s="34">
        <v>202</v>
      </c>
      <c r="B204" s="34" t="s">
        <v>252</v>
      </c>
      <c r="C204" s="41" t="s">
        <v>1356</v>
      </c>
      <c r="D204" s="34" t="s">
        <v>142</v>
      </c>
      <c r="E204" s="80">
        <f t="shared" si="21"/>
        <v>1.6726997974252771</v>
      </c>
      <c r="F204" s="35">
        <f t="shared" si="22"/>
        <v>32.170945082921094</v>
      </c>
      <c r="G204" s="42" cm="1">
        <f t="array" ref="G20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31.924345124734117</v>
      </c>
      <c r="H204" s="81" cm="1">
        <f t="array" ref="H2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1.666611882995074</v>
      </c>
      <c r="I204" s="81" cm="1">
        <f t="array" ref="I2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1.6726997974252771</v>
      </c>
      <c r="J204" s="81" cm="1">
        <f t="array" ref="J2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1.6776437344831607</v>
      </c>
      <c r="K204" s="81" cm="1">
        <f t="array" ref="K2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1.6875220488509848</v>
      </c>
      <c r="L204" s="81" cm="1">
        <f t="array" ref="L2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1.6999916506520372</v>
      </c>
      <c r="M204" s="37">
        <f t="shared" si="23"/>
        <v>2.0910165855910767E-2</v>
      </c>
      <c r="N204" s="43">
        <f t="shared" si="24"/>
        <v>6.0879144302030674E-3</v>
      </c>
      <c r="O204" s="43">
        <f t="shared" si="25"/>
        <v>1.2469601801052388E-2</v>
      </c>
      <c r="P204" s="43">
        <f t="shared" si="26"/>
        <v>0.29114615695323004</v>
      </c>
      <c r="Q204" s="37">
        <f t="shared" si="27"/>
        <v>0.59634160183036289</v>
      </c>
      <c r="R204" s="37">
        <v>5.8999999999999999E-3</v>
      </c>
      <c r="S204" s="44" t="s">
        <v>1394</v>
      </c>
      <c r="T204" s="45">
        <v>2.7135839000000002</v>
      </c>
      <c r="U204" s="45">
        <v>-1.1419719E-2</v>
      </c>
      <c r="V204" s="45">
        <v>2.6133708000000002E-2</v>
      </c>
      <c r="W204" s="45">
        <v>1.7576479000000001E-3</v>
      </c>
      <c r="X204" s="45">
        <v>-1.3307737000000001E-4</v>
      </c>
      <c r="Y204" s="45">
        <v>1.5203351000000002E-5</v>
      </c>
      <c r="Z204" s="36">
        <v>2.9</v>
      </c>
      <c r="AA204" s="38">
        <v>580</v>
      </c>
      <c r="AB204" s="38">
        <v>678</v>
      </c>
      <c r="AC204" s="49" t="s">
        <v>506</v>
      </c>
      <c r="AD204" s="49" t="s">
        <v>506</v>
      </c>
      <c r="AE204" s="46" t="s">
        <v>249</v>
      </c>
    </row>
    <row r="205" spans="1:31" ht="15" thickBot="1">
      <c r="A205" s="34">
        <v>203</v>
      </c>
      <c r="B205" s="34" t="s">
        <v>252</v>
      </c>
      <c r="C205" s="41" t="s">
        <v>1356</v>
      </c>
      <c r="D205" s="34" t="s">
        <v>143</v>
      </c>
      <c r="E205" s="80">
        <f t="shared" si="21"/>
        <v>1.6889297872092175</v>
      </c>
      <c r="F205" s="35">
        <f t="shared" si="22"/>
        <v>31.16091888981515</v>
      </c>
      <c r="G205" s="42" cm="1">
        <f t="array" ref="G20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30.919728136327464</v>
      </c>
      <c r="H205" s="81" cm="1">
        <f t="array" ref="H2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1.6825061211320322</v>
      </c>
      <c r="I205" s="81" cm="1">
        <f t="array" ref="I2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1.6889297872092175</v>
      </c>
      <c r="J205" s="81" cm="1">
        <f t="array" ref="J2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1.6941545884809828</v>
      </c>
      <c r="K205" s="81" cm="1">
        <f t="array" ref="K2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1.7046148975017301</v>
      </c>
      <c r="L205" s="81" cm="1">
        <f t="array" ref="L2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1.71785850392788</v>
      </c>
      <c r="M205" s="37">
        <f t="shared" si="23"/>
        <v>2.210877636969788E-2</v>
      </c>
      <c r="N205" s="43">
        <f t="shared" si="24"/>
        <v>6.4236660771852527E-3</v>
      </c>
      <c r="O205" s="43">
        <f t="shared" si="25"/>
        <v>1.3243606426149857E-2</v>
      </c>
      <c r="P205" s="43">
        <f t="shared" si="26"/>
        <v>0.29054824065204621</v>
      </c>
      <c r="Q205" s="37">
        <f t="shared" si="27"/>
        <v>0.59902032589652687</v>
      </c>
      <c r="R205" s="37">
        <v>6.7000000000000002E-3</v>
      </c>
      <c r="S205" s="44" t="s">
        <v>1394</v>
      </c>
      <c r="T205" s="45">
        <v>2.7617585999999998</v>
      </c>
      <c r="U205" s="45">
        <v>-1.1254039E-2</v>
      </c>
      <c r="V205" s="45">
        <v>2.8221737E-2</v>
      </c>
      <c r="W205" s="45">
        <v>1.7540315E-3</v>
      </c>
      <c r="X205" s="45">
        <v>-1.2127053000000002E-4</v>
      </c>
      <c r="Y205" s="45">
        <v>1.5522384000000002E-5</v>
      </c>
      <c r="Z205" s="36">
        <v>2.97</v>
      </c>
      <c r="AA205" s="38">
        <v>574</v>
      </c>
      <c r="AB205" s="38">
        <v>665</v>
      </c>
      <c r="AC205" s="49" t="s">
        <v>506</v>
      </c>
      <c r="AD205" s="49" t="s">
        <v>506</v>
      </c>
      <c r="AE205" s="46" t="s">
        <v>249</v>
      </c>
    </row>
    <row r="206" spans="1:31" ht="15" thickBot="1">
      <c r="A206" s="34">
        <v>204</v>
      </c>
      <c r="B206" s="34" t="s">
        <v>252</v>
      </c>
      <c r="C206" s="41" t="s">
        <v>1356</v>
      </c>
      <c r="D206" s="34" t="s">
        <v>144</v>
      </c>
      <c r="E206" s="80">
        <f t="shared" si="21"/>
        <v>1.6895985801859992</v>
      </c>
      <c r="F206" s="35">
        <f t="shared" si="22"/>
        <v>31.138854178557565</v>
      </c>
      <c r="G206" s="42" cm="1">
        <f t="array" ref="G20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30.887544727440925</v>
      </c>
      <c r="H206" s="81" cm="1">
        <f t="array" ref="H2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1.6831763794862218</v>
      </c>
      <c r="I206" s="81" cm="1">
        <f t="array" ref="I2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1.6895985801859992</v>
      </c>
      <c r="J206" s="81" cm="1">
        <f t="array" ref="J2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1.6948276310317549</v>
      </c>
      <c r="K206" s="81" cm="1">
        <f t="array" ref="K2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1.705322299699974</v>
      </c>
      <c r="L206" s="81" cm="1">
        <f t="array" ref="L2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1.7186808754231648</v>
      </c>
      <c r="M206" s="37">
        <f t="shared" si="23"/>
        <v>2.2145920213752168E-2</v>
      </c>
      <c r="N206" s="43">
        <f t="shared" si="24"/>
        <v>6.4222006997773917E-3</v>
      </c>
      <c r="O206" s="43">
        <f t="shared" si="25"/>
        <v>1.335857572319088E-2</v>
      </c>
      <c r="P206" s="43">
        <f t="shared" si="26"/>
        <v>0.28999475469027181</v>
      </c>
      <c r="Q206" s="37">
        <f t="shared" si="27"/>
        <v>0.60320707354917114</v>
      </c>
      <c r="R206" s="37">
        <v>1.0800000000000001E-2</v>
      </c>
      <c r="S206" s="44" t="s">
        <v>1394</v>
      </c>
      <c r="T206" s="45">
        <v>2.7659750999999999</v>
      </c>
      <c r="U206" s="45">
        <v>-1.262138E-2</v>
      </c>
      <c r="V206" s="45">
        <v>2.7156470000000002E-2</v>
      </c>
      <c r="W206" s="45">
        <v>2.0389447000000002E-3</v>
      </c>
      <c r="X206" s="45">
        <v>-1.6485416000000002E-4</v>
      </c>
      <c r="Y206" s="45">
        <v>1.9350106000000003E-5</v>
      </c>
      <c r="Z206" s="36">
        <v>3.26</v>
      </c>
      <c r="AA206" s="38">
        <v>454</v>
      </c>
      <c r="AB206" s="38">
        <v>545</v>
      </c>
      <c r="AC206" s="49" t="s">
        <v>506</v>
      </c>
      <c r="AD206" s="39" t="s">
        <v>1371</v>
      </c>
      <c r="AE206" s="46"/>
    </row>
    <row r="207" spans="1:31" ht="15" thickBot="1">
      <c r="A207" s="34">
        <v>205</v>
      </c>
      <c r="B207" s="34" t="s">
        <v>252</v>
      </c>
      <c r="C207" s="41" t="s">
        <v>1356</v>
      </c>
      <c r="D207" s="34" t="s">
        <v>790</v>
      </c>
      <c r="E207" s="80">
        <f t="shared" si="21"/>
        <v>1.7282497741311666</v>
      </c>
      <c r="F207" s="35">
        <f t="shared" si="22"/>
        <v>28.321174728682873</v>
      </c>
      <c r="G207" s="42" cm="1">
        <f t="array" ref="G20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28.096598149670417</v>
      </c>
      <c r="H207" s="81" cm="1">
        <f t="array" ref="H2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1.7208252813998599</v>
      </c>
      <c r="I207" s="81" cm="1">
        <f t="array" ref="I2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1.7282497741311666</v>
      </c>
      <c r="J207" s="81" cm="1">
        <f t="array" ref="J2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1.7343180816209531</v>
      </c>
      <c r="K207" s="81" cm="1">
        <f t="array" ref="K2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1.7465392491680689</v>
      </c>
      <c r="L207" s="81" cm="1">
        <f t="array" ref="L2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1.762162255510817</v>
      </c>
      <c r="M207" s="37">
        <f t="shared" si="23"/>
        <v>2.5713967768209001E-2</v>
      </c>
      <c r="N207" s="43">
        <f t="shared" si="24"/>
        <v>7.4244927313067421E-3</v>
      </c>
      <c r="O207" s="43">
        <f t="shared" si="25"/>
        <v>1.5623006342748047E-2</v>
      </c>
      <c r="P207" s="43">
        <f t="shared" si="26"/>
        <v>0.28873384295386262</v>
      </c>
      <c r="Q207" s="37">
        <f t="shared" si="27"/>
        <v>0.60756887010114669</v>
      </c>
      <c r="R207" s="37">
        <v>1.0200000000000001E-2</v>
      </c>
      <c r="S207" s="44" t="s">
        <v>1394</v>
      </c>
      <c r="T207" s="45">
        <v>2.8819845000000002</v>
      </c>
      <c r="U207" s="45">
        <v>-1.3360031999999999E-2</v>
      </c>
      <c r="V207" s="45">
        <v>3.1090843999999999E-2</v>
      </c>
      <c r="W207" s="45">
        <v>2.8218544000000001E-3</v>
      </c>
      <c r="X207" s="45">
        <v>-2.5458280000000005E-4</v>
      </c>
      <c r="Y207" s="45">
        <v>2.7374245000000003E-5</v>
      </c>
      <c r="Z207" s="36">
        <v>3.01</v>
      </c>
      <c r="AA207" s="38">
        <v>606</v>
      </c>
      <c r="AB207" s="38">
        <v>690</v>
      </c>
      <c r="AC207" s="49" t="s">
        <v>506</v>
      </c>
      <c r="AD207" s="39" t="s">
        <v>1371</v>
      </c>
      <c r="AE207" s="46" t="s">
        <v>1367</v>
      </c>
    </row>
    <row r="208" spans="1:31" ht="15" thickBot="1">
      <c r="A208" s="34">
        <v>206</v>
      </c>
      <c r="B208" s="34" t="s">
        <v>252</v>
      </c>
      <c r="C208" s="41" t="s">
        <v>1356</v>
      </c>
      <c r="D208" s="34" t="s">
        <v>146</v>
      </c>
      <c r="E208" s="80">
        <f t="shared" si="21"/>
        <v>1.7407697729061842</v>
      </c>
      <c r="F208" s="35">
        <f t="shared" si="22"/>
        <v>27.760832272104182</v>
      </c>
      <c r="G208" s="42" cm="1">
        <f t="array" ref="G20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27.542810434923553</v>
      </c>
      <c r="H208" s="81" cm="1">
        <f t="array" ref="H2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1.7330711104107241</v>
      </c>
      <c r="I208" s="81" cm="1">
        <f t="array" ref="I2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1.7407697729061842</v>
      </c>
      <c r="J208" s="81" cm="1">
        <f t="array" ref="J2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1.7470666193627755</v>
      </c>
      <c r="K208" s="81" cm="1">
        <f t="array" ref="K2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1.7597551004887362</v>
      </c>
      <c r="L208" s="81" cm="1">
        <f t="array" ref="L2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1.7759732707781395</v>
      </c>
      <c r="M208" s="37">
        <f t="shared" si="23"/>
        <v>2.6683990078012032E-2</v>
      </c>
      <c r="N208" s="43">
        <f t="shared" si="24"/>
        <v>7.6986624954600291E-3</v>
      </c>
      <c r="O208" s="43">
        <f t="shared" si="25"/>
        <v>1.6218170289403311E-2</v>
      </c>
      <c r="P208" s="43">
        <f t="shared" si="26"/>
        <v>0.28851241785627219</v>
      </c>
      <c r="Q208" s="37">
        <f t="shared" si="27"/>
        <v>0.60778655073655208</v>
      </c>
      <c r="R208" s="37">
        <v>9.4000000000000004E-3</v>
      </c>
      <c r="S208" s="44" t="s">
        <v>1394</v>
      </c>
      <c r="T208" s="45">
        <v>2.9205906000000001</v>
      </c>
      <c r="U208" s="45">
        <v>-1.3681618E-2</v>
      </c>
      <c r="V208" s="45">
        <v>3.2567760000000001E-2</v>
      </c>
      <c r="W208" s="45">
        <v>2.8725519E-3</v>
      </c>
      <c r="X208" s="45">
        <v>-2.4277107000000002E-4</v>
      </c>
      <c r="Y208" s="45">
        <v>2.6614513999999999E-5</v>
      </c>
      <c r="Z208" s="36">
        <v>3.11</v>
      </c>
      <c r="AA208" s="38">
        <v>597</v>
      </c>
      <c r="AB208" s="38">
        <v>686</v>
      </c>
      <c r="AC208" s="49" t="s">
        <v>506</v>
      </c>
      <c r="AD208" s="49" t="s">
        <v>506</v>
      </c>
      <c r="AE208" s="46"/>
    </row>
    <row r="209" spans="1:31" ht="15" thickBot="1">
      <c r="A209" s="34">
        <v>207</v>
      </c>
      <c r="B209" s="34" t="s">
        <v>252</v>
      </c>
      <c r="C209" s="41" t="s">
        <v>1356</v>
      </c>
      <c r="D209" s="34" t="s">
        <v>789</v>
      </c>
      <c r="E209" s="80">
        <f t="shared" si="21"/>
        <v>1.6989489366759847</v>
      </c>
      <c r="F209" s="35">
        <f t="shared" si="22"/>
        <v>30.050793521482724</v>
      </c>
      <c r="G209" s="42" cm="1">
        <f t="array" ref="G20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29.815554929129906</v>
      </c>
      <c r="H209" s="81" cm="1">
        <f t="array" ref="H2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1.6922066513827958</v>
      </c>
      <c r="I209" s="81" cm="1">
        <f t="array" ref="I2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1.6989489366759847</v>
      </c>
      <c r="J209" s="81" cm="1">
        <f t="array" ref="J2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1.7044422520637923</v>
      </c>
      <c r="K209" s="81" cm="1">
        <f t="array" ref="K2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1.7154655691939451</v>
      </c>
      <c r="L209" s="81" cm="1">
        <f t="array" ref="L2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1.7294867970228451</v>
      </c>
      <c r="M209" s="37">
        <f t="shared" si="23"/>
        <v>2.3258917811149304E-2</v>
      </c>
      <c r="N209" s="43">
        <f t="shared" si="24"/>
        <v>6.7422852931888766E-3</v>
      </c>
      <c r="O209" s="43">
        <f t="shared" si="25"/>
        <v>1.4021227828900029E-2</v>
      </c>
      <c r="P209" s="43">
        <f t="shared" si="26"/>
        <v>0.28987957857424135</v>
      </c>
      <c r="Q209" s="37">
        <f t="shared" si="27"/>
        <v>0.60283233909442113</v>
      </c>
      <c r="R209" s="37">
        <v>8.5000000000000006E-3</v>
      </c>
      <c r="S209" s="44" t="s">
        <v>1394</v>
      </c>
      <c r="T209" s="45">
        <v>2.7924658</v>
      </c>
      <c r="U209" s="45">
        <v>-1.2540598E-2</v>
      </c>
      <c r="V209" s="45">
        <v>2.8359568999999998E-2</v>
      </c>
      <c r="W209" s="45">
        <v>2.3368977000000003E-3</v>
      </c>
      <c r="X209" s="45">
        <v>-2.0763765E-4</v>
      </c>
      <c r="Y209" s="45">
        <v>2.2481601000000005E-5</v>
      </c>
      <c r="Z209" s="36">
        <v>2.94</v>
      </c>
      <c r="AA209" s="38">
        <v>603</v>
      </c>
      <c r="AB209" s="38">
        <v>675</v>
      </c>
      <c r="AC209" s="49" t="s">
        <v>506</v>
      </c>
      <c r="AD209" s="39" t="s">
        <v>1371</v>
      </c>
      <c r="AE209" s="46" t="s">
        <v>1367</v>
      </c>
    </row>
    <row r="210" spans="1:31" ht="15" thickBot="1">
      <c r="A210" s="34">
        <v>208</v>
      </c>
      <c r="B210" s="34" t="s">
        <v>252</v>
      </c>
      <c r="C210" s="41" t="s">
        <v>1356</v>
      </c>
      <c r="D210" s="34" t="s">
        <v>148</v>
      </c>
      <c r="E210" s="80">
        <f t="shared" si="21"/>
        <v>1.8051807907871866</v>
      </c>
      <c r="F210" s="35">
        <f t="shared" si="22"/>
        <v>25.456755538770992</v>
      </c>
      <c r="G210" s="42" cm="1">
        <f t="array" ref="G21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25.253039263781194</v>
      </c>
      <c r="H210" s="81" cm="1">
        <f t="array" ref="H2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1.7961090945763327</v>
      </c>
      <c r="I210" s="81" cm="1">
        <f t="array" ref="I2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1.8051807907871866</v>
      </c>
      <c r="J210" s="81" cm="1">
        <f t="array" ref="J2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1.8126309183655733</v>
      </c>
      <c r="K210" s="81" cm="1">
        <f t="array" ref="K2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1.8277384508609891</v>
      </c>
      <c r="L210" s="81" cm="1">
        <f t="array" ref="L2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1.8472138338509203</v>
      </c>
      <c r="M210" s="37">
        <f t="shared" si="23"/>
        <v>3.1629356284656351E-2</v>
      </c>
      <c r="N210" s="43">
        <f t="shared" si="24"/>
        <v>9.0716962108539079E-3</v>
      </c>
      <c r="O210" s="43">
        <f t="shared" si="25"/>
        <v>1.9475382989931234E-2</v>
      </c>
      <c r="P210" s="43">
        <f t="shared" si="26"/>
        <v>0.28681254620583785</v>
      </c>
      <c r="Q210" s="37">
        <f t="shared" si="27"/>
        <v>0.61573757033363641</v>
      </c>
      <c r="R210" s="37">
        <v>1.32E-2</v>
      </c>
      <c r="S210" s="44" t="s">
        <v>1394</v>
      </c>
      <c r="T210" s="45">
        <v>3.1171483000000002</v>
      </c>
      <c r="U210" s="45">
        <v>-1.1616277E-2</v>
      </c>
      <c r="V210" s="45">
        <v>4.4864974999999994E-2</v>
      </c>
      <c r="W210" s="45">
        <v>1.6588491E-3</v>
      </c>
      <c r="X210" s="45">
        <v>2.5716853999999999E-5</v>
      </c>
      <c r="Y210" s="45">
        <v>1.4757657E-5</v>
      </c>
      <c r="Z210" s="36">
        <v>3.36</v>
      </c>
      <c r="AA210" s="38">
        <v>592</v>
      </c>
      <c r="AB210" s="38">
        <v>676</v>
      </c>
      <c r="AC210" s="49" t="s">
        <v>506</v>
      </c>
      <c r="AD210" s="39" t="s">
        <v>1371</v>
      </c>
      <c r="AE210" s="46" t="s">
        <v>770</v>
      </c>
    </row>
    <row r="211" spans="1:31" ht="15" thickBot="1">
      <c r="A211" s="34">
        <v>209</v>
      </c>
      <c r="B211" s="34" t="s">
        <v>252</v>
      </c>
      <c r="C211" s="41" t="s">
        <v>1356</v>
      </c>
      <c r="D211" s="34" t="s">
        <v>149</v>
      </c>
      <c r="E211" s="80">
        <f t="shared" si="21"/>
        <v>1.8051807907871866</v>
      </c>
      <c r="F211" s="35">
        <f t="shared" si="22"/>
        <v>25.456755538770992</v>
      </c>
      <c r="G211" s="42" cm="1">
        <f t="array" ref="G21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25.253039263781194</v>
      </c>
      <c r="H211" s="81" cm="1">
        <f t="array" ref="H2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1.7961090945763327</v>
      </c>
      <c r="I211" s="81" cm="1">
        <f t="array" ref="I2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1.8051807907871866</v>
      </c>
      <c r="J211" s="81" cm="1">
        <f t="array" ref="J2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1.8126309183655733</v>
      </c>
      <c r="K211" s="81" cm="1">
        <f t="array" ref="K2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1.8277384508609891</v>
      </c>
      <c r="L211" s="81" cm="1">
        <f t="array" ref="L2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1.8472138338509203</v>
      </c>
      <c r="M211" s="37">
        <f t="shared" si="23"/>
        <v>3.1629356284656351E-2</v>
      </c>
      <c r="N211" s="43">
        <f t="shared" si="24"/>
        <v>9.0716962108539079E-3</v>
      </c>
      <c r="O211" s="43">
        <f t="shared" si="25"/>
        <v>1.9475382989931234E-2</v>
      </c>
      <c r="P211" s="43">
        <f t="shared" si="26"/>
        <v>0.28681254620583785</v>
      </c>
      <c r="Q211" s="37">
        <f t="shared" si="27"/>
        <v>0.61573757033363641</v>
      </c>
      <c r="R211" s="37">
        <v>1.32E-2</v>
      </c>
      <c r="S211" s="44" t="s">
        <v>1394</v>
      </c>
      <c r="T211" s="45">
        <v>3.1171483000000002</v>
      </c>
      <c r="U211" s="45">
        <v>-1.1616277E-2</v>
      </c>
      <c r="V211" s="45">
        <v>4.4864974999999994E-2</v>
      </c>
      <c r="W211" s="45">
        <v>1.6588491E-3</v>
      </c>
      <c r="X211" s="45">
        <v>2.5716853999999999E-5</v>
      </c>
      <c r="Y211" s="45">
        <v>1.4757657E-5</v>
      </c>
      <c r="Z211" s="36">
        <v>3.36</v>
      </c>
      <c r="AA211" s="38">
        <v>592</v>
      </c>
      <c r="AB211" s="38">
        <v>676</v>
      </c>
      <c r="AC211" s="49" t="s">
        <v>506</v>
      </c>
      <c r="AD211" s="49" t="s">
        <v>506</v>
      </c>
      <c r="AE211" s="46"/>
    </row>
    <row r="212" spans="1:31" ht="15" thickBot="1">
      <c r="A212" s="34">
        <v>210</v>
      </c>
      <c r="B212" s="34" t="s">
        <v>252</v>
      </c>
      <c r="C212" s="41" t="s">
        <v>1356</v>
      </c>
      <c r="D212" s="34" t="s">
        <v>150</v>
      </c>
      <c r="E212" s="80">
        <f t="shared" si="21"/>
        <v>1.784719100097037</v>
      </c>
      <c r="F212" s="35">
        <f t="shared" si="22"/>
        <v>25.721133191516234</v>
      </c>
      <c r="G212" s="42" cm="1">
        <f t="array" ref="G21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25.511825524883523</v>
      </c>
      <c r="H212" s="81" cm="1">
        <f t="array" ref="H2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1.7759725657745877</v>
      </c>
      <c r="I212" s="81" cm="1">
        <f t="array" ref="I2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1.784719100097037</v>
      </c>
      <c r="J212" s="81" cm="1">
        <f t="array" ref="J2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1.7919058025933234</v>
      </c>
      <c r="K212" s="81" cm="1">
        <f t="array" ref="K2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1.8064812954737857</v>
      </c>
      <c r="L212" s="81" cm="1">
        <f t="array" ref="L2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1.825270428119689</v>
      </c>
      <c r="M212" s="37">
        <f t="shared" si="23"/>
        <v>3.0508729699197934E-2</v>
      </c>
      <c r="N212" s="43">
        <f t="shared" si="24"/>
        <v>8.7465343224493175E-3</v>
      </c>
      <c r="O212" s="43">
        <f t="shared" si="25"/>
        <v>1.8789132645903317E-2</v>
      </c>
      <c r="P212" s="43">
        <f t="shared" si="26"/>
        <v>0.2866895609448879</v>
      </c>
      <c r="Q212" s="37">
        <f t="shared" si="27"/>
        <v>0.61586086445274968</v>
      </c>
      <c r="R212" s="37">
        <v>1.38E-2</v>
      </c>
      <c r="S212" s="44" t="s">
        <v>1394</v>
      </c>
      <c r="T212" s="45">
        <v>3.0534414999999999</v>
      </c>
      <c r="U212" s="45">
        <v>-1.2751809999999999E-2</v>
      </c>
      <c r="V212" s="45">
        <v>4.0609368999999999E-2</v>
      </c>
      <c r="W212" s="45">
        <v>2.2706109E-3</v>
      </c>
      <c r="X212" s="45">
        <v>-7.8086606000000002E-5</v>
      </c>
      <c r="Y212" s="45">
        <v>1.9874026000000001E-5</v>
      </c>
      <c r="Z212" s="36">
        <v>3.22</v>
      </c>
      <c r="AA212" s="38">
        <v>591</v>
      </c>
      <c r="AB212" s="38">
        <v>677</v>
      </c>
      <c r="AC212" s="49" t="s">
        <v>506</v>
      </c>
      <c r="AD212" s="49" t="s">
        <v>506</v>
      </c>
      <c r="AE212" s="46"/>
    </row>
    <row r="213" spans="1:31" ht="15" thickBot="1">
      <c r="A213" s="34">
        <v>211</v>
      </c>
      <c r="B213" s="34" t="s">
        <v>252</v>
      </c>
      <c r="C213" s="41" t="s">
        <v>1356</v>
      </c>
      <c r="D213" s="34" t="s">
        <v>151</v>
      </c>
      <c r="E213" s="80">
        <f t="shared" si="21"/>
        <v>1.7618181501800554</v>
      </c>
      <c r="F213" s="35">
        <f t="shared" si="22"/>
        <v>26.609369698277494</v>
      </c>
      <c r="G213" s="42" cm="1">
        <f t="array" ref="G21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26.394594146414981</v>
      </c>
      <c r="H213" s="81" cm="1">
        <f t="array" ref="H2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1.753591395211983</v>
      </c>
      <c r="I213" s="81" cm="1">
        <f t="array" ref="I2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1.7618181501800554</v>
      </c>
      <c r="J213" s="81" cm="1">
        <f t="array" ref="J2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1.7685674152391431</v>
      </c>
      <c r="K213" s="81" cm="1">
        <f t="array" ref="K2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1.7822210906470226</v>
      </c>
      <c r="L213" s="81" cm="1">
        <f t="array" ref="L2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1.7997523993861249</v>
      </c>
      <c r="M213" s="37">
        <f t="shared" si="23"/>
        <v>2.862969543503957E-2</v>
      </c>
      <c r="N213" s="43">
        <f t="shared" si="24"/>
        <v>8.2267549680723473E-3</v>
      </c>
      <c r="O213" s="43">
        <f t="shared" si="25"/>
        <v>1.7531308739102247E-2</v>
      </c>
      <c r="P213" s="43">
        <f t="shared" si="26"/>
        <v>0.28735041861478244</v>
      </c>
      <c r="Q213" s="37">
        <f t="shared" si="27"/>
        <v>0.61234702195420043</v>
      </c>
      <c r="R213" s="37">
        <v>1.1900000000000001E-2</v>
      </c>
      <c r="S213" s="44" t="s">
        <v>1394</v>
      </c>
      <c r="T213" s="45">
        <v>2.9851293999999999</v>
      </c>
      <c r="U213" s="45">
        <v>-1.4237988E-2</v>
      </c>
      <c r="V213" s="45">
        <v>3.5496436999999999E-2</v>
      </c>
      <c r="W213" s="45">
        <v>2.8457557000000004E-3</v>
      </c>
      <c r="X213" s="45">
        <v>-1.9006799000000001E-4</v>
      </c>
      <c r="Y213" s="45">
        <v>2.4309252E-5</v>
      </c>
      <c r="Z213" s="36">
        <v>3.14</v>
      </c>
      <c r="AA213" s="38">
        <v>611</v>
      </c>
      <c r="AB213" s="38">
        <v>696</v>
      </c>
      <c r="AC213" s="49" t="s">
        <v>506</v>
      </c>
      <c r="AD213" s="49" t="s">
        <v>506</v>
      </c>
      <c r="AE213" s="46"/>
    </row>
    <row r="214" spans="1:31" ht="15" thickBot="1">
      <c r="A214" s="34">
        <v>212</v>
      </c>
      <c r="B214" s="34" t="s">
        <v>252</v>
      </c>
      <c r="C214" s="41" t="s">
        <v>1356</v>
      </c>
      <c r="D214" s="34" t="s">
        <v>152</v>
      </c>
      <c r="E214" s="80">
        <f t="shared" si="21"/>
        <v>1.808088568853792</v>
      </c>
      <c r="F214" s="35">
        <f t="shared" si="22"/>
        <v>22.764635546347503</v>
      </c>
      <c r="G214" s="42" cm="1">
        <f t="array" ref="G21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22.578075986294952</v>
      </c>
      <c r="H214" s="81" cm="1">
        <f t="array" ref="H2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1.797990077340565</v>
      </c>
      <c r="I214" s="81" cm="1">
        <f t="array" ref="I2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1.808088568853792</v>
      </c>
      <c r="J214" s="81" cm="1">
        <f t="array" ref="J2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1.8164306152456997</v>
      </c>
      <c r="K214" s="81" cm="1">
        <f t="array" ref="K2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1.8334876176903137</v>
      </c>
      <c r="L214" s="81" cm="1">
        <f t="array" ref="L2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1.8558048112848782</v>
      </c>
      <c r="M214" s="37">
        <f t="shared" si="23"/>
        <v>3.5497540349748613E-2</v>
      </c>
      <c r="N214" s="43">
        <f t="shared" si="24"/>
        <v>1.0098491513226948E-2</v>
      </c>
      <c r="O214" s="43">
        <f t="shared" si="25"/>
        <v>2.2317193594564522E-2</v>
      </c>
      <c r="P214" s="43">
        <f t="shared" si="26"/>
        <v>0.284484260422806</v>
      </c>
      <c r="Q214" s="37">
        <f t="shared" si="27"/>
        <v>0.62869690053673166</v>
      </c>
      <c r="R214" s="37">
        <v>2.1299999999999999E-2</v>
      </c>
      <c r="S214" s="44" t="s">
        <v>1394</v>
      </c>
      <c r="T214" s="45">
        <v>3.1189868999999999</v>
      </c>
      <c r="U214" s="45">
        <v>-1.5820772E-2</v>
      </c>
      <c r="V214" s="45">
        <v>4.4425024000000007E-2</v>
      </c>
      <c r="W214" s="45">
        <v>3.5834882000000002E-3</v>
      </c>
      <c r="X214" s="45">
        <v>-2.3943449000000003E-4</v>
      </c>
      <c r="Y214" s="45">
        <v>3.8756542000000002E-5</v>
      </c>
      <c r="Z214" s="36">
        <v>3.32</v>
      </c>
      <c r="AA214" s="38">
        <v>543</v>
      </c>
      <c r="AB214" s="38">
        <v>621</v>
      </c>
      <c r="AC214" s="49" t="s">
        <v>506</v>
      </c>
      <c r="AD214" s="39" t="s">
        <v>1371</v>
      </c>
      <c r="AE214" s="46"/>
    </row>
    <row r="215" spans="1:31" ht="15" thickBot="1">
      <c r="A215" s="34">
        <v>213</v>
      </c>
      <c r="B215" s="34" t="s">
        <v>252</v>
      </c>
      <c r="C215" s="41" t="s">
        <v>1356</v>
      </c>
      <c r="D215" s="34" t="s">
        <v>793</v>
      </c>
      <c r="E215" s="80">
        <f t="shared" si="21"/>
        <v>1.6842991175895117</v>
      </c>
      <c r="F215" s="35">
        <f t="shared" si="22"/>
        <v>26.813772272296195</v>
      </c>
      <c r="G215" s="42" cm="1">
        <f t="array" ref="G21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26.573371909368149</v>
      </c>
      <c r="H215" s="81" cm="1">
        <f t="array" ref="H2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1.6770004806185692</v>
      </c>
      <c r="I215" s="81" cm="1">
        <f t="array" ref="I2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1.6842991175895117</v>
      </c>
      <c r="J215" s="81" cm="1">
        <f t="array" ref="J2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1.6903060398237684</v>
      </c>
      <c r="K215" s="81" cm="1">
        <f t="array" ref="K2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1.7025209150669711</v>
      </c>
      <c r="L215" s="81" cm="1">
        <f t="array" ref="L2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1.7184252924379531</v>
      </c>
      <c r="M215" s="37">
        <f t="shared" si="23"/>
        <v>2.5520434448401907E-2</v>
      </c>
      <c r="N215" s="43">
        <f t="shared" si="24"/>
        <v>7.2986369709424626E-3</v>
      </c>
      <c r="O215" s="43">
        <f t="shared" si="25"/>
        <v>1.5904377370981937E-2</v>
      </c>
      <c r="P215" s="43">
        <f t="shared" si="26"/>
        <v>0.28599187783025787</v>
      </c>
      <c r="Q215" s="37">
        <f t="shared" si="27"/>
        <v>0.62320167014154693</v>
      </c>
      <c r="R215" s="37">
        <v>2.3099999999999999E-2</v>
      </c>
      <c r="S215" s="44" t="s">
        <v>1394</v>
      </c>
      <c r="T215" s="45">
        <v>2.7430786999999999</v>
      </c>
      <c r="U215" s="45">
        <v>-1.5254471E-2</v>
      </c>
      <c r="V215" s="45">
        <v>2.4611038000000002E-2</v>
      </c>
      <c r="W215" s="45">
        <v>4.4218106000000002E-3</v>
      </c>
      <c r="X215" s="45">
        <v>-5.247103700000001E-4</v>
      </c>
      <c r="Y215" s="45">
        <v>4.8488943000000007E-5</v>
      </c>
      <c r="Z215" s="36">
        <v>2.94</v>
      </c>
      <c r="AA215" s="38">
        <v>500</v>
      </c>
      <c r="AB215" s="38">
        <v>585</v>
      </c>
      <c r="AC215" s="49" t="s">
        <v>506</v>
      </c>
      <c r="AD215" s="39" t="s">
        <v>1371</v>
      </c>
      <c r="AE215" s="46"/>
    </row>
    <row r="216" spans="1:31" ht="15" thickBot="1">
      <c r="A216" s="34">
        <v>214</v>
      </c>
      <c r="B216" s="34" t="s">
        <v>252</v>
      </c>
      <c r="C216" s="41" t="s">
        <v>1356</v>
      </c>
      <c r="D216" s="34" t="s">
        <v>1051</v>
      </c>
      <c r="E216" s="80">
        <f t="shared" si="21"/>
        <v>1.6242272451389164</v>
      </c>
      <c r="F216" s="35">
        <f t="shared" si="22"/>
        <v>30.050205167626835</v>
      </c>
      <c r="G216" s="42" cm="1">
        <f t="array" ref="G21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29.760438483246865</v>
      </c>
      <c r="H216" s="81" cm="1">
        <f t="array" ref="H2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1.6182727929681968</v>
      </c>
      <c r="I216" s="81" cm="1">
        <f t="array" ref="I2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1.6242272451389164</v>
      </c>
      <c r="J216" s="81" cm="1">
        <f t="array" ref="J2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1.6291167695194033</v>
      </c>
      <c r="K216" s="81" cm="1">
        <f t="array" ref="K2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1.6390456043901767</v>
      </c>
      <c r="L216" s="81" cm="1">
        <f t="array" ref="L2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1.6519839334480109</v>
      </c>
      <c r="M216" s="37">
        <f t="shared" si="23"/>
        <v>2.0772811421979842E-2</v>
      </c>
      <c r="N216" s="43">
        <f t="shared" si="24"/>
        <v>5.9544521707195486E-3</v>
      </c>
      <c r="O216" s="43">
        <f t="shared" si="25"/>
        <v>1.2938329057834208E-2</v>
      </c>
      <c r="P216" s="43">
        <f t="shared" si="26"/>
        <v>0.28664642689718473</v>
      </c>
      <c r="Q216" s="37">
        <f t="shared" si="27"/>
        <v>0.62284920394280774</v>
      </c>
      <c r="R216" s="37">
        <v>2.86E-2</v>
      </c>
      <c r="S216" s="44" t="s">
        <v>1394</v>
      </c>
      <c r="T216" s="45">
        <v>2.5643433999999998</v>
      </c>
      <c r="U216" s="45">
        <v>-1.2642189999999999E-2</v>
      </c>
      <c r="V216" s="45">
        <v>1.9574130999999998E-2</v>
      </c>
      <c r="W216" s="45">
        <v>3.4696330999999998E-3</v>
      </c>
      <c r="X216" s="45">
        <v>-4.3301058000000002E-4</v>
      </c>
      <c r="Y216" s="45">
        <v>4.0458727000000007E-5</v>
      </c>
      <c r="Z216" s="36">
        <v>2.75</v>
      </c>
      <c r="AA216" s="38">
        <v>451</v>
      </c>
      <c r="AB216" s="38">
        <v>523</v>
      </c>
      <c r="AC216" s="49" t="s">
        <v>506</v>
      </c>
      <c r="AD216" s="39" t="s">
        <v>1371</v>
      </c>
      <c r="AE216" s="46"/>
    </row>
    <row r="217" spans="1:31" ht="15" thickBot="1">
      <c r="A217" s="34">
        <v>215</v>
      </c>
      <c r="B217" s="34" t="s">
        <v>252</v>
      </c>
      <c r="C217" s="41" t="s">
        <v>1357</v>
      </c>
      <c r="D217" s="34" t="s">
        <v>153</v>
      </c>
      <c r="E217" s="80">
        <f t="shared" si="21"/>
        <v>1.9228596039533761</v>
      </c>
      <c r="F217" s="35">
        <f t="shared" si="22"/>
        <v>20.880655001163362</v>
      </c>
      <c r="G217" s="42" cm="1">
        <f t="array" ref="G21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20.706199652532099</v>
      </c>
      <c r="H217" s="81" cm="1">
        <f t="array" ref="H2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1.9103756783392984</v>
      </c>
      <c r="I217" s="81" cm="1">
        <f t="array" ref="I2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1.9228596039533761</v>
      </c>
      <c r="J217" s="81" cm="1">
        <f t="array" ref="J2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1.9332283854271191</v>
      </c>
      <c r="K217" s="81" cm="1">
        <f t="array" ref="K2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1.9545725487871823</v>
      </c>
      <c r="L217" s="81" cm="1">
        <f t="array" ref="L2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1.982815037403084</v>
      </c>
      <c r="M217" s="37">
        <f t="shared" si="23"/>
        <v>4.4196870447883896E-2</v>
      </c>
      <c r="N217" s="43">
        <f t="shared" si="24"/>
        <v>1.2483925614077629E-2</v>
      </c>
      <c r="O217" s="43">
        <f t="shared" si="25"/>
        <v>2.8242488615901618E-2</v>
      </c>
      <c r="P217" s="43">
        <f t="shared" si="26"/>
        <v>0.28246175549462116</v>
      </c>
      <c r="Q217" s="37">
        <f t="shared" si="27"/>
        <v>0.6390155757567636</v>
      </c>
      <c r="R217" s="37">
        <v>2.8299999999999999E-2</v>
      </c>
      <c r="S217" s="44" t="s">
        <v>1394</v>
      </c>
      <c r="T217" s="45">
        <v>3.5044639000000002</v>
      </c>
      <c r="U217" s="45">
        <v>-2.0333833000000003E-2</v>
      </c>
      <c r="V217" s="45">
        <v>5.3802700000000002E-2</v>
      </c>
      <c r="W217" s="45">
        <v>6.2874192000000008E-3</v>
      </c>
      <c r="X217" s="45">
        <v>-5.6922176000000007E-4</v>
      </c>
      <c r="Y217" s="45">
        <v>7.3559387000000004E-5</v>
      </c>
      <c r="Z217" s="36">
        <v>3.94</v>
      </c>
      <c r="AA217" s="38">
        <v>666</v>
      </c>
      <c r="AB217" s="38">
        <v>758</v>
      </c>
      <c r="AC217" s="49" t="s">
        <v>506</v>
      </c>
      <c r="AD217" s="39" t="s">
        <v>1371</v>
      </c>
      <c r="AE217" s="46" t="s">
        <v>770</v>
      </c>
    </row>
    <row r="218" spans="1:31" ht="15" thickBot="1">
      <c r="A218" s="34">
        <v>216</v>
      </c>
      <c r="B218" s="34" t="s">
        <v>252</v>
      </c>
      <c r="C218" s="41" t="s">
        <v>1357</v>
      </c>
      <c r="D218" s="34" t="s">
        <v>154</v>
      </c>
      <c r="E218" s="80">
        <f t="shared" si="21"/>
        <v>1.9228596039533761</v>
      </c>
      <c r="F218" s="35">
        <f t="shared" si="22"/>
        <v>20.880655001163362</v>
      </c>
      <c r="G218" s="42" cm="1">
        <f t="array" ref="G21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20.706199652532099</v>
      </c>
      <c r="H218" s="81" cm="1">
        <f t="array" ref="H2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1.9103756783392984</v>
      </c>
      <c r="I218" s="81" cm="1">
        <f t="array" ref="I2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1.9228596039533761</v>
      </c>
      <c r="J218" s="81" cm="1">
        <f t="array" ref="J2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1.9332283854271191</v>
      </c>
      <c r="K218" s="81" cm="1">
        <f t="array" ref="K2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1.9545725487871823</v>
      </c>
      <c r="L218" s="81" cm="1">
        <f t="array" ref="L2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1.982815037403084</v>
      </c>
      <c r="M218" s="37">
        <f t="shared" si="23"/>
        <v>4.4196870447883896E-2</v>
      </c>
      <c r="N218" s="43">
        <f t="shared" si="24"/>
        <v>1.2483925614077629E-2</v>
      </c>
      <c r="O218" s="43">
        <f t="shared" si="25"/>
        <v>2.8242488615901618E-2</v>
      </c>
      <c r="P218" s="43">
        <f t="shared" si="26"/>
        <v>0.28246175549462116</v>
      </c>
      <c r="Q218" s="37">
        <f t="shared" si="27"/>
        <v>0.6390155757567636</v>
      </c>
      <c r="R218" s="37">
        <v>2.8299999999999999E-2</v>
      </c>
      <c r="S218" s="44" t="s">
        <v>1394</v>
      </c>
      <c r="T218" s="45">
        <v>3.5044639000000002</v>
      </c>
      <c r="U218" s="45">
        <v>-2.0333833000000003E-2</v>
      </c>
      <c r="V218" s="45">
        <v>5.3802700000000002E-2</v>
      </c>
      <c r="W218" s="45">
        <v>6.2874192000000008E-3</v>
      </c>
      <c r="X218" s="45">
        <v>-5.6922176000000007E-4</v>
      </c>
      <c r="Y218" s="45">
        <v>7.3559387000000004E-5</v>
      </c>
      <c r="Z218" s="36">
        <v>3.94</v>
      </c>
      <c r="AA218" s="38">
        <v>666</v>
      </c>
      <c r="AB218" s="38">
        <v>758</v>
      </c>
      <c r="AC218" s="49" t="s">
        <v>506</v>
      </c>
      <c r="AD218" s="49" t="s">
        <v>506</v>
      </c>
      <c r="AE218" s="46"/>
    </row>
    <row r="219" spans="1:31" ht="15" thickBot="1">
      <c r="A219" s="34">
        <v>217</v>
      </c>
      <c r="B219" s="34" t="s">
        <v>252</v>
      </c>
      <c r="C219" s="41" t="s">
        <v>1357</v>
      </c>
      <c r="D219" s="34" t="s">
        <v>155</v>
      </c>
      <c r="E219" s="80">
        <f t="shared" si="21"/>
        <v>2.0027230276638646</v>
      </c>
      <c r="F219" s="35">
        <f t="shared" si="22"/>
        <v>19.317445482045095</v>
      </c>
      <c r="G219" s="42" cm="1">
        <f t="array" ref="G21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19.160492518956563</v>
      </c>
      <c r="H219" s="81" cm="1">
        <f t="array" ref="H2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1.9881246731599029</v>
      </c>
      <c r="I219" s="81" cm="1">
        <f t="array" ref="I2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2.0027230276638646</v>
      </c>
      <c r="J219" s="81" cm="1">
        <f t="array" ref="J2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2.0148870156913485</v>
      </c>
      <c r="K219" s="81" cm="1">
        <f t="array" ref="K2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2.0400323142916386</v>
      </c>
      <c r="L219" s="81" cm="1">
        <f t="array" ref="L2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2.0735209288748089</v>
      </c>
      <c r="M219" s="37">
        <f t="shared" si="23"/>
        <v>5.1907641131735627E-2</v>
      </c>
      <c r="N219" s="43">
        <f t="shared" si="24"/>
        <v>1.459835450396163E-2</v>
      </c>
      <c r="O219" s="43">
        <f t="shared" si="25"/>
        <v>3.3488614583170317E-2</v>
      </c>
      <c r="P219" s="43">
        <f t="shared" si="26"/>
        <v>0.28123710085212089</v>
      </c>
      <c r="Q219" s="37">
        <f t="shared" si="27"/>
        <v>0.64515770420351148</v>
      </c>
      <c r="R219" s="37">
        <v>3.1600000000000003E-2</v>
      </c>
      <c r="S219" s="44" t="s">
        <v>1394</v>
      </c>
      <c r="T219" s="45">
        <v>3.7672602999999998</v>
      </c>
      <c r="U219" s="45">
        <v>-1.7001227000000001E-2</v>
      </c>
      <c r="V219" s="45">
        <v>6.9849633999999994E-2</v>
      </c>
      <c r="W219" s="45">
        <v>6.3862891999999999E-3</v>
      </c>
      <c r="X219" s="45">
        <v>-5.0812539000000007E-4</v>
      </c>
      <c r="Y219" s="45">
        <v>8.4455529000000004E-5</v>
      </c>
      <c r="Z219" s="36">
        <v>5.08</v>
      </c>
      <c r="AA219" s="38">
        <v>479</v>
      </c>
      <c r="AB219" s="38">
        <v>567</v>
      </c>
      <c r="AC219" s="49" t="s">
        <v>506</v>
      </c>
      <c r="AD219" s="39" t="s">
        <v>1371</v>
      </c>
      <c r="AE219" s="46"/>
    </row>
    <row r="220" spans="1:31" ht="15" thickBot="1">
      <c r="A220" s="34">
        <v>218</v>
      </c>
      <c r="B220" s="34" t="s">
        <v>252</v>
      </c>
      <c r="C220" s="41" t="s">
        <v>1357</v>
      </c>
      <c r="D220" s="34" t="s">
        <v>1052</v>
      </c>
      <c r="E220" s="80">
        <f t="shared" si="21"/>
        <v>2.1041991124307344</v>
      </c>
      <c r="F220" s="35">
        <f t="shared" si="22"/>
        <v>17.01870086341015</v>
      </c>
      <c r="G220" s="42" cm="1">
        <f t="array" ref="G22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16.875925878851099</v>
      </c>
      <c r="H220" s="81" cm="1">
        <f t="array" ref="H2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2.086175582709759</v>
      </c>
      <c r="I220" s="81" cm="1">
        <f t="array" ref="I2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2.1041991124307344</v>
      </c>
      <c r="J220" s="81" cm="1">
        <f t="array" ref="J2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2.1193482988231644</v>
      </c>
      <c r="K220" s="81" cm="1">
        <f t="array" ref="K2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2.1510570987134123</v>
      </c>
      <c r="L220" s="81" cm="1">
        <f t="array" ref="L2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2.1940816645070402</v>
      </c>
      <c r="M220" s="37">
        <f t="shared" si="23"/>
        <v>6.4881516003653328E-2</v>
      </c>
      <c r="N220" s="43">
        <f t="shared" si="24"/>
        <v>1.8023529720975429E-2</v>
      </c>
      <c r="O220" s="43">
        <f t="shared" si="25"/>
        <v>4.30245657936279E-2</v>
      </c>
      <c r="P220" s="43">
        <f t="shared" si="26"/>
        <v>0.27779143939794138</v>
      </c>
      <c r="Q220" s="37">
        <f t="shared" si="27"/>
        <v>0.66312516173643798</v>
      </c>
      <c r="R220" s="37">
        <v>4.5400000000000003E-2</v>
      </c>
      <c r="S220" s="44" t="s">
        <v>1394</v>
      </c>
      <c r="T220" s="45">
        <v>4.1120387000000003</v>
      </c>
      <c r="U220" s="45">
        <v>-1.8227670000000001E-2</v>
      </c>
      <c r="V220" s="45">
        <v>8.9852105000000015E-2</v>
      </c>
      <c r="W220" s="45">
        <v>7.8714400000000004E-3</v>
      </c>
      <c r="X220" s="45">
        <v>-5.2228007999999997E-4</v>
      </c>
      <c r="Y220" s="45">
        <v>1.1773061E-4</v>
      </c>
      <c r="Z220" s="36">
        <v>5.63</v>
      </c>
      <c r="AA220" s="38">
        <v>561</v>
      </c>
      <c r="AB220" s="38">
        <v>626</v>
      </c>
      <c r="AC220" s="49" t="s">
        <v>506</v>
      </c>
      <c r="AD220" s="49" t="s">
        <v>506</v>
      </c>
      <c r="AE220" s="46" t="s">
        <v>770</v>
      </c>
    </row>
    <row r="221" spans="1:31" ht="15" thickBot="1">
      <c r="A221" s="34">
        <v>219</v>
      </c>
      <c r="B221" s="34" t="s">
        <v>252</v>
      </c>
      <c r="C221" s="41" t="s">
        <v>1357</v>
      </c>
      <c r="D221" s="34" t="s">
        <v>157</v>
      </c>
      <c r="E221" s="80">
        <f t="shared" si="21"/>
        <v>1.9861249317191121</v>
      </c>
      <c r="F221" s="35">
        <f t="shared" si="22"/>
        <v>16.4841216827548</v>
      </c>
      <c r="G221" s="42" cm="1">
        <f t="array" ref="G22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16.35394705581853</v>
      </c>
      <c r="H221" s="81" cm="1">
        <f t="array" ref="H2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1.9694882959023088</v>
      </c>
      <c r="I221" s="81" cm="1">
        <f t="array" ref="I2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1.9861249317191121</v>
      </c>
      <c r="J221" s="81" cm="1">
        <f t="array" ref="J2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2.0000928421332915</v>
      </c>
      <c r="K221" s="81" cm="1">
        <f t="array" ref="K2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2.0293110120104267</v>
      </c>
      <c r="L221" s="81" cm="1">
        <f t="array" ref="L2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2.0691287394189044</v>
      </c>
      <c r="M221" s="37">
        <f t="shared" si="23"/>
        <v>5.9822716108117957E-2</v>
      </c>
      <c r="N221" s="43">
        <f t="shared" si="24"/>
        <v>1.6636635816803302E-2</v>
      </c>
      <c r="O221" s="43">
        <f t="shared" si="25"/>
        <v>3.9817727408477666E-2</v>
      </c>
      <c r="P221" s="43">
        <f t="shared" si="26"/>
        <v>0.27809897141306339</v>
      </c>
      <c r="Q221" s="37">
        <f t="shared" si="27"/>
        <v>0.66559544599270359</v>
      </c>
      <c r="R221" s="37">
        <v>4.6899999999999997E-2</v>
      </c>
      <c r="S221" s="44" t="s">
        <v>1394</v>
      </c>
      <c r="T221" s="45">
        <v>3.6906097999999998</v>
      </c>
      <c r="U221" s="45">
        <v>-2.7849024E-2</v>
      </c>
      <c r="V221" s="45">
        <v>6.3139051000000002E-2</v>
      </c>
      <c r="W221" s="45">
        <v>1.2443698000000001E-2</v>
      </c>
      <c r="X221" s="45">
        <v>-1.4774084999999999E-3</v>
      </c>
      <c r="Y221" s="45">
        <v>1.7478701000000002E-4</v>
      </c>
      <c r="Z221" s="36">
        <v>3.54</v>
      </c>
      <c r="AA221" s="38">
        <v>658</v>
      </c>
      <c r="AB221" s="38">
        <v>752</v>
      </c>
      <c r="AC221" s="49" t="s">
        <v>506</v>
      </c>
      <c r="AD221" s="49" t="s">
        <v>506</v>
      </c>
      <c r="AE221" s="46" t="s">
        <v>1247</v>
      </c>
    </row>
    <row r="222" spans="1:31" ht="15" thickBot="1">
      <c r="A222" s="34">
        <v>220</v>
      </c>
      <c r="B222" s="34" t="s">
        <v>252</v>
      </c>
      <c r="C222" s="41" t="s">
        <v>1357</v>
      </c>
      <c r="D222" s="34" t="s">
        <v>1053</v>
      </c>
      <c r="E222" s="80">
        <f t="shared" si="21"/>
        <v>1.9861097935536285</v>
      </c>
      <c r="F222" s="35">
        <f t="shared" si="22"/>
        <v>17.24952934352439</v>
      </c>
      <c r="G222" s="42" cm="1">
        <f t="array" ref="G22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17.110968497527463</v>
      </c>
      <c r="H222" s="81" cm="1">
        <f t="array" ref="H2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1.9701629607070354</v>
      </c>
      <c r="I222" s="81" cm="1">
        <f t="array" ref="I2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1.9861097935536285</v>
      </c>
      <c r="J222" s="81" cm="1">
        <f t="array" ref="J2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1.9994695330451824</v>
      </c>
      <c r="K222" s="81" cm="1">
        <f t="array" ref="K2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2.0273303056191923</v>
      </c>
      <c r="L222" s="81" cm="1">
        <f t="array" ref="L2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2.065084424204743</v>
      </c>
      <c r="M222" s="37">
        <f t="shared" si="23"/>
        <v>5.7167344912156803E-2</v>
      </c>
      <c r="N222" s="43">
        <f t="shared" si="24"/>
        <v>1.594683284659304E-2</v>
      </c>
      <c r="O222" s="43">
        <f t="shared" si="25"/>
        <v>3.7754118585550778E-2</v>
      </c>
      <c r="P222" s="43">
        <f t="shared" si="26"/>
        <v>0.27895003469370322</v>
      </c>
      <c r="Q222" s="37">
        <f t="shared" si="27"/>
        <v>0.6604140640703825</v>
      </c>
      <c r="R222" s="37">
        <v>4.3099999999999999E-2</v>
      </c>
      <c r="S222" s="44" t="s">
        <v>1394</v>
      </c>
      <c r="T222" s="45">
        <v>3.6965669999999999</v>
      </c>
      <c r="U222" s="45">
        <v>-2.5460099999999999E-2</v>
      </c>
      <c r="V222" s="45">
        <v>6.4261579999999999E-2</v>
      </c>
      <c r="W222" s="45">
        <v>1.0639130000000002E-2</v>
      </c>
      <c r="X222" s="45">
        <v>-1.19151E-3</v>
      </c>
      <c r="Y222" s="45">
        <v>1.4778490000000002E-4</v>
      </c>
      <c r="Z222" s="36">
        <v>3.62</v>
      </c>
      <c r="AA222" s="38">
        <v>676</v>
      </c>
      <c r="AB222" s="38" t="s">
        <v>249</v>
      </c>
      <c r="AC222" s="49" t="s">
        <v>506</v>
      </c>
      <c r="AD222" s="49" t="s">
        <v>506</v>
      </c>
      <c r="AE222" s="46" t="s">
        <v>1247</v>
      </c>
    </row>
    <row r="223" spans="1:31" ht="15" thickBot="1">
      <c r="A223" s="34">
        <v>221</v>
      </c>
      <c r="B223" s="34" t="s">
        <v>252</v>
      </c>
      <c r="C223" s="41" t="s">
        <v>1357</v>
      </c>
      <c r="D223" s="34" t="s">
        <v>158</v>
      </c>
      <c r="E223" s="80">
        <f t="shared" si="21"/>
        <v>1.9459445430677251</v>
      </c>
      <c r="F223" s="35">
        <f t="shared" si="22"/>
        <v>17.984495257630545</v>
      </c>
      <c r="G223" s="42" cm="1">
        <f t="array" ref="G22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17.838857634116678</v>
      </c>
      <c r="H223" s="81" cm="1">
        <f t="array" ref="H2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1.9312315907201403</v>
      </c>
      <c r="I223" s="81" cm="1">
        <f t="array" ref="I2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1.9459445430677251</v>
      </c>
      <c r="J223" s="81" cm="1">
        <f t="array" ref="J2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1.9582484048940496</v>
      </c>
      <c r="K223" s="81" cm="1">
        <f t="array" ref="K2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1.9838293717263309</v>
      </c>
      <c r="L223" s="81" cm="1">
        <f t="array" ref="L2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2.0182606019232807</v>
      </c>
      <c r="M223" s="37">
        <f t="shared" si="23"/>
        <v>5.2597781006190614E-2</v>
      </c>
      <c r="N223" s="43">
        <f t="shared" si="24"/>
        <v>1.4712952347584851E-2</v>
      </c>
      <c r="O223" s="43">
        <f t="shared" si="25"/>
        <v>3.4431230196949825E-2</v>
      </c>
      <c r="P223" s="43">
        <f t="shared" si="26"/>
        <v>0.27972572352155267</v>
      </c>
      <c r="Q223" s="37">
        <f t="shared" si="27"/>
        <v>0.65461374107963533</v>
      </c>
      <c r="R223" s="37">
        <v>3.8600000000000002E-2</v>
      </c>
      <c r="S223" s="44" t="s">
        <v>1394</v>
      </c>
      <c r="T223" s="45">
        <v>3.5637840000000001</v>
      </c>
      <c r="U223" s="45">
        <v>-2.5449644E-2</v>
      </c>
      <c r="V223" s="45">
        <v>5.8401658999999995E-2</v>
      </c>
      <c r="W223" s="45">
        <v>9.2310982999999989E-3</v>
      </c>
      <c r="X223" s="45">
        <v>-9.5499726999999997E-4</v>
      </c>
      <c r="Y223" s="45">
        <v>1.1777456E-4</v>
      </c>
      <c r="Z223" s="36">
        <v>3.51</v>
      </c>
      <c r="AA223" s="38">
        <v>637</v>
      </c>
      <c r="AB223" s="38">
        <v>737</v>
      </c>
      <c r="AC223" s="49" t="s">
        <v>506</v>
      </c>
      <c r="AD223" s="39" t="s">
        <v>1371</v>
      </c>
      <c r="AE223" s="46" t="s">
        <v>770</v>
      </c>
    </row>
    <row r="224" spans="1:31" ht="15" thickBot="1">
      <c r="A224" s="34">
        <v>222</v>
      </c>
      <c r="B224" s="34" t="s">
        <v>252</v>
      </c>
      <c r="C224" s="41" t="s">
        <v>1357</v>
      </c>
      <c r="D224" s="34" t="s">
        <v>159</v>
      </c>
      <c r="E224" s="80">
        <f t="shared" si="21"/>
        <v>1.9459445430677251</v>
      </c>
      <c r="F224" s="35">
        <f t="shared" si="22"/>
        <v>17.984495257630545</v>
      </c>
      <c r="G224" s="42" cm="1">
        <f t="array" ref="G22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17.838857634116678</v>
      </c>
      <c r="H224" s="81" cm="1">
        <f t="array" ref="H2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1.9312315907201403</v>
      </c>
      <c r="I224" s="81" cm="1">
        <f t="array" ref="I2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1.9459445430677251</v>
      </c>
      <c r="J224" s="81" cm="1">
        <f t="array" ref="J2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1.9582484048940496</v>
      </c>
      <c r="K224" s="81" cm="1">
        <f t="array" ref="K2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1.9838293717263309</v>
      </c>
      <c r="L224" s="81" cm="1">
        <f t="array" ref="L2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2.0182606019232807</v>
      </c>
      <c r="M224" s="37">
        <f t="shared" si="23"/>
        <v>5.2597781006190614E-2</v>
      </c>
      <c r="N224" s="43">
        <f t="shared" si="24"/>
        <v>1.4712952347584851E-2</v>
      </c>
      <c r="O224" s="43">
        <f t="shared" si="25"/>
        <v>3.4431230196949825E-2</v>
      </c>
      <c r="P224" s="43">
        <f t="shared" si="26"/>
        <v>0.27972572352155267</v>
      </c>
      <c r="Q224" s="37">
        <f t="shared" si="27"/>
        <v>0.65461374107963533</v>
      </c>
      <c r="R224" s="37">
        <v>3.8600000000000002E-2</v>
      </c>
      <c r="S224" s="44" t="s">
        <v>1394</v>
      </c>
      <c r="T224" s="45">
        <v>3.5637840000000001</v>
      </c>
      <c r="U224" s="45">
        <v>-2.5449644E-2</v>
      </c>
      <c r="V224" s="45">
        <v>5.8401658999999995E-2</v>
      </c>
      <c r="W224" s="45">
        <v>9.2310982999999989E-3</v>
      </c>
      <c r="X224" s="45">
        <v>-9.5499726999999997E-4</v>
      </c>
      <c r="Y224" s="45">
        <v>1.1777456E-4</v>
      </c>
      <c r="Z224" s="36">
        <v>3.51</v>
      </c>
      <c r="AA224" s="38">
        <v>637</v>
      </c>
      <c r="AB224" s="38">
        <v>737</v>
      </c>
      <c r="AC224" s="49" t="s">
        <v>506</v>
      </c>
      <c r="AD224" s="49" t="s">
        <v>506</v>
      </c>
      <c r="AE224" s="47"/>
    </row>
    <row r="225" spans="1:31" ht="15" thickBot="1">
      <c r="A225" s="34">
        <v>223</v>
      </c>
      <c r="B225" s="34" t="s">
        <v>252</v>
      </c>
      <c r="C225" s="41" t="s">
        <v>1357</v>
      </c>
      <c r="D225" s="34" t="s">
        <v>1054</v>
      </c>
      <c r="E225" s="80">
        <f t="shared" si="21"/>
        <v>1.8696627619547077</v>
      </c>
      <c r="F225" s="35">
        <f t="shared" si="22"/>
        <v>20.019467791056709</v>
      </c>
      <c r="G225" s="42" cm="1">
        <f t="array" ref="G22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19.854422080342687</v>
      </c>
      <c r="H225" s="81" cm="1">
        <f t="array" ref="H2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1.8574175400676973</v>
      </c>
      <c r="I225" s="81" cm="1">
        <f t="array" ref="I2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1.8696627619547077</v>
      </c>
      <c r="J225" s="81" cm="1">
        <f t="array" ref="J2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1.879844585768909</v>
      </c>
      <c r="K225" s="81" cm="1">
        <f t="array" ref="K2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1.9008583932927372</v>
      </c>
      <c r="L225" s="81" cm="1">
        <f t="array" ref="L2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1.9288130002591704</v>
      </c>
      <c r="M225" s="37">
        <f t="shared" si="23"/>
        <v>4.3440853225039877E-2</v>
      </c>
      <c r="N225" s="43">
        <f t="shared" si="24"/>
        <v>1.2245221887010382E-2</v>
      </c>
      <c r="O225" s="43">
        <f t="shared" si="25"/>
        <v>2.7954606966433149E-2</v>
      </c>
      <c r="P225" s="43">
        <f t="shared" si="26"/>
        <v>0.28188262839994305</v>
      </c>
      <c r="Q225" s="37">
        <f t="shared" si="27"/>
        <v>0.6435096203478744</v>
      </c>
      <c r="R225" s="37">
        <v>3.1199999999999999E-2</v>
      </c>
      <c r="S225" s="44" t="s">
        <v>1394</v>
      </c>
      <c r="T225" s="45">
        <v>3.3114745000000001</v>
      </c>
      <c r="U225" s="45">
        <v>-1.9402447E-2</v>
      </c>
      <c r="V225" s="45">
        <v>5.1621829000000008E-2</v>
      </c>
      <c r="W225" s="45">
        <v>5.8556024000000007E-3</v>
      </c>
      <c r="X225" s="45">
        <v>-5.3287332000000003E-4</v>
      </c>
      <c r="Y225" s="45">
        <v>7.3197843999999999E-5</v>
      </c>
      <c r="Z225" s="36">
        <v>3.37</v>
      </c>
      <c r="AA225" s="38">
        <v>589</v>
      </c>
      <c r="AB225" s="38">
        <v>677</v>
      </c>
      <c r="AC225" s="49" t="s">
        <v>506</v>
      </c>
      <c r="AD225" s="39" t="s">
        <v>1371</v>
      </c>
      <c r="AE225" s="46"/>
    </row>
    <row r="226" spans="1:31" ht="15" thickBot="1">
      <c r="A226" s="34">
        <v>224</v>
      </c>
      <c r="B226" s="34" t="s">
        <v>252</v>
      </c>
      <c r="C226" s="41" t="s">
        <v>1357</v>
      </c>
      <c r="D226" s="34" t="s">
        <v>492</v>
      </c>
      <c r="E226" s="80">
        <f t="shared" si="21"/>
        <v>1.9211887998393677</v>
      </c>
      <c r="F226" s="35">
        <f t="shared" si="22"/>
        <v>23.956452439999278</v>
      </c>
      <c r="G226" s="42" cm="1">
        <f t="array" ref="G22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23.765745389864172</v>
      </c>
      <c r="H226" s="81" cm="1">
        <f t="array" ref="H2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1.9102008005738988</v>
      </c>
      <c r="I226" s="81" cm="1">
        <f t="array" ref="I2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1.9211887998393677</v>
      </c>
      <c r="J226" s="81" cm="1">
        <f t="array" ref="J2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1.930240893371179</v>
      </c>
      <c r="K226" s="81" cm="1">
        <f t="array" ref="K2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1.9486534388410444</v>
      </c>
      <c r="L226" s="81" cm="1">
        <f t="array" ref="L2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1.9725043562608309</v>
      </c>
      <c r="M226" s="37">
        <f t="shared" si="23"/>
        <v>3.8452638267145511E-2</v>
      </c>
      <c r="N226" s="43">
        <f t="shared" si="24"/>
        <v>1.0987999265468895E-2</v>
      </c>
      <c r="O226" s="43">
        <f t="shared" si="25"/>
        <v>2.385091741978651E-2</v>
      </c>
      <c r="P226" s="43">
        <f t="shared" si="26"/>
        <v>0.28575410584654731</v>
      </c>
      <c r="Q226" s="37">
        <f t="shared" si="27"/>
        <v>0.62026738592251751</v>
      </c>
      <c r="R226" s="37">
        <v>1.4999999999999999E-2</v>
      </c>
      <c r="S226" s="44" t="s">
        <v>1394</v>
      </c>
      <c r="T226" s="45">
        <v>3.5126327000000002</v>
      </c>
      <c r="U226" s="45">
        <v>-1.5301499999999999E-2</v>
      </c>
      <c r="V226" s="45">
        <v>5.3936061000000007E-2</v>
      </c>
      <c r="W226" s="45">
        <v>3.4949369E-3</v>
      </c>
      <c r="X226" s="45">
        <v>-1.7950295E-4</v>
      </c>
      <c r="Y226" s="45">
        <v>3.4403181000000004E-5</v>
      </c>
      <c r="Z226" s="36">
        <v>3.84</v>
      </c>
      <c r="AA226" s="38">
        <v>629</v>
      </c>
      <c r="AB226" s="38" t="s">
        <v>249</v>
      </c>
      <c r="AC226" s="49" t="s">
        <v>506</v>
      </c>
      <c r="AD226" s="39" t="s">
        <v>1371</v>
      </c>
      <c r="AE226" s="46" t="s">
        <v>770</v>
      </c>
    </row>
    <row r="227" spans="1:31" ht="15" thickBot="1">
      <c r="A227" s="34">
        <v>225</v>
      </c>
      <c r="B227" s="34" t="s">
        <v>252</v>
      </c>
      <c r="C227" s="41" t="s">
        <v>1357</v>
      </c>
      <c r="D227" s="34" t="s">
        <v>1055</v>
      </c>
      <c r="E227" s="80">
        <f t="shared" si="21"/>
        <v>1.9211887998393677</v>
      </c>
      <c r="F227" s="35">
        <f t="shared" si="22"/>
        <v>23.956452439999278</v>
      </c>
      <c r="G227" s="42" cm="1">
        <f t="array" ref="G22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23.765745389864172</v>
      </c>
      <c r="H227" s="81" cm="1">
        <f t="array" ref="H2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1.9102008005738988</v>
      </c>
      <c r="I227" s="81" cm="1">
        <f t="array" ref="I2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1.9211887998393677</v>
      </c>
      <c r="J227" s="81" cm="1">
        <f t="array" ref="J2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1.930240893371179</v>
      </c>
      <c r="K227" s="81" cm="1">
        <f t="array" ref="K2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1.9486534388410444</v>
      </c>
      <c r="L227" s="81" cm="1">
        <f t="array" ref="L2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1.9725043562608309</v>
      </c>
      <c r="M227" s="37">
        <f t="shared" si="23"/>
        <v>3.8452638267145511E-2</v>
      </c>
      <c r="N227" s="43">
        <f t="shared" si="24"/>
        <v>1.0987999265468895E-2</v>
      </c>
      <c r="O227" s="43">
        <f t="shared" si="25"/>
        <v>2.385091741978651E-2</v>
      </c>
      <c r="P227" s="43">
        <f t="shared" si="26"/>
        <v>0.28575410584654731</v>
      </c>
      <c r="Q227" s="37">
        <f t="shared" si="27"/>
        <v>0.62026738592251751</v>
      </c>
      <c r="R227" s="37">
        <v>1.4999999999999999E-2</v>
      </c>
      <c r="S227" s="44" t="s">
        <v>1394</v>
      </c>
      <c r="T227" s="45">
        <v>3.5126327000000002</v>
      </c>
      <c r="U227" s="45">
        <v>-1.5301499999999999E-2</v>
      </c>
      <c r="V227" s="45">
        <v>5.3936061000000007E-2</v>
      </c>
      <c r="W227" s="45">
        <v>3.4949369E-3</v>
      </c>
      <c r="X227" s="45">
        <v>-1.7950295E-4</v>
      </c>
      <c r="Y227" s="45">
        <v>3.4403181000000004E-5</v>
      </c>
      <c r="Z227" s="36">
        <v>3.84</v>
      </c>
      <c r="AA227" s="38">
        <v>629</v>
      </c>
      <c r="AB227" s="38" t="s">
        <v>249</v>
      </c>
      <c r="AC227" s="49" t="s">
        <v>506</v>
      </c>
      <c r="AD227" s="49" t="s">
        <v>506</v>
      </c>
      <c r="AE227" s="46" t="s">
        <v>1370</v>
      </c>
    </row>
    <row r="228" spans="1:31" ht="15" thickBot="1">
      <c r="A228" s="34">
        <v>226</v>
      </c>
      <c r="B228" s="34" t="s">
        <v>252</v>
      </c>
      <c r="C228" s="41" t="s">
        <v>1356</v>
      </c>
      <c r="D228" s="34" t="s">
        <v>1056</v>
      </c>
      <c r="E228" s="80">
        <f t="shared" si="21"/>
        <v>1.846661415279965</v>
      </c>
      <c r="F228" s="35">
        <f t="shared" si="22"/>
        <v>23.836188187609871</v>
      </c>
      <c r="G228" s="42" cm="1">
        <f t="array" ref="G22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23.647989648713651</v>
      </c>
      <c r="H228" s="81" cm="1">
        <f t="array" ref="H2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1.8365115556197267</v>
      </c>
      <c r="I228" s="81" cm="1">
        <f t="array" ref="I2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1.846661415279965</v>
      </c>
      <c r="J228" s="81" cm="1">
        <f t="array" ref="J2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1.8550256098768756</v>
      </c>
      <c r="K228" s="81" cm="1">
        <f t="array" ref="K2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1.8720315560751712</v>
      </c>
      <c r="L228" s="81" cm="1">
        <f t="array" ref="L2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1.8940586216211988</v>
      </c>
      <c r="M228" s="37">
        <f t="shared" si="23"/>
        <v>3.5520000455444567E-2</v>
      </c>
      <c r="N228" s="43">
        <f t="shared" si="24"/>
        <v>1.0149859660238292E-2</v>
      </c>
      <c r="O228" s="43">
        <f t="shared" si="25"/>
        <v>2.2027065546027513E-2</v>
      </c>
      <c r="P228" s="43">
        <f t="shared" si="26"/>
        <v>0.28575054983374876</v>
      </c>
      <c r="Q228" s="37">
        <f t="shared" si="27"/>
        <v>0.62013134188040719</v>
      </c>
      <c r="R228" s="37">
        <v>1.47E-2</v>
      </c>
      <c r="S228" s="44" t="s">
        <v>1394</v>
      </c>
      <c r="T228" s="45">
        <v>3.2570937</v>
      </c>
      <c r="U228" s="45">
        <v>-1.6091892E-2</v>
      </c>
      <c r="V228" s="45">
        <v>4.3820857999999997E-2</v>
      </c>
      <c r="W228" s="45">
        <v>4.5576258999999999E-3</v>
      </c>
      <c r="X228" s="45">
        <v>-4.0169036000000004E-4</v>
      </c>
      <c r="Y228" s="45">
        <v>4.5588441000000004E-5</v>
      </c>
      <c r="Z228" s="36">
        <v>3.5</v>
      </c>
      <c r="AA228" s="38">
        <v>612</v>
      </c>
      <c r="AB228" s="38">
        <v>697</v>
      </c>
      <c r="AC228" s="49" t="s">
        <v>506</v>
      </c>
      <c r="AD228" s="39" t="s">
        <v>1371</v>
      </c>
      <c r="AE228" s="46"/>
    </row>
    <row r="229" spans="1:31" ht="15" thickBot="1">
      <c r="A229" s="34">
        <v>227</v>
      </c>
      <c r="B229" s="34" t="s">
        <v>252</v>
      </c>
      <c r="C229" s="41" t="s">
        <v>1356</v>
      </c>
      <c r="D229" s="34" t="s">
        <v>161</v>
      </c>
      <c r="E229" s="80">
        <f t="shared" si="21"/>
        <v>1.8466632447211253</v>
      </c>
      <c r="F229" s="35">
        <f t="shared" si="22"/>
        <v>23.785124439692968</v>
      </c>
      <c r="G229" s="42" cm="1">
        <f t="array" ref="G22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23.598660550170845</v>
      </c>
      <c r="H229" s="81" cm="1">
        <f t="array" ref="H2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1.8364919124907264</v>
      </c>
      <c r="I229" s="81" cm="1">
        <f t="array" ref="I2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1.8466632447211253</v>
      </c>
      <c r="J229" s="81" cm="1">
        <f t="array" ref="J2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1.8550485112455057</v>
      </c>
      <c r="K229" s="81" cm="1">
        <f t="array" ref="K2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1.8720882469504361</v>
      </c>
      <c r="L229" s="81" cm="1">
        <f t="array" ref="L2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1.8941311603685562</v>
      </c>
      <c r="M229" s="37">
        <f t="shared" si="23"/>
        <v>3.5596334459709666E-2</v>
      </c>
      <c r="N229" s="43">
        <f t="shared" si="24"/>
        <v>1.01713322303989E-2</v>
      </c>
      <c r="O229" s="43">
        <f t="shared" si="25"/>
        <v>2.2042913418120147E-2</v>
      </c>
      <c r="P229" s="43">
        <f t="shared" si="26"/>
        <v>0.28574100071768627</v>
      </c>
      <c r="Q229" s="37">
        <f t="shared" si="27"/>
        <v>0.61924672168337458</v>
      </c>
      <c r="R229" s="37">
        <v>1.37E-2</v>
      </c>
      <c r="S229" s="44" t="s">
        <v>1394</v>
      </c>
      <c r="T229" s="45">
        <v>3.2606321</v>
      </c>
      <c r="U229" s="45">
        <v>-1.7780397999999999E-2</v>
      </c>
      <c r="V229" s="45">
        <v>4.0902938000000007E-2</v>
      </c>
      <c r="W229" s="45">
        <v>5.6076933999999997E-3</v>
      </c>
      <c r="X229" s="45">
        <v>-5.6434039000000005E-4</v>
      </c>
      <c r="Y229" s="45">
        <v>5.4763391E-5</v>
      </c>
      <c r="Z229" s="36">
        <v>3.5</v>
      </c>
      <c r="AA229" s="38">
        <v>612</v>
      </c>
      <c r="AB229" s="38">
        <v>697</v>
      </c>
      <c r="AC229" s="49" t="s">
        <v>506</v>
      </c>
      <c r="AD229" s="39" t="s">
        <v>1371</v>
      </c>
      <c r="AE229" s="46" t="s">
        <v>1367</v>
      </c>
    </row>
    <row r="230" spans="1:31" ht="15" thickBot="1">
      <c r="A230" s="34">
        <v>228</v>
      </c>
      <c r="B230" s="34" t="s">
        <v>252</v>
      </c>
      <c r="C230" s="41" t="s">
        <v>1356</v>
      </c>
      <c r="D230" s="34" t="s">
        <v>163</v>
      </c>
      <c r="E230" s="80">
        <f t="shared" si="21"/>
        <v>1.592702942380821</v>
      </c>
      <c r="F230" s="35">
        <f t="shared" si="22"/>
        <v>35.446061536474943</v>
      </c>
      <c r="G230" s="42" cm="1">
        <f t="array" ref="G23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35.167245463339377</v>
      </c>
      <c r="H230" s="81" cm="1">
        <f t="array" ref="H2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1.5878188191262248</v>
      </c>
      <c r="I230" s="81" cm="1">
        <f t="array" ref="I2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1.592702942380821</v>
      </c>
      <c r="J230" s="81" cm="1">
        <f t="array" ref="J2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1.5966580069420007</v>
      </c>
      <c r="K230" s="81" cm="1">
        <f t="array" ref="K2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1.6045400828347729</v>
      </c>
      <c r="L230" s="81" cm="1">
        <f t="array" ref="L2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1.6144512645686784</v>
      </c>
      <c r="M230" s="37">
        <f t="shared" si="23"/>
        <v>1.6721263708548095E-2</v>
      </c>
      <c r="N230" s="43">
        <f t="shared" si="24"/>
        <v>4.8841232545961955E-3</v>
      </c>
      <c r="O230" s="43">
        <f t="shared" si="25"/>
        <v>9.9111817339054831E-3</v>
      </c>
      <c r="P230" s="43">
        <f t="shared" si="26"/>
        <v>0.29209055844860443</v>
      </c>
      <c r="Q230" s="37">
        <f t="shared" si="27"/>
        <v>0.59272922828426999</v>
      </c>
      <c r="R230" s="37">
        <v>8.2000000000000007E-3</v>
      </c>
      <c r="S230" s="44" t="s">
        <v>1394</v>
      </c>
      <c r="T230" s="45">
        <v>2.4743324000000002</v>
      </c>
      <c r="U230" s="45">
        <v>-1.0955337999999998E-2</v>
      </c>
      <c r="V230" s="45">
        <v>1.9293800999999999E-2</v>
      </c>
      <c r="W230" s="45">
        <v>1.4497732000000002E-3</v>
      </c>
      <c r="X230" s="45">
        <v>-1.1038744E-4</v>
      </c>
      <c r="Y230" s="45">
        <v>1.1136008E-5</v>
      </c>
      <c r="Z230" s="36">
        <v>2.64</v>
      </c>
      <c r="AA230" s="38">
        <v>515</v>
      </c>
      <c r="AB230" s="38">
        <v>641</v>
      </c>
      <c r="AC230" s="49" t="s">
        <v>506</v>
      </c>
      <c r="AD230" s="49" t="s">
        <v>506</v>
      </c>
      <c r="AE230" s="47"/>
    </row>
    <row r="231" spans="1:31" ht="15" thickBot="1">
      <c r="A231" s="34">
        <v>229</v>
      </c>
      <c r="B231" s="34" t="s">
        <v>252</v>
      </c>
      <c r="C231" s="41" t="s">
        <v>1356</v>
      </c>
      <c r="D231" s="34" t="s">
        <v>164</v>
      </c>
      <c r="E231" s="80">
        <f t="shared" si="21"/>
        <v>1.7521096960785583</v>
      </c>
      <c r="F231" s="35">
        <f t="shared" si="22"/>
        <v>25.047885779073056</v>
      </c>
      <c r="G231" s="42" cm="1">
        <f t="array" ref="G23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24.842250170034657</v>
      </c>
      <c r="H231" s="81" cm="1">
        <f t="array" ref="H2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1.7435205803421303</v>
      </c>
      <c r="I231" s="81" cm="1">
        <f t="array" ref="I2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1.7521096960785583</v>
      </c>
      <c r="J231" s="81" cm="1">
        <f t="array" ref="J2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1.759181152499552</v>
      </c>
      <c r="K231" s="81" cm="1">
        <f t="array" ref="K2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1.773547453776172</v>
      </c>
      <c r="L231" s="81" cm="1">
        <f t="array" ref="L2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1.7921417782931912</v>
      </c>
      <c r="M231" s="37">
        <f t="shared" si="23"/>
        <v>3.0026873434041645E-2</v>
      </c>
      <c r="N231" s="43">
        <f t="shared" si="24"/>
        <v>8.5891157364279547E-3</v>
      </c>
      <c r="O231" s="43">
        <f t="shared" si="25"/>
        <v>1.8594324517019256E-2</v>
      </c>
      <c r="P231" s="43">
        <f t="shared" si="26"/>
        <v>0.28604762181767557</v>
      </c>
      <c r="Q231" s="37">
        <f t="shared" si="27"/>
        <v>0.61925609930265868</v>
      </c>
      <c r="R231" s="37">
        <v>1.6E-2</v>
      </c>
      <c r="S231" s="44" t="s">
        <v>1394</v>
      </c>
      <c r="T231" s="45">
        <v>2.9564360999999999</v>
      </c>
      <c r="U231" s="45">
        <v>-1.9762195E-2</v>
      </c>
      <c r="V231" s="45">
        <v>2.9878822999999999E-2</v>
      </c>
      <c r="W231" s="45">
        <v>5.1830851999999997E-3</v>
      </c>
      <c r="X231" s="45">
        <v>-5.4202389000000001E-4</v>
      </c>
      <c r="Y231" s="45">
        <v>4.8463245000000004E-5</v>
      </c>
      <c r="Z231" s="36">
        <v>3.14</v>
      </c>
      <c r="AA231" s="38">
        <v>569</v>
      </c>
      <c r="AB231" s="38">
        <v>700</v>
      </c>
      <c r="AC231" s="49" t="s">
        <v>506</v>
      </c>
      <c r="AD231" s="49" t="s">
        <v>506</v>
      </c>
      <c r="AE231" s="46" t="s">
        <v>1247</v>
      </c>
    </row>
    <row r="232" spans="1:31" ht="15" thickBot="1">
      <c r="A232" s="34">
        <v>230</v>
      </c>
      <c r="B232" s="34" t="s">
        <v>252</v>
      </c>
      <c r="C232" s="41" t="s">
        <v>1355</v>
      </c>
      <c r="D232" s="34" t="s">
        <v>1057</v>
      </c>
      <c r="E232" s="80">
        <f t="shared" si="21"/>
        <v>1.7015425092957066</v>
      </c>
      <c r="F232" s="35">
        <f t="shared" si="22"/>
        <v>41.149457053762632</v>
      </c>
      <c r="G232" s="42" cm="1">
        <f t="array" ref="G23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40.85668369752743</v>
      </c>
      <c r="H232" s="81" cm="1">
        <f t="array" ref="H2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1.6965085211933724</v>
      </c>
      <c r="I232" s="81" cm="1">
        <f t="array" ref="I2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1.7015425092957066</v>
      </c>
      <c r="J232" s="81" cm="1">
        <f t="array" ref="J2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1.7055871477453839</v>
      </c>
      <c r="K232" s="81" cm="1">
        <f t="array" ref="K2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1.7135571667776659</v>
      </c>
      <c r="L232" s="81" cm="1">
        <f t="array" ref="L2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1.7233951076757128</v>
      </c>
      <c r="M232" s="37">
        <f t="shared" si="23"/>
        <v>1.7048645584293531E-2</v>
      </c>
      <c r="N232" s="43">
        <f t="shared" si="24"/>
        <v>5.0339881023342414E-3</v>
      </c>
      <c r="O232" s="43">
        <f t="shared" si="25"/>
        <v>9.8379408980469041E-3</v>
      </c>
      <c r="P232" s="43">
        <f t="shared" si="26"/>
        <v>0.29527202483298276</v>
      </c>
      <c r="Q232" s="37">
        <f t="shared" si="27"/>
        <v>0.57705117098042913</v>
      </c>
      <c r="R232" s="37">
        <v>2.8E-3</v>
      </c>
      <c r="S232" s="44" t="s">
        <v>1394</v>
      </c>
      <c r="T232" s="45">
        <v>2.8217211</v>
      </c>
      <c r="U232" s="45">
        <v>-9.7265483000000003E-3</v>
      </c>
      <c r="V232" s="45">
        <v>2.4345979E-2</v>
      </c>
      <c r="W232" s="45">
        <v>7.8406305000000001E-4</v>
      </c>
      <c r="X232" s="45">
        <v>-2.2431497000000002E-5</v>
      </c>
      <c r="Y232" s="45">
        <v>4.6726028999999999E-6</v>
      </c>
      <c r="Z232" s="36">
        <v>3.65</v>
      </c>
      <c r="AA232" s="38">
        <v>582</v>
      </c>
      <c r="AB232" s="38">
        <v>707</v>
      </c>
      <c r="AC232" s="49" t="s">
        <v>506</v>
      </c>
      <c r="AD232" s="49" t="s">
        <v>506</v>
      </c>
      <c r="AE232" s="46"/>
    </row>
    <row r="233" spans="1:31" ht="15" thickBot="1">
      <c r="A233" s="34">
        <v>231</v>
      </c>
      <c r="B233" s="34" t="s">
        <v>252</v>
      </c>
      <c r="C233" s="41" t="s">
        <v>1355</v>
      </c>
      <c r="D233" s="34" t="s">
        <v>1058</v>
      </c>
      <c r="E233" s="80">
        <f t="shared" si="21"/>
        <v>1.7234167920590242</v>
      </c>
      <c r="F233" s="35">
        <f t="shared" si="22"/>
        <v>37.994572547925422</v>
      </c>
      <c r="G233" s="42" cm="1">
        <f t="array" ref="G23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37.723922768032914</v>
      </c>
      <c r="H233" s="81" cm="1">
        <f t="array" ref="H2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1.7178112443785216</v>
      </c>
      <c r="I233" s="81" cm="1">
        <f t="array" ref="I2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1.7234167920590242</v>
      </c>
      <c r="J233" s="81" cm="1">
        <f t="array" ref="J2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1.7279302212636707</v>
      </c>
      <c r="K233" s="81" cm="1">
        <f t="array" ref="K2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1.7368512478197111</v>
      </c>
      <c r="L233" s="81" cm="1">
        <f t="array" ref="L2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1.7479332989511613</v>
      </c>
      <c r="M233" s="37">
        <f t="shared" si="23"/>
        <v>1.9040003441189501E-2</v>
      </c>
      <c r="N233" s="43">
        <f t="shared" si="24"/>
        <v>5.6055476805025872E-3</v>
      </c>
      <c r="O233" s="43">
        <f t="shared" si="25"/>
        <v>1.1082051131450221E-2</v>
      </c>
      <c r="P233" s="43">
        <f t="shared" si="26"/>
        <v>0.2944089636231908</v>
      </c>
      <c r="Q233" s="37">
        <f t="shared" si="27"/>
        <v>0.58204039540645602</v>
      </c>
      <c r="R233" s="37">
        <v>2.0999999999999999E-3</v>
      </c>
      <c r="S233" s="44" t="s">
        <v>1394</v>
      </c>
      <c r="T233" s="45">
        <v>2.8863235999999999</v>
      </c>
      <c r="U233" s="45">
        <v>-9.8027240000000005E-3</v>
      </c>
      <c r="V233" s="45">
        <v>2.7654255999999999E-2</v>
      </c>
      <c r="W233" s="45">
        <v>8.9006367E-4</v>
      </c>
      <c r="X233" s="45">
        <v>-3.6309109000000006E-5</v>
      </c>
      <c r="Y233" s="45">
        <v>7.6181061999999996E-6</v>
      </c>
      <c r="Z233" s="36">
        <v>3.62</v>
      </c>
      <c r="AA233" s="38">
        <v>598</v>
      </c>
      <c r="AB233" s="38">
        <v>718</v>
      </c>
      <c r="AC233" s="49" t="s">
        <v>506</v>
      </c>
      <c r="AD233" s="49" t="s">
        <v>506</v>
      </c>
      <c r="AE233" s="47" t="s">
        <v>249</v>
      </c>
    </row>
    <row r="234" spans="1:31" ht="15" thickBot="1">
      <c r="A234" s="34">
        <v>232</v>
      </c>
      <c r="B234" s="34" t="s">
        <v>252</v>
      </c>
      <c r="C234" s="41" t="s">
        <v>1358</v>
      </c>
      <c r="D234" s="34" t="s">
        <v>1059</v>
      </c>
      <c r="E234" s="80">
        <f t="shared" si="21"/>
        <v>1.7440013511065586</v>
      </c>
      <c r="F234" s="35">
        <f t="shared" si="22"/>
        <v>44.899616332014929</v>
      </c>
      <c r="G234" s="42" cm="1">
        <f t="array" ref="G23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44.627401875904731</v>
      </c>
      <c r="H234" s="81" cm="1">
        <f t="array" ref="H2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1.7390599471655406</v>
      </c>
      <c r="I234" s="81" cm="1">
        <f t="array" ref="I2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1.7440013511065586</v>
      </c>
      <c r="J234" s="81" cm="1">
        <f t="array" ref="J2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1.7479424685017579</v>
      </c>
      <c r="K234" s="81" cm="1">
        <f t="array" ref="K2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1.7556302747515262</v>
      </c>
      <c r="L234" s="81" cm="1">
        <f t="array" ref="L2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1.7649609787177492</v>
      </c>
      <c r="M234" s="37">
        <f t="shared" si="23"/>
        <v>1.6570327585985645E-2</v>
      </c>
      <c r="N234" s="43">
        <f t="shared" si="24"/>
        <v>4.9414039410180521E-3</v>
      </c>
      <c r="O234" s="43">
        <f t="shared" si="25"/>
        <v>9.3307039662229307E-3</v>
      </c>
      <c r="P234" s="43">
        <f t="shared" si="26"/>
        <v>0.29820798142803434</v>
      </c>
      <c r="Q234" s="37">
        <f t="shared" si="27"/>
        <v>0.56309713358439417</v>
      </c>
      <c r="R234" s="37">
        <v>-4.4000000000000003E-3</v>
      </c>
      <c r="S234" s="44" t="s">
        <v>1394</v>
      </c>
      <c r="T234" s="45">
        <v>2.9657374000000001</v>
      </c>
      <c r="U234" s="45">
        <v>-9.6571624000000005E-3</v>
      </c>
      <c r="V234" s="45">
        <v>2.6024525E-2</v>
      </c>
      <c r="W234" s="45">
        <v>3.6684641000000003E-4</v>
      </c>
      <c r="X234" s="45">
        <v>2.8205551000000002E-5</v>
      </c>
      <c r="Y234" s="45">
        <v>-1.3739928999999999E-7</v>
      </c>
      <c r="Z234" s="36">
        <v>4.3899999999999997</v>
      </c>
      <c r="AA234" s="38">
        <v>648</v>
      </c>
      <c r="AB234" s="38">
        <v>771</v>
      </c>
      <c r="AC234" s="49" t="s">
        <v>506</v>
      </c>
      <c r="AD234" s="49" t="s">
        <v>506</v>
      </c>
      <c r="AE234" s="47"/>
    </row>
    <row r="235" spans="1:31" ht="15" thickBot="1">
      <c r="A235" s="34">
        <v>233</v>
      </c>
      <c r="B235" s="34" t="s">
        <v>252</v>
      </c>
      <c r="C235" s="41" t="s">
        <v>1358</v>
      </c>
      <c r="D235" s="34" t="s">
        <v>1060</v>
      </c>
      <c r="E235" s="80">
        <f t="shared" si="21"/>
        <v>1.7170000257710412</v>
      </c>
      <c r="F235" s="35">
        <f t="shared" si="22"/>
        <v>47.981679651206989</v>
      </c>
      <c r="G235" s="42" cm="1">
        <f t="array" ref="G23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47.725259791354489</v>
      </c>
      <c r="H235" s="81" cm="1">
        <f t="array" ref="H2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1.71251057809453</v>
      </c>
      <c r="I235" s="81" cm="1">
        <f t="array" ref="I2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1.7170000257710412</v>
      </c>
      <c r="J235" s="81" cm="1">
        <f t="array" ref="J2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1.7205586587201884</v>
      </c>
      <c r="K235" s="81" cm="1">
        <f t="array" ref="K2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1.7274537820628597</v>
      </c>
      <c r="L235" s="81" cm="1">
        <f t="array" ref="L2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1.735758683788361</v>
      </c>
      <c r="M235" s="37">
        <f t="shared" si="23"/>
        <v>1.494320396832971E-2</v>
      </c>
      <c r="N235" s="43">
        <f t="shared" si="24"/>
        <v>4.4894476765111602E-3</v>
      </c>
      <c r="O235" s="43">
        <f t="shared" si="25"/>
        <v>8.3049017255012458E-3</v>
      </c>
      <c r="P235" s="43">
        <f t="shared" si="26"/>
        <v>0.30043407598705035</v>
      </c>
      <c r="Q235" s="37">
        <f t="shared" si="27"/>
        <v>0.55576446276865843</v>
      </c>
      <c r="R235" s="37">
        <v>-6.3E-3</v>
      </c>
      <c r="S235" s="44" t="s">
        <v>1394</v>
      </c>
      <c r="T235" s="45">
        <v>2.8789799</v>
      </c>
      <c r="U235" s="45">
        <v>-8.7292369999999991E-3</v>
      </c>
      <c r="V235" s="45">
        <v>2.4425656E-2</v>
      </c>
      <c r="W235" s="45">
        <v>4.5491773000000003E-5</v>
      </c>
      <c r="X235" s="45">
        <v>4.2802928E-5</v>
      </c>
      <c r="Y235" s="45">
        <v>-7.2834306000000001E-7</v>
      </c>
      <c r="Z235" s="36">
        <v>4.2</v>
      </c>
      <c r="AA235" s="38">
        <v>607</v>
      </c>
      <c r="AB235" s="38">
        <v>717</v>
      </c>
      <c r="AC235" s="49" t="s">
        <v>506</v>
      </c>
      <c r="AD235" s="49" t="s">
        <v>506</v>
      </c>
      <c r="AE235" s="47" t="s">
        <v>249</v>
      </c>
    </row>
    <row r="236" spans="1:31" ht="15" thickBot="1">
      <c r="A236" s="34">
        <v>234</v>
      </c>
      <c r="B236" s="34" t="s">
        <v>252</v>
      </c>
      <c r="C236" s="41" t="s">
        <v>1358</v>
      </c>
      <c r="D236" s="34" t="s">
        <v>1061</v>
      </c>
      <c r="E236" s="80">
        <f t="shared" si="21"/>
        <v>1.613956879674475</v>
      </c>
      <c r="F236" s="35">
        <f t="shared" si="22"/>
        <v>44.293655192309302</v>
      </c>
      <c r="G236" s="42" cm="1">
        <f t="array" ref="G23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44.054946066124501</v>
      </c>
      <c r="H236" s="81" cm="1">
        <f t="array" ref="H2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1.6098010721891283</v>
      </c>
      <c r="I236" s="81" cm="1">
        <f t="array" ref="I2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1.613956879674475</v>
      </c>
      <c r="J236" s="81" cm="1">
        <f t="array" ref="J2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1.6172503995202339</v>
      </c>
      <c r="K236" s="81" cm="1">
        <f t="array" ref="K2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1.6236621291962519</v>
      </c>
      <c r="L236" s="81" cm="1">
        <f t="array" ref="L2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1.6314689064267989</v>
      </c>
      <c r="M236" s="37">
        <f t="shared" si="23"/>
        <v>1.3861057007123589E-2</v>
      </c>
      <c r="N236" s="43">
        <f t="shared" si="24"/>
        <v>4.1558074853467186E-3</v>
      </c>
      <c r="O236" s="43">
        <f t="shared" si="25"/>
        <v>7.8067772305470129E-3</v>
      </c>
      <c r="P236" s="43">
        <f t="shared" si="26"/>
        <v>0.2998189447753466</v>
      </c>
      <c r="Q236" s="37">
        <f t="shared" si="27"/>
        <v>0.56321658777789374</v>
      </c>
      <c r="R236" s="37">
        <v>-5.4000000000000003E-3</v>
      </c>
      <c r="S236" s="44" t="s">
        <v>1394</v>
      </c>
      <c r="T236" s="45">
        <v>2.5507417000000001</v>
      </c>
      <c r="U236" s="45">
        <v>-1.2806660000000001E-2</v>
      </c>
      <c r="V236" s="45">
        <v>1.8744935000000001E-2</v>
      </c>
      <c r="W236" s="45">
        <v>5.0796407000000001E-4</v>
      </c>
      <c r="X236" s="45">
        <v>-7.2866069999999998E-6</v>
      </c>
      <c r="Y236" s="45">
        <v>2.1911276999999998E-6</v>
      </c>
      <c r="Z236" s="36">
        <v>2.91</v>
      </c>
      <c r="AA236" s="38">
        <v>546</v>
      </c>
      <c r="AB236" s="38">
        <v>662</v>
      </c>
      <c r="AC236" s="49" t="s">
        <v>506</v>
      </c>
      <c r="AD236" s="39" t="s">
        <v>1371</v>
      </c>
      <c r="AE236" s="47" t="s">
        <v>249</v>
      </c>
    </row>
    <row r="237" spans="1:31" ht="15" thickBot="1">
      <c r="A237" s="34">
        <v>235</v>
      </c>
      <c r="B237" s="34" t="s">
        <v>252</v>
      </c>
      <c r="C237" s="41" t="s">
        <v>1358</v>
      </c>
      <c r="D237" s="34" t="s">
        <v>1062</v>
      </c>
      <c r="E237" s="80">
        <f t="shared" si="21"/>
        <v>1.7432993220525919</v>
      </c>
      <c r="F237" s="35">
        <f t="shared" si="22"/>
        <v>49.222184135392439</v>
      </c>
      <c r="G237" s="42" cm="1">
        <f t="array" ref="G23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48.989907859106388</v>
      </c>
      <c r="H237" s="81" cm="1">
        <f t="array" ref="H2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1.7387413749671672</v>
      </c>
      <c r="I237" s="81" cm="1">
        <f t="array" ref="I2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1.7432993220525919</v>
      </c>
      <c r="J237" s="81" cm="1">
        <f t="array" ref="J2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1.746899260368741</v>
      </c>
      <c r="K237" s="81" cm="1">
        <f t="array" ref="K2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1.7538422758131769</v>
      </c>
      <c r="L237" s="81" cm="1">
        <f t="array" ref="L2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1.7621398493221778</v>
      </c>
      <c r="M237" s="37">
        <f t="shared" si="23"/>
        <v>1.5100900846009679E-2</v>
      </c>
      <c r="N237" s="43">
        <f t="shared" si="24"/>
        <v>4.557947085424674E-3</v>
      </c>
      <c r="O237" s="43">
        <f t="shared" si="25"/>
        <v>8.297573509000955E-3</v>
      </c>
      <c r="P237" s="43">
        <f t="shared" si="26"/>
        <v>0.30183279341437991</v>
      </c>
      <c r="Q237" s="37">
        <f t="shared" si="27"/>
        <v>0.54947539842919624</v>
      </c>
      <c r="R237" s="37">
        <v>-1.03E-2</v>
      </c>
      <c r="S237" s="44" t="s">
        <v>1394</v>
      </c>
      <c r="T237" s="45">
        <v>2.9753490999999999</v>
      </c>
      <c r="U237" s="45">
        <v>-1.461347E-2</v>
      </c>
      <c r="V237" s="45">
        <v>2.1096383E-2</v>
      </c>
      <c r="W237" s="45">
        <v>1.198038E-3</v>
      </c>
      <c r="X237" s="45">
        <v>-1.1887388000000002E-4</v>
      </c>
      <c r="Y237" s="45">
        <v>7.3444349999999994E-6</v>
      </c>
      <c r="Z237" s="36">
        <v>4.17</v>
      </c>
      <c r="AA237" s="38">
        <v>588</v>
      </c>
      <c r="AB237" s="38">
        <v>658</v>
      </c>
      <c r="AC237" s="49" t="s">
        <v>506</v>
      </c>
      <c r="AD237" s="49" t="s">
        <v>506</v>
      </c>
      <c r="AE237" s="47" t="s">
        <v>249</v>
      </c>
    </row>
    <row r="238" spans="1:31" ht="15" thickBot="1">
      <c r="A238" s="34">
        <v>236</v>
      </c>
      <c r="B238" s="34" t="s">
        <v>252</v>
      </c>
      <c r="C238" s="41" t="s">
        <v>1358</v>
      </c>
      <c r="D238" s="34" t="s">
        <v>1063</v>
      </c>
      <c r="E238" s="80">
        <f t="shared" si="21"/>
        <v>1.8340005620980686</v>
      </c>
      <c r="F238" s="35">
        <f t="shared" si="22"/>
        <v>37.345515018538869</v>
      </c>
      <c r="G238" s="42" cm="1">
        <f t="array" ref="G23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37.090550044457238</v>
      </c>
      <c r="H238" s="81" cm="1">
        <f t="array" ref="H2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1.8274203039181818</v>
      </c>
      <c r="I238" s="81" cm="1">
        <f t="array" ref="I2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1.8340005620980686</v>
      </c>
      <c r="J238" s="81" cm="1">
        <f t="array" ref="J2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1.8392960628493897</v>
      </c>
      <c r="K238" s="81" cm="1">
        <f t="array" ref="K2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1.8497523178610624</v>
      </c>
      <c r="L238" s="81" cm="1">
        <f t="array" ref="L2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1.8626847103464896</v>
      </c>
      <c r="M238" s="37">
        <f t="shared" si="23"/>
        <v>2.2332013942880646E-2</v>
      </c>
      <c r="N238" s="43">
        <f t="shared" si="24"/>
        <v>6.5802581798868331E-3</v>
      </c>
      <c r="O238" s="43">
        <f t="shared" si="25"/>
        <v>1.2932392485427213E-2</v>
      </c>
      <c r="P238" s="43">
        <f t="shared" si="26"/>
        <v>0.29465583340210083</v>
      </c>
      <c r="Q238" s="37">
        <f t="shared" si="27"/>
        <v>0.57909656148813249</v>
      </c>
      <c r="R238" s="37">
        <v>-2.0999999999999999E-3</v>
      </c>
      <c r="S238" s="44" t="s">
        <v>1394</v>
      </c>
      <c r="T238" s="45">
        <v>3.2615573000000002</v>
      </c>
      <c r="U238" s="45">
        <v>-1.4542851000000001E-2</v>
      </c>
      <c r="V238" s="45">
        <v>3.3470738999999999E-2</v>
      </c>
      <c r="W238" s="45">
        <v>1.2266478999999999E-3</v>
      </c>
      <c r="X238" s="45">
        <v>-2.5391842000000001E-5</v>
      </c>
      <c r="Y238" s="45">
        <v>5.5971738999999993E-6</v>
      </c>
      <c r="Z238" s="36">
        <v>4.57</v>
      </c>
      <c r="AA238" s="38">
        <v>585</v>
      </c>
      <c r="AB238" s="38">
        <v>663</v>
      </c>
      <c r="AC238" s="49" t="s">
        <v>506</v>
      </c>
      <c r="AD238" s="39" t="s">
        <v>1371</v>
      </c>
      <c r="AE238" s="47" t="s">
        <v>249</v>
      </c>
    </row>
    <row r="239" spans="1:31" ht="15" thickBot="1">
      <c r="A239" s="34">
        <v>237</v>
      </c>
      <c r="B239" s="34" t="s">
        <v>252</v>
      </c>
      <c r="C239" s="41" t="s">
        <v>1358</v>
      </c>
      <c r="D239" s="34" t="s">
        <v>1064</v>
      </c>
      <c r="E239" s="80">
        <f t="shared" si="21"/>
        <v>1.7858968721930093</v>
      </c>
      <c r="F239" s="35">
        <f t="shared" si="22"/>
        <v>43.934913450691994</v>
      </c>
      <c r="G239" s="42" cm="1">
        <f t="array" ref="G23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43.702724878884545</v>
      </c>
      <c r="H239" s="81" cm="1">
        <f t="array" ref="H2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1.7805325504487635</v>
      </c>
      <c r="I239" s="81" cm="1">
        <f t="array" ref="I2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1.7858968721930093</v>
      </c>
      <c r="J239" s="81" cm="1">
        <f t="array" ref="J2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1.7901503629987323</v>
      </c>
      <c r="K239" s="81" cm="1">
        <f t="array" ref="K2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1.7984203032737467</v>
      </c>
      <c r="L239" s="81" cm="1">
        <f t="array" ref="L2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1.8084587386645443</v>
      </c>
      <c r="M239" s="37">
        <f t="shared" si="23"/>
        <v>1.7887752824983227E-2</v>
      </c>
      <c r="N239" s="43">
        <f t="shared" si="24"/>
        <v>5.3643217442458369E-3</v>
      </c>
      <c r="O239" s="43">
        <f t="shared" si="25"/>
        <v>1.0038435390797629E-2</v>
      </c>
      <c r="P239" s="43">
        <f t="shared" si="26"/>
        <v>0.29988796226844477</v>
      </c>
      <c r="Q239" s="37">
        <f t="shared" si="27"/>
        <v>0.56119041273743908</v>
      </c>
      <c r="R239" s="37">
        <v>-8.0999999999999996E-3</v>
      </c>
      <c r="S239" s="44" t="s">
        <v>1394</v>
      </c>
      <c r="T239" s="45">
        <v>3.1010266999999998</v>
      </c>
      <c r="U239" s="45">
        <v>-1.0022108E-2</v>
      </c>
      <c r="V239" s="45">
        <v>3.2631686999999999E-2</v>
      </c>
      <c r="W239" s="45">
        <v>-8.102926800000001E-4</v>
      </c>
      <c r="X239" s="45">
        <v>1.9350110000000001E-4</v>
      </c>
      <c r="Y239" s="45">
        <v>-8.0279799000000004E-6</v>
      </c>
      <c r="Z239" s="36">
        <v>4.43</v>
      </c>
      <c r="AA239" s="38">
        <v>590</v>
      </c>
      <c r="AB239" s="38">
        <v>668</v>
      </c>
      <c r="AC239" s="49" t="s">
        <v>506</v>
      </c>
      <c r="AD239" s="49" t="s">
        <v>506</v>
      </c>
      <c r="AE239" s="47" t="s">
        <v>249</v>
      </c>
    </row>
    <row r="240" spans="1:31" ht="15" thickBot="1">
      <c r="A240" s="34">
        <v>238</v>
      </c>
      <c r="B240" s="34" t="s">
        <v>252</v>
      </c>
      <c r="C240" s="41" t="s">
        <v>1358</v>
      </c>
      <c r="D240" s="34" t="s">
        <v>1065</v>
      </c>
      <c r="E240" s="80">
        <f t="shared" si="21"/>
        <v>1.8061046415226751</v>
      </c>
      <c r="F240" s="35">
        <f t="shared" si="22"/>
        <v>40.734848049564192</v>
      </c>
      <c r="G240" s="42" cm="1">
        <f t="array" ref="G24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40.492856386369446</v>
      </c>
      <c r="H240" s="81" cm="1">
        <f t="array" ref="H2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1.8002191157549008</v>
      </c>
      <c r="I240" s="81" cm="1">
        <f t="array" ref="I2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1.8061046415226751</v>
      </c>
      <c r="J240" s="81" cm="1">
        <f t="array" ref="J2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1.8108082197437554</v>
      </c>
      <c r="K240" s="81" cm="1">
        <f t="array" ref="K2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1.8200081828588666</v>
      </c>
      <c r="L240" s="81" cm="1">
        <f t="array" ref="L2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1.8312326538925046</v>
      </c>
      <c r="M240" s="37">
        <f t="shared" si="23"/>
        <v>1.9789067103965774E-2</v>
      </c>
      <c r="N240" s="43">
        <f t="shared" si="24"/>
        <v>5.8855257677743467E-3</v>
      </c>
      <c r="O240" s="43">
        <f t="shared" si="25"/>
        <v>1.1224471033637995E-2</v>
      </c>
      <c r="P240" s="43">
        <f t="shared" si="26"/>
        <v>0.29741299763417722</v>
      </c>
      <c r="Q240" s="37">
        <f t="shared" si="27"/>
        <v>0.56720566839598952</v>
      </c>
      <c r="R240" s="37">
        <v>-7.7999999999999996E-3</v>
      </c>
      <c r="S240" s="44" t="s">
        <v>1394</v>
      </c>
      <c r="T240" s="45">
        <v>3.1729223000000002</v>
      </c>
      <c r="U240" s="45">
        <v>-1.4248534E-2</v>
      </c>
      <c r="V240" s="45">
        <v>2.9168113999999998E-2</v>
      </c>
      <c r="W240" s="45">
        <v>1.342876E-3</v>
      </c>
      <c r="X240" s="45">
        <v>-9.6178753E-5</v>
      </c>
      <c r="Y240" s="45">
        <v>8.4042556E-6</v>
      </c>
      <c r="Z240" s="36">
        <v>4.38</v>
      </c>
      <c r="AA240" s="38">
        <v>619</v>
      </c>
      <c r="AB240" s="38">
        <v>692</v>
      </c>
      <c r="AC240" s="49" t="s">
        <v>506</v>
      </c>
      <c r="AD240" s="39" t="s">
        <v>1371</v>
      </c>
      <c r="AE240" s="47" t="s">
        <v>249</v>
      </c>
    </row>
    <row r="241" spans="1:31" ht="15" thickBot="1">
      <c r="A241" s="34">
        <v>239</v>
      </c>
      <c r="B241" s="34" t="s">
        <v>252</v>
      </c>
      <c r="C241" s="41" t="s">
        <v>1358</v>
      </c>
      <c r="D241" s="34" t="s">
        <v>1066</v>
      </c>
      <c r="E241" s="80">
        <f t="shared" si="21"/>
        <v>1.8060993918912092</v>
      </c>
      <c r="F241" s="35">
        <f t="shared" si="22"/>
        <v>33.26981783183016</v>
      </c>
      <c r="G241" s="42" cm="1">
        <f t="array" ref="G24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33.030266453644344</v>
      </c>
      <c r="H241" s="81" cm="1">
        <f t="array" ref="H2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1.7990153921653096</v>
      </c>
      <c r="I241" s="81" cm="1">
        <f t="array" ref="I2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1.8060993918912092</v>
      </c>
      <c r="J241" s="81" cm="1">
        <f t="array" ref="J2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1.8118367904027499</v>
      </c>
      <c r="K241" s="81" cm="1">
        <f t="array" ref="K2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1.8232445417195939</v>
      </c>
      <c r="L241" s="81" cm="1">
        <f t="array" ref="L2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1.8375026205833349</v>
      </c>
      <c r="M241" s="37">
        <f t="shared" si="23"/>
        <v>2.4229149554284346E-2</v>
      </c>
      <c r="N241" s="43">
        <f t="shared" si="24"/>
        <v>7.0839997258995702E-3</v>
      </c>
      <c r="O241" s="43">
        <f t="shared" si="25"/>
        <v>1.4258078863740975E-2</v>
      </c>
      <c r="P241" s="43">
        <f t="shared" si="26"/>
        <v>0.29237508770285892</v>
      </c>
      <c r="Q241" s="37">
        <f t="shared" si="27"/>
        <v>0.58846798695085745</v>
      </c>
      <c r="R241" s="37">
        <v>0</v>
      </c>
      <c r="S241" s="44" t="s">
        <v>1394</v>
      </c>
      <c r="T241" s="45">
        <v>3.1540010999999999</v>
      </c>
      <c r="U241" s="45">
        <v>-1.3256753E-2</v>
      </c>
      <c r="V241" s="45">
        <v>3.4103311999999997E-2</v>
      </c>
      <c r="W241" s="45">
        <v>1.8472167000000001E-3</v>
      </c>
      <c r="X241" s="45">
        <v>-1.0807332000000002E-4</v>
      </c>
      <c r="Y241" s="45">
        <v>1.2975901000000002E-5</v>
      </c>
      <c r="Z241" s="36">
        <v>3.47</v>
      </c>
      <c r="AA241" s="38">
        <v>670</v>
      </c>
      <c r="AB241" s="38">
        <v>777</v>
      </c>
      <c r="AC241" s="49" t="s">
        <v>506</v>
      </c>
      <c r="AD241" s="39" t="s">
        <v>1371</v>
      </c>
      <c r="AE241" s="46" t="s">
        <v>770</v>
      </c>
    </row>
    <row r="242" spans="1:31" ht="15" thickBot="1">
      <c r="A242" s="34">
        <v>240</v>
      </c>
      <c r="B242" s="34" t="s">
        <v>252</v>
      </c>
      <c r="C242" s="41" t="s">
        <v>1358</v>
      </c>
      <c r="D242" s="34" t="s">
        <v>1067</v>
      </c>
      <c r="E242" s="80">
        <f t="shared" si="21"/>
        <v>1.8060993918912092</v>
      </c>
      <c r="F242" s="35">
        <f t="shared" si="22"/>
        <v>33.26981783183016</v>
      </c>
      <c r="G242" s="42" cm="1">
        <f t="array" ref="G24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33.030266453644344</v>
      </c>
      <c r="H242" s="81" cm="1">
        <f t="array" ref="H2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1.7990153921653096</v>
      </c>
      <c r="I242" s="81" cm="1">
        <f t="array" ref="I2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1.8060993918912092</v>
      </c>
      <c r="J242" s="81" cm="1">
        <f t="array" ref="J2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1.8118367904027499</v>
      </c>
      <c r="K242" s="81" cm="1">
        <f t="array" ref="K2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1.8232445417195939</v>
      </c>
      <c r="L242" s="81" cm="1">
        <f t="array" ref="L2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1.8375026205833349</v>
      </c>
      <c r="M242" s="37">
        <f t="shared" si="23"/>
        <v>2.4229149554284346E-2</v>
      </c>
      <c r="N242" s="43">
        <f t="shared" si="24"/>
        <v>7.0839997258995702E-3</v>
      </c>
      <c r="O242" s="43">
        <f t="shared" si="25"/>
        <v>1.4258078863740975E-2</v>
      </c>
      <c r="P242" s="43">
        <f t="shared" si="26"/>
        <v>0.29237508770285892</v>
      </c>
      <c r="Q242" s="37">
        <f t="shared" si="27"/>
        <v>0.58846798695085745</v>
      </c>
      <c r="R242" s="37">
        <v>0</v>
      </c>
      <c r="S242" s="44" t="s">
        <v>1394</v>
      </c>
      <c r="T242" s="45">
        <v>3.1540010999999999</v>
      </c>
      <c r="U242" s="45">
        <v>-1.3256753E-2</v>
      </c>
      <c r="V242" s="45">
        <v>3.4103311999999997E-2</v>
      </c>
      <c r="W242" s="45">
        <v>1.8472167000000001E-3</v>
      </c>
      <c r="X242" s="45">
        <v>-1.0807332000000002E-4</v>
      </c>
      <c r="Y242" s="45">
        <v>1.2975901000000002E-5</v>
      </c>
      <c r="Z242" s="36">
        <v>3.47</v>
      </c>
      <c r="AA242" s="38">
        <v>670</v>
      </c>
      <c r="AB242" s="38">
        <v>777</v>
      </c>
      <c r="AC242" s="49" t="s">
        <v>506</v>
      </c>
      <c r="AD242" s="49" t="s">
        <v>506</v>
      </c>
      <c r="AE242" s="46"/>
    </row>
    <row r="243" spans="1:31" ht="15" thickBot="1">
      <c r="A243" s="34">
        <v>241</v>
      </c>
      <c r="B243" s="34" t="s">
        <v>252</v>
      </c>
      <c r="C243" s="41" t="s">
        <v>1359</v>
      </c>
      <c r="D243" s="34" t="s">
        <v>1068</v>
      </c>
      <c r="E243" s="80">
        <f t="shared" si="21"/>
        <v>1.8545051076323982</v>
      </c>
      <c r="F243" s="35">
        <f t="shared" si="22"/>
        <v>25.155020923747699</v>
      </c>
      <c r="G243" s="42" cm="1">
        <f t="array" ref="G24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24.970219982184467</v>
      </c>
      <c r="H243" s="81" cm="1">
        <f t="array" ref="H2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1.8447293744243911</v>
      </c>
      <c r="I243" s="81" cm="1">
        <f t="array" ref="I2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1.8545051076323982</v>
      </c>
      <c r="J243" s="81" cm="1">
        <f t="array" ref="J2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1.8625170649443896</v>
      </c>
      <c r="K243" s="81" cm="1">
        <f t="array" ref="K2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1.8786989389985036</v>
      </c>
      <c r="L243" s="81" cm="1">
        <f t="array" ref="L2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1.8994314307158928</v>
      </c>
      <c r="M243" s="37">
        <f t="shared" si="23"/>
        <v>3.3969564574112487E-2</v>
      </c>
      <c r="N243" s="43">
        <f t="shared" si="24"/>
        <v>9.7757332080070647E-3</v>
      </c>
      <c r="O243" s="43">
        <f t="shared" si="25"/>
        <v>2.0732491717389223E-2</v>
      </c>
      <c r="P243" s="43">
        <f t="shared" si="26"/>
        <v>0.28777917322664043</v>
      </c>
      <c r="Q243" s="37">
        <f t="shared" si="27"/>
        <v>0.6103255068859208</v>
      </c>
      <c r="R243" s="37">
        <v>7.3000000000000001E-3</v>
      </c>
      <c r="S243" s="44" t="s">
        <v>1394</v>
      </c>
      <c r="T243" s="45">
        <v>3.2879388999999999</v>
      </c>
      <c r="U243" s="45">
        <v>-1.5856356000000002E-2</v>
      </c>
      <c r="V243" s="45">
        <v>4.5638807000000003E-2</v>
      </c>
      <c r="W243" s="45">
        <v>3.3027661E-3</v>
      </c>
      <c r="X243" s="45">
        <v>-2.1690686000000003E-4</v>
      </c>
      <c r="Y243" s="45">
        <v>2.9625863000000003E-5</v>
      </c>
      <c r="Z243" s="36">
        <v>3.48</v>
      </c>
      <c r="AA243" s="38">
        <v>553</v>
      </c>
      <c r="AB243" s="38">
        <v>639</v>
      </c>
      <c r="AC243" s="49" t="s">
        <v>506</v>
      </c>
      <c r="AD243" s="39" t="s">
        <v>1371</v>
      </c>
      <c r="AE243" s="46" t="s">
        <v>1247</v>
      </c>
    </row>
    <row r="244" spans="1:31" ht="15" thickBot="1">
      <c r="A244" s="34">
        <v>242</v>
      </c>
      <c r="B244" s="34" t="s">
        <v>252</v>
      </c>
      <c r="C244" s="41" t="s">
        <v>1359</v>
      </c>
      <c r="D244" s="34" t="s">
        <v>1069</v>
      </c>
      <c r="E244" s="80">
        <f t="shared" si="21"/>
        <v>1.8340126277466535</v>
      </c>
      <c r="F244" s="35">
        <f t="shared" si="22"/>
        <v>25.965937540549476</v>
      </c>
      <c r="G244" s="42" cm="1">
        <f t="array" ref="G24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25.775433019075841</v>
      </c>
      <c r="H244" s="81" cm="1">
        <f t="array" ref="H2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1.8247508349402526</v>
      </c>
      <c r="I244" s="81" cm="1">
        <f t="array" ref="I2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1.8340126277466535</v>
      </c>
      <c r="J244" s="81" cm="1">
        <f t="array" ref="J2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1.8415917874400534</v>
      </c>
      <c r="K244" s="81" cm="1">
        <f t="array" ref="K2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1.8568703232677672</v>
      </c>
      <c r="L244" s="81" cm="1">
        <f t="array" ref="L2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1.876388786210454</v>
      </c>
      <c r="M244" s="37">
        <f t="shared" si="23"/>
        <v>3.2119488327514656E-2</v>
      </c>
      <c r="N244" s="43">
        <f t="shared" si="24"/>
        <v>9.2617928064009369E-3</v>
      </c>
      <c r="O244" s="43">
        <f t="shared" si="25"/>
        <v>1.9518462942686776E-2</v>
      </c>
      <c r="P244" s="43">
        <f t="shared" si="26"/>
        <v>0.28835430726544192</v>
      </c>
      <c r="Q244" s="37">
        <f t="shared" si="27"/>
        <v>0.60768287289205014</v>
      </c>
      <c r="R244" s="37">
        <v>6.1000000000000004E-3</v>
      </c>
      <c r="S244" s="44" t="s">
        <v>1394</v>
      </c>
      <c r="T244" s="45">
        <v>3.2218201</v>
      </c>
      <c r="U244" s="45">
        <v>-1.5366363999999999E-2</v>
      </c>
      <c r="V244" s="45">
        <v>4.3038743999999997E-2</v>
      </c>
      <c r="W244" s="45">
        <v>3.0180924000000001E-3</v>
      </c>
      <c r="X244" s="45">
        <v>-1.9606389E-4</v>
      </c>
      <c r="Y244" s="45">
        <v>2.6446283000000001E-5</v>
      </c>
      <c r="Z244" s="36">
        <v>3.43</v>
      </c>
      <c r="AA244" s="38">
        <v>548</v>
      </c>
      <c r="AB244" s="38">
        <v>640</v>
      </c>
      <c r="AC244" s="49" t="s">
        <v>506</v>
      </c>
      <c r="AD244" s="39" t="s">
        <v>1371</v>
      </c>
      <c r="AE244" s="46"/>
    </row>
    <row r="245" spans="1:31" ht="15" thickBot="1">
      <c r="A245" s="34">
        <v>243</v>
      </c>
      <c r="B245" s="34" t="s">
        <v>252</v>
      </c>
      <c r="C245" s="41" t="s">
        <v>1359</v>
      </c>
      <c r="D245" s="34" t="s">
        <v>1070</v>
      </c>
      <c r="E245" s="80">
        <f t="shared" si="21"/>
        <v>1.9520329514219403</v>
      </c>
      <c r="F245" s="35">
        <f t="shared" si="22"/>
        <v>26.196060274550632</v>
      </c>
      <c r="G245" s="42" cm="1">
        <f t="array" ref="G24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25.993651607058858</v>
      </c>
      <c r="H245" s="81" cm="1">
        <f t="array" ref="H2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1.9415768340175512</v>
      </c>
      <c r="I245" s="81" cm="1">
        <f t="array" ref="I2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1.9520329514219403</v>
      </c>
      <c r="J245" s="81" cm="1">
        <f t="array" ref="J2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1.9606065598600864</v>
      </c>
      <c r="K245" s="81" cm="1">
        <f t="array" ref="K2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1.9779194344484579</v>
      </c>
      <c r="L245" s="81" cm="1">
        <f t="array" ref="L2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2.0000930056215505</v>
      </c>
      <c r="M245" s="37">
        <f t="shared" si="23"/>
        <v>3.6342600430906646E-2</v>
      </c>
      <c r="N245" s="43">
        <f t="shared" si="24"/>
        <v>1.045611740438912E-2</v>
      </c>
      <c r="O245" s="43">
        <f t="shared" si="25"/>
        <v>2.2173571173092599E-2</v>
      </c>
      <c r="P245" s="43">
        <f t="shared" si="26"/>
        <v>0.2877096652527093</v>
      </c>
      <c r="Q245" s="37">
        <f t="shared" si="27"/>
        <v>0.6101261580125027</v>
      </c>
      <c r="R245" s="37">
        <v>8.8999999999999999E-3</v>
      </c>
      <c r="S245" s="44" t="s">
        <v>1394</v>
      </c>
      <c r="T245" s="45">
        <v>3.6415592000000001</v>
      </c>
      <c r="U245" s="45">
        <v>-1.7833211000000002E-2</v>
      </c>
      <c r="V245" s="45">
        <v>4.9779099E-2</v>
      </c>
      <c r="W245" s="45">
        <v>4.3665511999999998E-3</v>
      </c>
      <c r="X245" s="45">
        <v>-3.5538802999999998E-4</v>
      </c>
      <c r="Y245" s="45">
        <v>4.0318120000000004E-5</v>
      </c>
      <c r="Z245" s="36">
        <v>4.24</v>
      </c>
      <c r="AA245" s="38">
        <v>662</v>
      </c>
      <c r="AB245" s="38">
        <v>762</v>
      </c>
      <c r="AC245" s="49" t="s">
        <v>506</v>
      </c>
      <c r="AD245" s="39" t="s">
        <v>1371</v>
      </c>
      <c r="AE245" s="46"/>
    </row>
    <row r="246" spans="1:31" ht="15" thickBot="1">
      <c r="A246" s="34">
        <v>244</v>
      </c>
      <c r="B246" s="34" t="s">
        <v>252</v>
      </c>
      <c r="C246" s="41" t="s">
        <v>1359</v>
      </c>
      <c r="D246" s="34" t="s">
        <v>1071</v>
      </c>
      <c r="E246" s="80">
        <f t="shared" si="21"/>
        <v>1.9011015361626489</v>
      </c>
      <c r="F246" s="35">
        <f t="shared" si="22"/>
        <v>27.05863206165559</v>
      </c>
      <c r="G246" s="42" cm="1">
        <f t="array" ref="G24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26.851760654643321</v>
      </c>
      <c r="H246" s="81" cm="1">
        <f t="array" ref="H2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1.8914956187247081</v>
      </c>
      <c r="I246" s="81" cm="1">
        <f t="array" ref="I2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1.9011015361626489</v>
      </c>
      <c r="J246" s="81" cm="1">
        <f t="array" ref="J2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1.9089612790101023</v>
      </c>
      <c r="K246" s="81" cm="1">
        <f t="array" ref="K2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1.9247974328781141</v>
      </c>
      <c r="L246" s="81" cm="1">
        <f t="array" ref="L2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1.9450182468894937</v>
      </c>
      <c r="M246" s="37">
        <f t="shared" si="23"/>
        <v>3.3301814153406051E-2</v>
      </c>
      <c r="N246" s="43">
        <f t="shared" si="24"/>
        <v>9.6059174379408141E-3</v>
      </c>
      <c r="O246" s="43">
        <f t="shared" si="25"/>
        <v>2.022081401137954E-2</v>
      </c>
      <c r="P246" s="43">
        <f t="shared" si="26"/>
        <v>0.28845027462140038</v>
      </c>
      <c r="Q246" s="37">
        <f t="shared" si="27"/>
        <v>0.60719857237301267</v>
      </c>
      <c r="R246" s="37">
        <v>7.6E-3</v>
      </c>
      <c r="S246" s="44" t="s">
        <v>1394</v>
      </c>
      <c r="T246" s="45">
        <v>3.4613307999999998</v>
      </c>
      <c r="U246" s="45">
        <v>-1.5878094000000002E-2</v>
      </c>
      <c r="V246" s="45">
        <v>4.6156752000000002E-2</v>
      </c>
      <c r="W246" s="45">
        <v>3.3927184E-3</v>
      </c>
      <c r="X246" s="45">
        <v>-2.4749934999999999E-4</v>
      </c>
      <c r="Y246" s="45">
        <v>3.1073974999999999E-5</v>
      </c>
      <c r="Z246" s="36">
        <v>3.83</v>
      </c>
      <c r="AA246" s="38">
        <v>647</v>
      </c>
      <c r="AB246" s="38">
        <v>744</v>
      </c>
      <c r="AC246" s="49" t="s">
        <v>506</v>
      </c>
      <c r="AD246" s="39" t="s">
        <v>1371</v>
      </c>
      <c r="AE246" s="46" t="s">
        <v>249</v>
      </c>
    </row>
    <row r="247" spans="1:31" ht="15" thickBot="1">
      <c r="A247" s="34">
        <v>245</v>
      </c>
      <c r="B247" s="34" t="s">
        <v>252</v>
      </c>
      <c r="C247" s="41" t="s">
        <v>1359</v>
      </c>
      <c r="D247" s="34" t="s">
        <v>1072</v>
      </c>
      <c r="E247" s="80">
        <f t="shared" si="21"/>
        <v>1.7704696152700778</v>
      </c>
      <c r="F247" s="35">
        <f t="shared" si="22"/>
        <v>29.736111052887964</v>
      </c>
      <c r="G247" s="42" cm="1">
        <f t="array" ref="G24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29.525280125041842</v>
      </c>
      <c r="H247" s="81" cm="1">
        <f t="array" ref="H2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1.7629296979243472</v>
      </c>
      <c r="I247" s="81" cm="1">
        <f t="array" ref="I2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1.7704696152700778</v>
      </c>
      <c r="J247" s="81" cm="1">
        <f t="array" ref="J2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1.7765966955344255</v>
      </c>
      <c r="K247" s="81" cm="1">
        <f t="array" ref="K2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1.7888399325848157</v>
      </c>
      <c r="L247" s="81" cm="1">
        <f t="array" ref="L2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1.8042605913182603</v>
      </c>
      <c r="M247" s="37">
        <f t="shared" si="23"/>
        <v>2.591023466046849E-2</v>
      </c>
      <c r="N247" s="43">
        <f t="shared" si="24"/>
        <v>7.5399173457306734E-3</v>
      </c>
      <c r="O247" s="43">
        <f t="shared" si="25"/>
        <v>1.542065873344467E-2</v>
      </c>
      <c r="P247" s="43">
        <f t="shared" si="26"/>
        <v>0.2910015074944266</v>
      </c>
      <c r="Q247" s="37">
        <f t="shared" si="27"/>
        <v>0.59515704645362111</v>
      </c>
      <c r="R247" s="37">
        <v>2.9999999999999997E-4</v>
      </c>
      <c r="S247" s="44" t="s">
        <v>1394</v>
      </c>
      <c r="T247" s="45">
        <v>3.0234839999999998</v>
      </c>
      <c r="U247" s="45">
        <v>-1.4446333E-2</v>
      </c>
      <c r="V247" s="45">
        <v>3.4673303000000003E-2</v>
      </c>
      <c r="W247" s="45">
        <v>2.0637437000000001E-3</v>
      </c>
      <c r="X247" s="45">
        <v>-1.1126221999999999E-4</v>
      </c>
      <c r="Y247" s="45">
        <v>1.4468973000000001E-5</v>
      </c>
      <c r="Z247" s="36">
        <v>3.34</v>
      </c>
      <c r="AA247" s="38">
        <v>570</v>
      </c>
      <c r="AB247" s="38">
        <v>671</v>
      </c>
      <c r="AC247" s="49" t="s">
        <v>506</v>
      </c>
      <c r="AD247" s="39" t="s">
        <v>1371</v>
      </c>
      <c r="AE247" s="46" t="s">
        <v>249</v>
      </c>
    </row>
    <row r="248" spans="1:31" ht="15" thickBot="1">
      <c r="A248" s="34">
        <v>246</v>
      </c>
      <c r="B248" s="34" t="s">
        <v>252</v>
      </c>
      <c r="C248" s="41" t="s">
        <v>1359</v>
      </c>
      <c r="D248" s="34" t="s">
        <v>1073</v>
      </c>
      <c r="E248" s="80">
        <f t="shared" si="21"/>
        <v>1.8588333026804367</v>
      </c>
      <c r="F248" s="35">
        <f t="shared" si="22"/>
        <v>29.997502316800631</v>
      </c>
      <c r="G248" s="42" cm="1">
        <f t="array" ref="G24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29.773086888667109</v>
      </c>
      <c r="H248" s="81" cm="1">
        <f t="array" ref="H2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1.8505197619277938</v>
      </c>
      <c r="I248" s="81" cm="1">
        <f t="array" ref="I2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1.8588333026804367</v>
      </c>
      <c r="J248" s="81" cm="1">
        <f t="array" ref="J2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1.865601323103268</v>
      </c>
      <c r="K248" s="81" cm="1">
        <f t="array" ref="K2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1.8791499223194952</v>
      </c>
      <c r="L248" s="81" cm="1">
        <f t="array" ref="L2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1.8962693138480538</v>
      </c>
      <c r="M248" s="37">
        <f t="shared" si="23"/>
        <v>2.8630160391701409E-2</v>
      </c>
      <c r="N248" s="43">
        <f t="shared" si="24"/>
        <v>8.3135407526429006E-3</v>
      </c>
      <c r="O248" s="43">
        <f t="shared" si="25"/>
        <v>1.711939152855857E-2</v>
      </c>
      <c r="P248" s="43">
        <f t="shared" si="26"/>
        <v>0.29037702335236026</v>
      </c>
      <c r="Q248" s="37">
        <f t="shared" si="27"/>
        <v>0.59794955020652651</v>
      </c>
      <c r="R248" s="37">
        <v>3.5999999999999999E-3</v>
      </c>
      <c r="S248" s="44" t="s">
        <v>1394</v>
      </c>
      <c r="T248" s="45">
        <v>3.3241277</v>
      </c>
      <c r="U248" s="45">
        <v>-1.3971809E-2</v>
      </c>
      <c r="V248" s="45">
        <v>4.0932303000000003E-2</v>
      </c>
      <c r="W248" s="45">
        <v>2.2915572000000001E-3</v>
      </c>
      <c r="X248" s="45">
        <v>-1.2906531000000002E-4</v>
      </c>
      <c r="Y248" s="45">
        <v>1.8478848000000001E-5</v>
      </c>
      <c r="Z248" s="36">
        <v>3.75</v>
      </c>
      <c r="AA248" s="38">
        <v>679</v>
      </c>
      <c r="AB248" s="38">
        <v>779</v>
      </c>
      <c r="AC248" s="49" t="s">
        <v>506</v>
      </c>
      <c r="AD248" s="39" t="s">
        <v>1371</v>
      </c>
      <c r="AE248" s="46" t="s">
        <v>249</v>
      </c>
    </row>
    <row r="249" spans="1:31" ht="15" thickBot="1">
      <c r="A249" s="34">
        <v>247</v>
      </c>
      <c r="B249" s="34" t="s">
        <v>252</v>
      </c>
      <c r="C249" s="41" t="s">
        <v>1359</v>
      </c>
      <c r="D249" s="34" t="s">
        <v>1074</v>
      </c>
      <c r="E249" s="80">
        <f t="shared" si="21"/>
        <v>1.7303709119416839</v>
      </c>
      <c r="F249" s="35">
        <f t="shared" si="22"/>
        <v>32.233576623172119</v>
      </c>
      <c r="G249" s="42" cm="1">
        <f t="array" ref="G24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32.004788937026525</v>
      </c>
      <c r="H249" s="81" cm="1">
        <f t="array" ref="H2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1.7237506167233017</v>
      </c>
      <c r="I249" s="81" cm="1">
        <f t="array" ref="I2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1.7303709119416839</v>
      </c>
      <c r="J249" s="81" cm="1">
        <f t="array" ref="J2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1.735733666814117</v>
      </c>
      <c r="K249" s="81" cm="1">
        <f t="array" ref="K2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1.7464093157711955</v>
      </c>
      <c r="L249" s="81" cm="1">
        <f t="array" ref="L2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1.7597774555040666</v>
      </c>
      <c r="M249" s="37">
        <f t="shared" si="23"/>
        <v>2.265869904789386E-2</v>
      </c>
      <c r="N249" s="43">
        <f t="shared" si="24"/>
        <v>6.620295218382255E-3</v>
      </c>
      <c r="O249" s="43">
        <f t="shared" si="25"/>
        <v>1.3368139732871098E-2</v>
      </c>
      <c r="P249" s="43">
        <f t="shared" si="26"/>
        <v>0.2921745509037782</v>
      </c>
      <c r="Q249" s="37">
        <f t="shared" si="27"/>
        <v>0.58997825535414727</v>
      </c>
      <c r="R249" s="37">
        <v>-4.0000000000000002E-4</v>
      </c>
      <c r="S249" s="44" t="s">
        <v>1394</v>
      </c>
      <c r="T249" s="45">
        <v>2.8989349</v>
      </c>
      <c r="U249" s="45">
        <v>-1.3348892000000001E-2</v>
      </c>
      <c r="V249" s="45">
        <v>3.0163481000000002E-2</v>
      </c>
      <c r="W249" s="45">
        <v>1.6257886E-3</v>
      </c>
      <c r="X249" s="45">
        <v>-7.6966547000000004E-5</v>
      </c>
      <c r="Y249" s="45">
        <v>1.0143236000000002E-5</v>
      </c>
      <c r="Z249" s="36">
        <v>3.18</v>
      </c>
      <c r="AA249" s="38">
        <v>560</v>
      </c>
      <c r="AB249" s="38">
        <v>667</v>
      </c>
      <c r="AC249" s="49" t="s">
        <v>506</v>
      </c>
      <c r="AD249" s="39" t="s">
        <v>1371</v>
      </c>
      <c r="AE249" s="46" t="s">
        <v>249</v>
      </c>
    </row>
    <row r="250" spans="1:31" ht="15" thickBot="1">
      <c r="A250" s="34">
        <v>248</v>
      </c>
      <c r="B250" s="34" t="s">
        <v>252</v>
      </c>
      <c r="C250" s="41" t="s">
        <v>1359</v>
      </c>
      <c r="D250" s="34" t="s">
        <v>1075</v>
      </c>
      <c r="E250" s="80">
        <f t="shared" si="21"/>
        <v>1.652527877274788</v>
      </c>
      <c r="F250" s="35">
        <f t="shared" si="22"/>
        <v>39.480592660666296</v>
      </c>
      <c r="G250" s="42" cm="1">
        <f t="array" ref="G25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39.240311855600716</v>
      </c>
      <c r="H250" s="81" cm="1">
        <f t="array" ref="H2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1.6476181376868404</v>
      </c>
      <c r="I250" s="81" cm="1">
        <f t="array" ref="I2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1.652527877274788</v>
      </c>
      <c r="J250" s="81" cm="1">
        <f t="array" ref="J2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1.6564491166990281</v>
      </c>
      <c r="K250" s="81" cm="1">
        <f t="array" ref="K2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1.6641459513112009</v>
      </c>
      <c r="L250" s="81" cm="1">
        <f t="array" ref="L2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1.6736196104275256</v>
      </c>
      <c r="M250" s="37">
        <f t="shared" si="23"/>
        <v>1.652781362436051E-2</v>
      </c>
      <c r="N250" s="43">
        <f t="shared" si="24"/>
        <v>4.9097395879476036E-3</v>
      </c>
      <c r="O250" s="43">
        <f t="shared" si="25"/>
        <v>9.4736591163246953E-3</v>
      </c>
      <c r="P250" s="43">
        <f t="shared" si="26"/>
        <v>0.29705922994624584</v>
      </c>
      <c r="Q250" s="37">
        <f t="shared" si="27"/>
        <v>0.57319493864338922</v>
      </c>
      <c r="R250" s="37">
        <v>-4.1000000000000003E-3</v>
      </c>
      <c r="S250" s="44" t="s">
        <v>1394</v>
      </c>
      <c r="T250" s="45">
        <v>2.6646621000000001</v>
      </c>
      <c r="U250" s="45">
        <v>-1.3407305000000001E-2</v>
      </c>
      <c r="V250" s="45">
        <v>2.2265179999999999E-2</v>
      </c>
      <c r="W250" s="45">
        <v>7.8184254000000005E-4</v>
      </c>
      <c r="X250" s="45">
        <v>-2.1893121999999999E-5</v>
      </c>
      <c r="Y250" s="45">
        <v>4.1616232000000004E-6</v>
      </c>
      <c r="Z250" s="36">
        <v>2.96</v>
      </c>
      <c r="AA250" s="38">
        <v>561</v>
      </c>
      <c r="AB250" s="38">
        <v>671</v>
      </c>
      <c r="AC250" s="49" t="s">
        <v>506</v>
      </c>
      <c r="AD250" s="39" t="s">
        <v>1371</v>
      </c>
      <c r="AE250" s="46" t="s">
        <v>249</v>
      </c>
    </row>
    <row r="251" spans="1:31" ht="15" thickBot="1">
      <c r="A251" s="34">
        <v>249</v>
      </c>
      <c r="B251" s="34" t="s">
        <v>252</v>
      </c>
      <c r="C251" s="41" t="s">
        <v>1358</v>
      </c>
      <c r="D251" s="34" t="s">
        <v>1076</v>
      </c>
      <c r="E251" s="80">
        <f t="shared" si="21"/>
        <v>1.7725000289724715</v>
      </c>
      <c r="F251" s="35">
        <f t="shared" si="22"/>
        <v>49.624875383815862</v>
      </c>
      <c r="G251" s="42" cm="1">
        <f t="array" ref="G25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49.392546621463609</v>
      </c>
      <c r="H251" s="81" cm="1">
        <f t="array" ref="H2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1.7677965599868546</v>
      </c>
      <c r="I251" s="81" cm="1">
        <f t="array" ref="I2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1.7725000289724715</v>
      </c>
      <c r="J251" s="81" cm="1">
        <f t="array" ref="J2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1.7762086543674644</v>
      </c>
      <c r="K251" s="81" cm="1">
        <f t="array" ref="K2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1.7833633502910657</v>
      </c>
      <c r="L251" s="81" cm="1">
        <f t="array" ref="L2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1.7919312518159123</v>
      </c>
      <c r="M251" s="37">
        <f t="shared" si="23"/>
        <v>1.5566790304211153E-2</v>
      </c>
      <c r="N251" s="43">
        <f t="shared" si="24"/>
        <v>4.7034689856169098E-3</v>
      </c>
      <c r="O251" s="43">
        <f t="shared" si="25"/>
        <v>8.567901524846544E-3</v>
      </c>
      <c r="P251" s="43">
        <f t="shared" si="26"/>
        <v>0.30214764210863171</v>
      </c>
      <c r="Q251" s="37">
        <f t="shared" si="27"/>
        <v>0.55039615472489156</v>
      </c>
      <c r="R251" s="37">
        <v>-8.6E-3</v>
      </c>
      <c r="S251" s="44" t="s">
        <v>1394</v>
      </c>
      <c r="T251" s="45">
        <v>3.0736378000000002</v>
      </c>
      <c r="U251" s="45">
        <v>-1.5501284000000001E-2</v>
      </c>
      <c r="V251" s="45">
        <v>2.3627699000000002E-2</v>
      </c>
      <c r="W251" s="45">
        <v>6.6300852000000007E-4</v>
      </c>
      <c r="X251" s="45">
        <v>-2.8353438000000003E-5</v>
      </c>
      <c r="Y251" s="45">
        <v>2.2090798999999997E-6</v>
      </c>
      <c r="Z251" s="36">
        <v>4.28</v>
      </c>
      <c r="AA251" s="38">
        <v>655</v>
      </c>
      <c r="AB251" s="38">
        <v>719</v>
      </c>
      <c r="AC251" s="49" t="s">
        <v>506</v>
      </c>
      <c r="AD251" s="39" t="s">
        <v>1371</v>
      </c>
      <c r="AE251" s="46" t="s">
        <v>249</v>
      </c>
    </row>
    <row r="252" spans="1:31" ht="15" thickBot="1">
      <c r="A252" s="34">
        <v>250</v>
      </c>
      <c r="B252" s="34" t="s">
        <v>252</v>
      </c>
      <c r="C252" s="41" t="s">
        <v>1358</v>
      </c>
      <c r="D252" s="34" t="s">
        <v>1077</v>
      </c>
      <c r="E252" s="80">
        <f t="shared" si="21"/>
        <v>1.8041982819065512</v>
      </c>
      <c r="F252" s="35">
        <f t="shared" si="22"/>
        <v>46.503255543176344</v>
      </c>
      <c r="G252" s="42" cm="1">
        <f t="array" ref="G25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46.257927132531691</v>
      </c>
      <c r="H252" s="81" cm="1">
        <f t="array" ref="H2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1.7990049302905442</v>
      </c>
      <c r="I252" s="81" cm="1">
        <f t="array" ref="I2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1.8041982819065512</v>
      </c>
      <c r="J252" s="81" cm="1">
        <f t="array" ref="J2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1.8083138459285482</v>
      </c>
      <c r="K252" s="81" cm="1">
        <f t="array" ref="K2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1.8162983062598865</v>
      </c>
      <c r="L252" s="81" cm="1">
        <f t="array" ref="L2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1.8259356110717715</v>
      </c>
      <c r="M252" s="37">
        <f t="shared" si="23"/>
        <v>1.7293375969342328E-2</v>
      </c>
      <c r="N252" s="43">
        <f t="shared" si="24"/>
        <v>5.1933516160069804E-3</v>
      </c>
      <c r="O252" s="43">
        <f t="shared" si="25"/>
        <v>9.6373048118849614E-3</v>
      </c>
      <c r="P252" s="43">
        <f t="shared" si="26"/>
        <v>0.30030872081967952</v>
      </c>
      <c r="Q252" s="37">
        <f t="shared" si="27"/>
        <v>0.55728302148579667</v>
      </c>
      <c r="R252" s="37">
        <v>-7.4000000000000003E-3</v>
      </c>
      <c r="S252" s="44" t="s">
        <v>1394</v>
      </c>
      <c r="T252" s="45">
        <v>3.1753369999999999</v>
      </c>
      <c r="U252" s="45">
        <v>-1.4107601000000001E-2</v>
      </c>
      <c r="V252" s="45">
        <v>2.7860900000000001E-2</v>
      </c>
      <c r="W252" s="45">
        <v>4.0102824000000007E-4</v>
      </c>
      <c r="X252" s="45">
        <v>2.4504764000000001E-5</v>
      </c>
      <c r="Y252" s="45">
        <v>2.4435731000000002E-8</v>
      </c>
      <c r="Z252" s="36">
        <v>4.4000000000000004</v>
      </c>
      <c r="AA252" s="38">
        <v>692</v>
      </c>
      <c r="AB252" s="38">
        <v>749</v>
      </c>
      <c r="AC252" s="49" t="s">
        <v>506</v>
      </c>
      <c r="AD252" s="39" t="s">
        <v>1371</v>
      </c>
      <c r="AE252" s="46" t="s">
        <v>249</v>
      </c>
    </row>
    <row r="253" spans="1:31" ht="15" thickBot="1">
      <c r="A253" s="34">
        <v>251</v>
      </c>
      <c r="B253" s="34" t="s">
        <v>252</v>
      </c>
      <c r="C253" s="41" t="s">
        <v>1358</v>
      </c>
      <c r="D253" s="34" t="s">
        <v>1078</v>
      </c>
      <c r="E253" s="80">
        <f t="shared" si="21"/>
        <v>1.790907279656079</v>
      </c>
      <c r="F253" s="35">
        <f t="shared" si="22"/>
        <v>48.092545518103357</v>
      </c>
      <c r="G253" s="42" cm="1">
        <f t="array" ref="G25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47.84440698253934</v>
      </c>
      <c r="H253" s="81" cm="1">
        <f t="array" ref="H2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1.7859603160050075</v>
      </c>
      <c r="I253" s="81" cm="1">
        <f t="array" ref="I2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1.790907279656079</v>
      </c>
      <c r="J253" s="81" cm="1">
        <f t="array" ref="J2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1.794823316961019</v>
      </c>
      <c r="K253" s="81" cm="1">
        <f t="array" ref="K2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1.8024058435007055</v>
      </c>
      <c r="L253" s="81" cm="1">
        <f t="array" ref="L2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1.8115232115447495</v>
      </c>
      <c r="M253" s="37">
        <f t="shared" si="23"/>
        <v>1.6445527495698053E-2</v>
      </c>
      <c r="N253" s="43">
        <f t="shared" si="24"/>
        <v>4.9469636510715009E-3</v>
      </c>
      <c r="O253" s="43">
        <f t="shared" si="25"/>
        <v>9.1173680440439497E-3</v>
      </c>
      <c r="P253" s="43">
        <f t="shared" si="26"/>
        <v>0.3008090590201844</v>
      </c>
      <c r="Q253" s="37">
        <f t="shared" si="27"/>
        <v>0.55439802988556863</v>
      </c>
      <c r="R253" s="37">
        <v>-7.4000000000000003E-3</v>
      </c>
      <c r="S253" s="44" t="s">
        <v>1394</v>
      </c>
      <c r="T253" s="45">
        <v>3.1330828999999998</v>
      </c>
      <c r="U253" s="45">
        <v>-1.4211012E-2</v>
      </c>
      <c r="V253" s="45">
        <v>2.5642637999999999E-2</v>
      </c>
      <c r="W253" s="45">
        <v>6.0075458000000007E-4</v>
      </c>
      <c r="X253" s="45">
        <v>-9.8658560000000012E-6</v>
      </c>
      <c r="Y253" s="45">
        <v>1.3351789000000001E-6</v>
      </c>
      <c r="Z253" s="36">
        <v>4.3899999999999997</v>
      </c>
      <c r="AA253" s="38">
        <v>678</v>
      </c>
      <c r="AB253" s="38">
        <v>742</v>
      </c>
      <c r="AC253" s="49" t="s">
        <v>506</v>
      </c>
      <c r="AD253" s="39" t="s">
        <v>1371</v>
      </c>
      <c r="AE253" s="46" t="s">
        <v>249</v>
      </c>
    </row>
    <row r="254" spans="1:31" ht="15" thickBot="1">
      <c r="A254" s="34">
        <v>252</v>
      </c>
      <c r="B254" s="34" t="s">
        <v>252</v>
      </c>
      <c r="C254" s="41" t="s">
        <v>1358</v>
      </c>
      <c r="D254" s="34" t="s">
        <v>1079</v>
      </c>
      <c r="E254" s="80">
        <f t="shared" si="21"/>
        <v>1.8348069604884218</v>
      </c>
      <c r="F254" s="35">
        <f t="shared" si="22"/>
        <v>42.721978746063002</v>
      </c>
      <c r="G254" s="42" cm="1">
        <f t="array" ref="G25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42.470507946722797</v>
      </c>
      <c r="H254" s="81" cm="1">
        <f t="array" ref="H2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1.8289820439329258</v>
      </c>
      <c r="I254" s="81" cm="1">
        <f t="array" ref="I2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1.8348069604884218</v>
      </c>
      <c r="J254" s="81" cm="1">
        <f t="array" ref="J2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1.839452120099383</v>
      </c>
      <c r="K254" s="81" cm="1">
        <f t="array" ref="K2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1.8485225002739223</v>
      </c>
      <c r="L254" s="81" cm="1">
        <f t="array" ref="L2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1.8595586961673434</v>
      </c>
      <c r="M254" s="37">
        <f t="shared" si="23"/>
        <v>1.9540456340996437E-2</v>
      </c>
      <c r="N254" s="43">
        <f t="shared" si="24"/>
        <v>5.8249165554959959E-3</v>
      </c>
      <c r="O254" s="43">
        <f t="shared" si="25"/>
        <v>1.1036195893421086E-2</v>
      </c>
      <c r="P254" s="43">
        <f t="shared" si="26"/>
        <v>0.29809521609150724</v>
      </c>
      <c r="Q254" s="37">
        <f t="shared" si="27"/>
        <v>0.56478700910719426</v>
      </c>
      <c r="R254" s="37">
        <v>-6.7000000000000002E-3</v>
      </c>
      <c r="S254" s="44" t="s">
        <v>1394</v>
      </c>
      <c r="T254" s="45">
        <v>3.2756799000000001</v>
      </c>
      <c r="U254" s="45">
        <v>-1.4485625E-2</v>
      </c>
      <c r="V254" s="45">
        <v>3.0780102E-2</v>
      </c>
      <c r="W254" s="45">
        <v>7.8915515000000009E-4</v>
      </c>
      <c r="X254" s="45">
        <v>-4.0810228999999992E-6</v>
      </c>
      <c r="Y254" s="45">
        <v>2.2273964999999996E-6</v>
      </c>
      <c r="Z254" s="36">
        <v>4.57</v>
      </c>
      <c r="AA254" s="38">
        <v>673</v>
      </c>
      <c r="AB254" s="38">
        <v>738</v>
      </c>
      <c r="AC254" s="49" t="s">
        <v>506</v>
      </c>
      <c r="AD254" s="39" t="s">
        <v>1371</v>
      </c>
      <c r="AE254" s="46" t="s">
        <v>1367</v>
      </c>
    </row>
    <row r="255" spans="1:31" ht="15" thickBot="1">
      <c r="A255" s="34">
        <v>253</v>
      </c>
      <c r="B255" s="34" t="s">
        <v>252</v>
      </c>
      <c r="C255" s="41" t="s">
        <v>1358</v>
      </c>
      <c r="D255" s="34" t="s">
        <v>1080</v>
      </c>
      <c r="E255" s="80">
        <f t="shared" si="21"/>
        <v>1.9036604858582749</v>
      </c>
      <c r="F255" s="35">
        <f t="shared" si="22"/>
        <v>31.316455987633621</v>
      </c>
      <c r="G255" s="42" cm="1">
        <f t="array" ref="G25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31.081328153701424</v>
      </c>
      <c r="H255" s="81" cm="1">
        <f t="array" ref="H2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1.8952631424615958</v>
      </c>
      <c r="I255" s="81" cm="1">
        <f t="array" ref="I2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1.9036604858582749</v>
      </c>
      <c r="J255" s="81" cm="1">
        <f t="array" ref="J2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1.9104840226110156</v>
      </c>
      <c r="K255" s="81" cm="1">
        <f t="array" ref="K2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1.9241189135684897</v>
      </c>
      <c r="L255" s="81" cm="1">
        <f t="array" ref="L2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1.9413151601077239</v>
      </c>
      <c r="M255" s="37">
        <f t="shared" si="23"/>
        <v>2.8855771106893968E-2</v>
      </c>
      <c r="N255" s="43">
        <f t="shared" si="24"/>
        <v>8.39734339667908E-3</v>
      </c>
      <c r="O255" s="43">
        <f t="shared" si="25"/>
        <v>1.7196246539234128E-2</v>
      </c>
      <c r="P255" s="43">
        <f t="shared" si="26"/>
        <v>0.29101088186386603</v>
      </c>
      <c r="Q255" s="37">
        <f t="shared" si="27"/>
        <v>0.59593786198025922</v>
      </c>
      <c r="R255" s="37">
        <v>4.0000000000000001E-3</v>
      </c>
      <c r="S255" s="44" t="s">
        <v>1394</v>
      </c>
      <c r="T255" s="45">
        <v>3.4892744000000002</v>
      </c>
      <c r="U255" s="45">
        <v>-1.5818545999999999E-2</v>
      </c>
      <c r="V255" s="45">
        <v>4.2076776999999996E-2</v>
      </c>
      <c r="W255" s="45">
        <v>2.4534904000000001E-3</v>
      </c>
      <c r="X255" s="45">
        <v>-1.5625006000000001E-4</v>
      </c>
      <c r="Y255" s="45">
        <v>2.0463710000000003E-5</v>
      </c>
      <c r="Z255" s="36">
        <v>4.4000000000000004</v>
      </c>
      <c r="AA255" s="38">
        <v>648</v>
      </c>
      <c r="AB255" s="38">
        <v>724</v>
      </c>
      <c r="AC255" s="49" t="s">
        <v>506</v>
      </c>
      <c r="AD255" s="39" t="s">
        <v>1371</v>
      </c>
      <c r="AE255" s="46" t="s">
        <v>1367</v>
      </c>
    </row>
    <row r="256" spans="1:31" ht="15" thickBot="1">
      <c r="A256" s="34">
        <v>254</v>
      </c>
      <c r="B256" s="34" t="s">
        <v>252</v>
      </c>
      <c r="C256" s="41" t="s">
        <v>1358</v>
      </c>
      <c r="D256" s="34" t="s">
        <v>1081</v>
      </c>
      <c r="E256" s="80">
        <f t="shared" si="21"/>
        <v>1.9036579501459721</v>
      </c>
      <c r="F256" s="35">
        <f t="shared" si="22"/>
        <v>31.315405811530198</v>
      </c>
      <c r="G256" s="42" cm="1">
        <f t="array" ref="G25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31.080935978412114</v>
      </c>
      <c r="H256" s="81" cm="1">
        <f t="array" ref="H2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1.8952618127669951</v>
      </c>
      <c r="I256" s="81" cm="1">
        <f t="array" ref="I2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1.9036579501459721</v>
      </c>
      <c r="J256" s="81" cm="1">
        <f t="array" ref="J2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1.9104834710152816</v>
      </c>
      <c r="K256" s="81" cm="1">
        <f t="array" ref="K2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1.9241184705917278</v>
      </c>
      <c r="L256" s="81" cm="1">
        <f t="array" ref="L2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1.9412831920270788</v>
      </c>
      <c r="M256" s="37">
        <f t="shared" si="23"/>
        <v>2.8856657824732679E-2</v>
      </c>
      <c r="N256" s="43">
        <f t="shared" si="24"/>
        <v>8.3961373789769311E-3</v>
      </c>
      <c r="O256" s="43">
        <f t="shared" si="25"/>
        <v>1.7164721435350971E-2</v>
      </c>
      <c r="P256" s="43">
        <f t="shared" si="26"/>
        <v>0.29096014618091731</v>
      </c>
      <c r="Q256" s="37">
        <f t="shared" si="27"/>
        <v>0.59482707732838358</v>
      </c>
      <c r="R256" s="37">
        <v>2.8E-3</v>
      </c>
      <c r="S256" s="44" t="s">
        <v>1394</v>
      </c>
      <c r="T256" s="45">
        <v>3.4905528000000001</v>
      </c>
      <c r="U256" s="45">
        <v>-1.6325770999999999E-2</v>
      </c>
      <c r="V256" s="45">
        <v>4.1146321999999999E-2</v>
      </c>
      <c r="W256" s="45">
        <v>2.7169123999999998E-3</v>
      </c>
      <c r="X256" s="45">
        <v>-1.8260518E-4</v>
      </c>
      <c r="Y256" s="45">
        <v>2.0641862000000002E-5</v>
      </c>
      <c r="Z256" s="36">
        <v>4.51</v>
      </c>
      <c r="AA256" s="38">
        <v>655</v>
      </c>
      <c r="AB256" s="38">
        <v>735</v>
      </c>
      <c r="AC256" s="49" t="s">
        <v>506</v>
      </c>
      <c r="AD256" s="49" t="s">
        <v>506</v>
      </c>
      <c r="AE256" s="46" t="s">
        <v>249</v>
      </c>
    </row>
    <row r="257" spans="1:31" ht="15" thickBot="1">
      <c r="A257" s="34">
        <v>255</v>
      </c>
      <c r="B257" s="34" t="s">
        <v>252</v>
      </c>
      <c r="C257" s="41" t="s">
        <v>1358</v>
      </c>
      <c r="D257" s="34" t="s">
        <v>1082</v>
      </c>
      <c r="E257" s="80">
        <f t="shared" si="21"/>
        <v>1.8829998199437255</v>
      </c>
      <c r="F257" s="35">
        <f t="shared" si="22"/>
        <v>40.80589970331615</v>
      </c>
      <c r="G257" s="42" cm="1">
        <f t="array" ref="G25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40.561419529011815</v>
      </c>
      <c r="H257" s="81" cm="1">
        <f t="array" ref="H2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1.8765692413387016</v>
      </c>
      <c r="I257" s="81" cm="1">
        <f t="array" ref="I2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1.8829998199437255</v>
      </c>
      <c r="J257" s="81" cm="1">
        <f t="array" ref="J2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1.8881450353872336</v>
      </c>
      <c r="K257" s="81" cm="1">
        <f t="array" ref="K2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1.898208264773148</v>
      </c>
      <c r="L257" s="81" cm="1">
        <f t="array" ref="L2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1.9104469564170472</v>
      </c>
      <c r="M257" s="37">
        <f t="shared" si="23"/>
        <v>2.1639023434446347E-2</v>
      </c>
      <c r="N257" s="43">
        <f t="shared" si="24"/>
        <v>6.4305786050238289E-3</v>
      </c>
      <c r="O257" s="43">
        <f t="shared" si="25"/>
        <v>1.2238691643899235E-2</v>
      </c>
      <c r="P257" s="43">
        <f t="shared" si="26"/>
        <v>0.29717508391747627</v>
      </c>
      <c r="Q257" s="37">
        <f t="shared" si="27"/>
        <v>0.56558428715488718</v>
      </c>
      <c r="R257" s="37">
        <v>-9.2999999999999992E-3</v>
      </c>
      <c r="S257" s="44" t="s">
        <v>1394</v>
      </c>
      <c r="T257" s="45">
        <v>3.4419038</v>
      </c>
      <c r="U257" s="45">
        <v>-1.4175245000000001E-2</v>
      </c>
      <c r="V257" s="45">
        <v>3.4351039999999999E-2</v>
      </c>
      <c r="W257" s="45">
        <v>1.1752271000000001E-3</v>
      </c>
      <c r="X257" s="45">
        <v>-3.9010343000000006E-5</v>
      </c>
      <c r="Y257" s="45">
        <v>3.7417053999999998E-6</v>
      </c>
      <c r="Z257" s="36">
        <v>5.42</v>
      </c>
      <c r="AA257" s="38">
        <v>695</v>
      </c>
      <c r="AB257" s="38">
        <v>788</v>
      </c>
      <c r="AC257" s="49" t="s">
        <v>506</v>
      </c>
      <c r="AD257" s="39" t="s">
        <v>1371</v>
      </c>
      <c r="AE257" s="46" t="s">
        <v>249</v>
      </c>
    </row>
    <row r="258" spans="1:31" ht="15" thickBot="1">
      <c r="A258" s="34">
        <v>256</v>
      </c>
      <c r="B258" s="34" t="s">
        <v>252</v>
      </c>
      <c r="C258" s="41" t="s">
        <v>1358</v>
      </c>
      <c r="D258" s="34" t="s">
        <v>1083</v>
      </c>
      <c r="E258" s="80">
        <f t="shared" si="21"/>
        <v>1.8707046284531905</v>
      </c>
      <c r="F258" s="35">
        <f t="shared" si="22"/>
        <v>40.729127336868537</v>
      </c>
      <c r="G258" s="42" cm="1">
        <f t="array" ref="G25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40.478644833819295</v>
      </c>
      <c r="H258" s="81" cm="1">
        <f t="array" ref="H2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1.8643561016214578</v>
      </c>
      <c r="I258" s="81" cm="1">
        <f t="array" ref="I2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1.8707046284531905</v>
      </c>
      <c r="J258" s="81" cm="1">
        <f t="array" ref="J2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1.8757847176037923</v>
      </c>
      <c r="K258" s="81" cm="1">
        <f t="array" ref="K2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1.8857340364161721</v>
      </c>
      <c r="L258" s="81" cm="1">
        <f t="array" ref="L2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1.8978824388999518</v>
      </c>
      <c r="M258" s="37">
        <f t="shared" si="23"/>
        <v>2.1377934794714282E-2</v>
      </c>
      <c r="N258" s="43">
        <f t="shared" si="24"/>
        <v>6.3485268317327037E-3</v>
      </c>
      <c r="O258" s="43">
        <f t="shared" si="25"/>
        <v>1.2148402483779686E-2</v>
      </c>
      <c r="P258" s="43">
        <f t="shared" si="26"/>
        <v>0.2969663296616652</v>
      </c>
      <c r="Q258" s="37">
        <f t="shared" si="27"/>
        <v>0.56826829160239523</v>
      </c>
      <c r="R258" s="37">
        <v>-6.7999999999999996E-3</v>
      </c>
      <c r="S258" s="44" t="s">
        <v>1394</v>
      </c>
      <c r="T258" s="45">
        <v>3.3961079999999999</v>
      </c>
      <c r="U258" s="45">
        <v>-1.3087065E-2</v>
      </c>
      <c r="V258" s="45">
        <v>3.4853516000000001E-2</v>
      </c>
      <c r="W258" s="45">
        <v>7.9083177000000004E-4</v>
      </c>
      <c r="X258" s="45">
        <v>7.6995212000000004E-6</v>
      </c>
      <c r="Y258" s="45">
        <v>2.3516741999999999E-6</v>
      </c>
      <c r="Z258" s="36">
        <v>4.84</v>
      </c>
      <c r="AA258" s="38">
        <v>717</v>
      </c>
      <c r="AB258" s="38">
        <v>791</v>
      </c>
      <c r="AC258" s="49" t="s">
        <v>506</v>
      </c>
      <c r="AD258" s="39" t="s">
        <v>1371</v>
      </c>
      <c r="AE258" s="46" t="s">
        <v>249</v>
      </c>
    </row>
    <row r="259" spans="1:31" ht="15" thickBot="1">
      <c r="A259" s="34">
        <v>257</v>
      </c>
      <c r="B259" s="34" t="s">
        <v>252</v>
      </c>
      <c r="C259" s="41" t="s">
        <v>1358</v>
      </c>
      <c r="D259" s="34" t="s">
        <v>1084</v>
      </c>
      <c r="E259" s="80">
        <f t="shared" ref="E259:E322" si="28">I259</f>
        <v>1.8810032505126333</v>
      </c>
      <c r="F259" s="35">
        <f t="shared" ref="F259:F322" si="29">(I259-1)/M259</f>
        <v>40.139291469484768</v>
      </c>
      <c r="G259" s="42" cm="1">
        <f t="array" ref="G25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39.886324985441036</v>
      </c>
      <c r="H259" s="81" cm="1">
        <f t="array" ref="H2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1.8744958122796198</v>
      </c>
      <c r="I259" s="81" cm="1">
        <f t="array" ref="I2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1.8810032505126333</v>
      </c>
      <c r="J259" s="81" cm="1">
        <f t="array" ref="J2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1.886217468238518</v>
      </c>
      <c r="K259" s="81" cm="1">
        <f t="array" ref="K2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1.896444462050441</v>
      </c>
      <c r="L259" s="81" cm="1">
        <f t="array" ref="L2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1.9089578324446284</v>
      </c>
      <c r="M259" s="37">
        <f t="shared" ref="M259:M322" si="30">K259-H259</f>
        <v>2.1948649770821227E-2</v>
      </c>
      <c r="N259" s="43">
        <f t="shared" ref="N259:N322" si="31">I259-H259</f>
        <v>6.5074382330134739E-3</v>
      </c>
      <c r="O259" s="43">
        <f t="shared" ref="O259:O322" si="32">L259-K259</f>
        <v>1.2513370394187318E-2</v>
      </c>
      <c r="P259" s="43">
        <f t="shared" ref="P259:P322" si="33">(I259-H259)/M259</f>
        <v>0.29648467222182079</v>
      </c>
      <c r="Q259" s="37">
        <f t="shared" ref="Q259:Q322" si="34">(L259-K259)/M259</f>
        <v>0.57012028187823782</v>
      </c>
      <c r="R259" s="37">
        <v>-6.0000000000000001E-3</v>
      </c>
      <c r="S259" s="44" t="s">
        <v>1394</v>
      </c>
      <c r="T259" s="45">
        <v>3.4316955</v>
      </c>
      <c r="U259" s="45">
        <v>-1.3156273000000001E-2</v>
      </c>
      <c r="V259" s="45">
        <v>3.5631862E-2</v>
      </c>
      <c r="W259" s="45">
        <v>9.1378108999999998E-4</v>
      </c>
      <c r="X259" s="45">
        <v>-4.0366886E-6</v>
      </c>
      <c r="Y259" s="45">
        <v>3.3867687999999998E-6</v>
      </c>
      <c r="Z259" s="36">
        <v>5.4</v>
      </c>
      <c r="AA259" s="38">
        <v>718</v>
      </c>
      <c r="AB259" s="38">
        <v>798</v>
      </c>
      <c r="AC259" s="49" t="s">
        <v>506</v>
      </c>
      <c r="AD259" s="39" t="s">
        <v>1371</v>
      </c>
      <c r="AE259" s="46" t="s">
        <v>249</v>
      </c>
    </row>
    <row r="260" spans="1:31" ht="15" thickBot="1">
      <c r="A260" s="34">
        <v>258</v>
      </c>
      <c r="B260" s="34" t="s">
        <v>252</v>
      </c>
      <c r="C260" s="41" t="s">
        <v>1358</v>
      </c>
      <c r="D260" s="34" t="s">
        <v>1085</v>
      </c>
      <c r="E260" s="80">
        <f t="shared" si="28"/>
        <v>1.850326099012167</v>
      </c>
      <c r="F260" s="35">
        <f t="shared" si="29"/>
        <v>42.696799468454238</v>
      </c>
      <c r="G260" s="42" cm="1">
        <f t="array" ref="G26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42.441806161731208</v>
      </c>
      <c r="H260" s="81" cm="1">
        <f t="array" ref="H2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1.8443944683972773</v>
      </c>
      <c r="I260" s="81" cm="1">
        <f t="array" ref="I2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1.850326099012167</v>
      </c>
      <c r="J260" s="81" cm="1">
        <f t="array" ref="J2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1.8550615288127155</v>
      </c>
      <c r="K260" s="81" cm="1">
        <f t="array" ref="K2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1.8643099213023695</v>
      </c>
      <c r="L260" s="81" cm="1">
        <f t="array" ref="L2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1.8755541338192716</v>
      </c>
      <c r="M260" s="37">
        <f t="shared" si="30"/>
        <v>1.9915452905092224E-2</v>
      </c>
      <c r="N260" s="43">
        <f t="shared" si="31"/>
        <v>5.9316306148897713E-3</v>
      </c>
      <c r="O260" s="43">
        <f t="shared" si="32"/>
        <v>1.1244212516902108E-2</v>
      </c>
      <c r="P260" s="43">
        <f t="shared" si="33"/>
        <v>0.29784060865485518</v>
      </c>
      <c r="Q260" s="37">
        <f t="shared" si="34"/>
        <v>0.56459737925553533</v>
      </c>
      <c r="R260" s="37">
        <v>-6.8999999999999999E-3</v>
      </c>
      <c r="S260" s="44" t="s">
        <v>1394</v>
      </c>
      <c r="T260" s="45">
        <v>3.3289859000000002</v>
      </c>
      <c r="U260" s="45">
        <v>-1.3264806000000001E-2</v>
      </c>
      <c r="V260" s="45">
        <v>3.199523E-2</v>
      </c>
      <c r="W260" s="45">
        <v>7.8100263999999998E-4</v>
      </c>
      <c r="X260" s="45">
        <v>-3.3508732999999997E-6</v>
      </c>
      <c r="Y260" s="45">
        <v>2.1352231999999998E-6</v>
      </c>
      <c r="Z260" s="36">
        <v>4.9400000000000004</v>
      </c>
      <c r="AA260" s="38">
        <v>695</v>
      </c>
      <c r="AB260" s="38">
        <v>773</v>
      </c>
      <c r="AC260" s="49" t="s">
        <v>506</v>
      </c>
      <c r="AD260" s="39" t="s">
        <v>1371</v>
      </c>
      <c r="AE260" s="46" t="s">
        <v>249</v>
      </c>
    </row>
    <row r="261" spans="1:31" ht="15" thickBot="1">
      <c r="A261" s="34">
        <v>259</v>
      </c>
      <c r="B261" s="34" t="s">
        <v>252</v>
      </c>
      <c r="C261" s="41" t="s">
        <v>1358</v>
      </c>
      <c r="D261" s="34" t="s">
        <v>1086</v>
      </c>
      <c r="E261" s="80">
        <f t="shared" si="28"/>
        <v>1.910817371211933</v>
      </c>
      <c r="F261" s="35">
        <f t="shared" si="29"/>
        <v>35.254469705422579</v>
      </c>
      <c r="G261" s="42" cm="1">
        <f t="array" ref="G26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35.006712340685191</v>
      </c>
      <c r="H261" s="81" cm="1">
        <f t="array" ref="H2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1.9032352348666504</v>
      </c>
      <c r="I261" s="81" cm="1">
        <f t="array" ref="I2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1.910817371211933</v>
      </c>
      <c r="J261" s="81" cm="1">
        <f t="array" ref="J2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1.9169408447010432</v>
      </c>
      <c r="K261" s="81" cm="1">
        <f t="array" ref="K2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1.9290707495920878</v>
      </c>
      <c r="L261" s="81" cm="1">
        <f t="array" ref="L2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1.9441422513231523</v>
      </c>
      <c r="M261" s="37">
        <f t="shared" si="30"/>
        <v>2.5835514725437436E-2</v>
      </c>
      <c r="N261" s="43">
        <f t="shared" si="31"/>
        <v>7.5821363452825974E-3</v>
      </c>
      <c r="O261" s="43">
        <f t="shared" si="32"/>
        <v>1.5071501731064529E-2</v>
      </c>
      <c r="P261" s="43">
        <f t="shared" si="33"/>
        <v>0.29347727056574907</v>
      </c>
      <c r="Q261" s="37">
        <f t="shared" si="34"/>
        <v>0.58336371042862378</v>
      </c>
      <c r="R261" s="37">
        <v>-1.6000000000000001E-3</v>
      </c>
      <c r="S261" s="44" t="s">
        <v>1394</v>
      </c>
      <c r="T261" s="45">
        <v>3.5269868</v>
      </c>
      <c r="U261" s="45">
        <v>-1.4402448000000002E-2</v>
      </c>
      <c r="V261" s="45">
        <v>4.0047917999999995E-2</v>
      </c>
      <c r="W261" s="45">
        <v>1.6950661000000001E-3</v>
      </c>
      <c r="X261" s="45">
        <v>-7.3210898999999998E-5</v>
      </c>
      <c r="Y261" s="45">
        <v>1.0814479E-5</v>
      </c>
      <c r="Z261" s="36">
        <v>4.8499999999999996</v>
      </c>
      <c r="AA261" s="38">
        <v>697</v>
      </c>
      <c r="AB261" s="38">
        <v>785</v>
      </c>
      <c r="AC261" s="49" t="s">
        <v>506</v>
      </c>
      <c r="AD261" s="39" t="s">
        <v>1371</v>
      </c>
      <c r="AE261" s="46" t="s">
        <v>1367</v>
      </c>
    </row>
    <row r="262" spans="1:31" ht="15" thickBot="1">
      <c r="A262" s="34">
        <v>260</v>
      </c>
      <c r="B262" s="34" t="s">
        <v>252</v>
      </c>
      <c r="C262" s="41" t="s">
        <v>1358</v>
      </c>
      <c r="D262" s="34" t="s">
        <v>1087</v>
      </c>
      <c r="E262" s="80">
        <f t="shared" si="28"/>
        <v>1.9004298177460524</v>
      </c>
      <c r="F262" s="35">
        <f t="shared" si="29"/>
        <v>37.372901722499975</v>
      </c>
      <c r="G262" s="42" cm="1">
        <f t="array" ref="G26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37.123113503365495</v>
      </c>
      <c r="H262" s="81" cm="1">
        <f t="array" ref="H2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1.8933260531486942</v>
      </c>
      <c r="I262" s="81" cm="1">
        <f t="array" ref="I2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1.9004298177460524</v>
      </c>
      <c r="J262" s="81" cm="1">
        <f t="array" ref="J2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1.906146979951765</v>
      </c>
      <c r="K262" s="81" cm="1">
        <f t="array" ref="K2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1.9174191734643682</v>
      </c>
      <c r="L262" s="81" cm="1">
        <f t="array" ref="L2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1.9313135915835375</v>
      </c>
      <c r="M262" s="37">
        <f t="shared" si="30"/>
        <v>2.409312031567401E-2</v>
      </c>
      <c r="N262" s="43">
        <f t="shared" si="31"/>
        <v>7.1037645973581753E-3</v>
      </c>
      <c r="O262" s="43">
        <f t="shared" si="32"/>
        <v>1.3894418119169361E-2</v>
      </c>
      <c r="P262" s="43">
        <f t="shared" si="33"/>
        <v>0.29484618448266137</v>
      </c>
      <c r="Q262" s="37">
        <f t="shared" si="34"/>
        <v>0.57669649829998204</v>
      </c>
      <c r="R262" s="37">
        <v>-4.4000000000000003E-3</v>
      </c>
      <c r="S262" s="44" t="s">
        <v>1394</v>
      </c>
      <c r="T262" s="45">
        <v>3.4958125</v>
      </c>
      <c r="U262" s="45">
        <v>-1.4342354E-2</v>
      </c>
      <c r="V262" s="45">
        <v>3.7807251E-2</v>
      </c>
      <c r="W262" s="45">
        <v>1.4184072999999999E-3</v>
      </c>
      <c r="X262" s="45">
        <v>-4.6470269000000003E-5</v>
      </c>
      <c r="Y262" s="45">
        <v>6.9194439999999997E-6</v>
      </c>
      <c r="Z262" s="36">
        <v>4.9000000000000004</v>
      </c>
      <c r="AA262" s="38">
        <v>710</v>
      </c>
      <c r="AB262" s="38">
        <v>791</v>
      </c>
      <c r="AC262" s="49" t="s">
        <v>506</v>
      </c>
      <c r="AD262" s="39" t="s">
        <v>1371</v>
      </c>
      <c r="AE262" s="46" t="s">
        <v>249</v>
      </c>
    </row>
    <row r="263" spans="1:31" ht="15" thickBot="1">
      <c r="A263" s="34">
        <v>261</v>
      </c>
      <c r="B263" s="34" t="s">
        <v>252</v>
      </c>
      <c r="C263" s="41" t="s">
        <v>1358</v>
      </c>
      <c r="D263" s="34" t="s">
        <v>1088</v>
      </c>
      <c r="E263" s="80">
        <f t="shared" si="28"/>
        <v>2.0006937813448618</v>
      </c>
      <c r="F263" s="35">
        <f t="shared" si="29"/>
        <v>25.458705671164012</v>
      </c>
      <c r="G263" s="42" cm="1">
        <f t="array" ref="G26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25.259047682483548</v>
      </c>
      <c r="H263" s="81" cm="1">
        <f t="array" ref="H2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1.9894112063686513</v>
      </c>
      <c r="I263" s="81" cm="1">
        <f t="array" ref="I2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2.0006937813448618</v>
      </c>
      <c r="J263" s="81" cm="1">
        <f t="array" ref="J2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2.00995872952456</v>
      </c>
      <c r="K263" s="81" cm="1">
        <f t="array" ref="K2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2.0287177522029238</v>
      </c>
      <c r="L263" s="81" cm="1">
        <f t="array" ref="L2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2.0528385616640472</v>
      </c>
      <c r="M263" s="37">
        <f t="shared" si="30"/>
        <v>3.930654583427251E-2</v>
      </c>
      <c r="N263" s="43">
        <f t="shared" si="31"/>
        <v>1.1282574976210435E-2</v>
      </c>
      <c r="O263" s="43">
        <f t="shared" si="32"/>
        <v>2.4120809461123383E-2</v>
      </c>
      <c r="P263" s="43">
        <f t="shared" si="33"/>
        <v>0.28704061211028198</v>
      </c>
      <c r="Q263" s="37">
        <f t="shared" si="34"/>
        <v>0.61365884356319489</v>
      </c>
      <c r="R263" s="37">
        <v>1.11E-2</v>
      </c>
      <c r="S263" s="44" t="s">
        <v>1394</v>
      </c>
      <c r="T263" s="45">
        <v>3.8106232000000002</v>
      </c>
      <c r="U263" s="45">
        <v>-1.6351564999999998E-2</v>
      </c>
      <c r="V263" s="45">
        <v>5.8801097000000004E-2</v>
      </c>
      <c r="W263" s="45">
        <v>3.4919026000000001E-3</v>
      </c>
      <c r="X263" s="45">
        <v>-1.6948110000000001E-4</v>
      </c>
      <c r="Y263" s="45">
        <v>3.2569333000000004E-5</v>
      </c>
      <c r="Z263" s="36">
        <v>4.7300000000000004</v>
      </c>
      <c r="AA263" s="38">
        <v>688</v>
      </c>
      <c r="AB263" s="38">
        <v>771</v>
      </c>
      <c r="AC263" s="49" t="s">
        <v>506</v>
      </c>
      <c r="AD263" s="39" t="s">
        <v>1371</v>
      </c>
      <c r="AE263" s="46" t="s">
        <v>770</v>
      </c>
    </row>
    <row r="264" spans="1:31" ht="15" thickBot="1">
      <c r="A264" s="34">
        <v>262</v>
      </c>
      <c r="B264" s="34" t="s">
        <v>252</v>
      </c>
      <c r="C264" s="41" t="s">
        <v>1358</v>
      </c>
      <c r="D264" s="34" t="s">
        <v>1089</v>
      </c>
      <c r="E264" s="80">
        <f t="shared" si="28"/>
        <v>2.0006937813448618</v>
      </c>
      <c r="F264" s="35">
        <f t="shared" si="29"/>
        <v>25.458705671164012</v>
      </c>
      <c r="G264" s="42" cm="1">
        <f t="array" ref="G26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25.259047682483548</v>
      </c>
      <c r="H264" s="81" cm="1">
        <f t="array" ref="H2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1.9894112063686513</v>
      </c>
      <c r="I264" s="81" cm="1">
        <f t="array" ref="I2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2.0006937813448618</v>
      </c>
      <c r="J264" s="81" cm="1">
        <f t="array" ref="J2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2.00995872952456</v>
      </c>
      <c r="K264" s="81" cm="1">
        <f t="array" ref="K2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2.0287177522029238</v>
      </c>
      <c r="L264" s="81" cm="1">
        <f t="array" ref="L2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2.0528385616640472</v>
      </c>
      <c r="M264" s="37">
        <f t="shared" si="30"/>
        <v>3.930654583427251E-2</v>
      </c>
      <c r="N264" s="43">
        <f t="shared" si="31"/>
        <v>1.1282574976210435E-2</v>
      </c>
      <c r="O264" s="43">
        <f t="shared" si="32"/>
        <v>2.4120809461123383E-2</v>
      </c>
      <c r="P264" s="43">
        <f t="shared" si="33"/>
        <v>0.28704061211028198</v>
      </c>
      <c r="Q264" s="37">
        <f t="shared" si="34"/>
        <v>0.61365884356319489</v>
      </c>
      <c r="R264" s="37">
        <v>1.11E-2</v>
      </c>
      <c r="S264" s="44" t="s">
        <v>1394</v>
      </c>
      <c r="T264" s="45">
        <v>3.8106232000000002</v>
      </c>
      <c r="U264" s="45">
        <v>-1.6351564999999998E-2</v>
      </c>
      <c r="V264" s="45">
        <v>5.8801097000000004E-2</v>
      </c>
      <c r="W264" s="45">
        <v>3.4919026000000001E-3</v>
      </c>
      <c r="X264" s="45">
        <v>-1.6948110000000001E-4</v>
      </c>
      <c r="Y264" s="45">
        <v>3.2569333000000004E-5</v>
      </c>
      <c r="Z264" s="36">
        <v>4.7300000000000004</v>
      </c>
      <c r="AA264" s="38">
        <v>688</v>
      </c>
      <c r="AB264" s="38">
        <v>771</v>
      </c>
      <c r="AC264" s="49" t="s">
        <v>506</v>
      </c>
      <c r="AD264" s="49" t="s">
        <v>506</v>
      </c>
      <c r="AE264" s="46"/>
    </row>
    <row r="265" spans="1:31" ht="15" thickBot="1">
      <c r="A265" s="34">
        <v>263</v>
      </c>
      <c r="B265" s="34" t="s">
        <v>252</v>
      </c>
      <c r="C265" s="41" t="s">
        <v>1358</v>
      </c>
      <c r="D265" s="34" t="s">
        <v>1090</v>
      </c>
      <c r="E265" s="80">
        <f t="shared" si="28"/>
        <v>1.9537497165949793</v>
      </c>
      <c r="F265" s="35">
        <f t="shared" si="29"/>
        <v>32.318092412004724</v>
      </c>
      <c r="G265" s="42" cm="1">
        <f t="array" ref="G26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32.085035545632067</v>
      </c>
      <c r="H265" s="81" cm="1">
        <f t="array" ref="H2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1.9451343279605005</v>
      </c>
      <c r="I265" s="81" cm="1">
        <f t="array" ref="I2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1.9537497165949793</v>
      </c>
      <c r="J265" s="81" cm="1">
        <f t="array" ref="J2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1.9607363047150346</v>
      </c>
      <c r="K265" s="81" cm="1">
        <f t="array" ref="K2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1.9746456525905614</v>
      </c>
      <c r="L265" s="81" cm="1">
        <f t="array" ref="L2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1.9920572792356064</v>
      </c>
      <c r="M265" s="37">
        <f t="shared" si="30"/>
        <v>2.9511324630060898E-2</v>
      </c>
      <c r="N265" s="43">
        <f t="shared" si="31"/>
        <v>8.6153886344788599E-3</v>
      </c>
      <c r="O265" s="43">
        <f t="shared" si="32"/>
        <v>1.7411626645045031E-2</v>
      </c>
      <c r="P265" s="43">
        <f t="shared" si="33"/>
        <v>0.29193500266345318</v>
      </c>
      <c r="Q265" s="37">
        <f t="shared" si="34"/>
        <v>0.58999814014817742</v>
      </c>
      <c r="R265" s="37">
        <v>-2.0000000000000001E-4</v>
      </c>
      <c r="S265" s="44" t="s">
        <v>1394</v>
      </c>
      <c r="T265" s="45">
        <v>3.6715087999999998</v>
      </c>
      <c r="U265" s="45">
        <v>-1.4402692999999999E-2</v>
      </c>
      <c r="V265" s="45">
        <v>4.6652775E-2</v>
      </c>
      <c r="W265" s="45">
        <v>1.9167305999999999E-3</v>
      </c>
      <c r="X265" s="45">
        <v>-6.3043119000000012E-5</v>
      </c>
      <c r="Y265" s="45">
        <v>1.3004923000000001E-5</v>
      </c>
      <c r="Z265" s="36">
        <v>4.96</v>
      </c>
      <c r="AA265" s="38">
        <v>707</v>
      </c>
      <c r="AB265" s="38">
        <v>790</v>
      </c>
      <c r="AC265" s="49" t="s">
        <v>506</v>
      </c>
      <c r="AD265" s="39" t="s">
        <v>1371</v>
      </c>
      <c r="AE265" s="46" t="s">
        <v>1367</v>
      </c>
    </row>
    <row r="266" spans="1:31" ht="15" thickBot="1">
      <c r="A266" s="34">
        <v>264</v>
      </c>
      <c r="B266" s="34" t="s">
        <v>252</v>
      </c>
      <c r="C266" s="41" t="s">
        <v>1358</v>
      </c>
      <c r="D266" s="34" t="s">
        <v>1091</v>
      </c>
      <c r="E266" s="80">
        <f t="shared" si="28"/>
        <v>1.9537473895039739</v>
      </c>
      <c r="F266" s="35">
        <f t="shared" si="29"/>
        <v>32.319163071752378</v>
      </c>
      <c r="G266" s="42" cm="1">
        <f t="array" ref="G26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32.084913548128377</v>
      </c>
      <c r="H266" s="81" cm="1">
        <f t="array" ref="H2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1.9451350210576639</v>
      </c>
      <c r="I266" s="81" cm="1">
        <f t="array" ref="I2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1.9537473895039739</v>
      </c>
      <c r="J266" s="81" cm="1">
        <f t="array" ref="J2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1.9607336567764206</v>
      </c>
      <c r="K266" s="81" cm="1">
        <f t="array" ref="K2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1.9746452960417822</v>
      </c>
      <c r="L266" s="81" cm="1">
        <f t="array" ref="L2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1.9920611084065363</v>
      </c>
      <c r="M266" s="37">
        <f t="shared" si="30"/>
        <v>2.951027498411829E-2</v>
      </c>
      <c r="N266" s="43">
        <f t="shared" si="31"/>
        <v>8.6123684463099703E-3</v>
      </c>
      <c r="O266" s="43">
        <f t="shared" si="32"/>
        <v>1.7415812364754091E-2</v>
      </c>
      <c r="P266" s="43">
        <f t="shared" si="33"/>
        <v>0.29184304283660306</v>
      </c>
      <c r="Q266" s="37">
        <f t="shared" si="34"/>
        <v>0.59016096509188265</v>
      </c>
      <c r="R266" s="37">
        <v>0</v>
      </c>
      <c r="S266" s="44" t="s">
        <v>1394</v>
      </c>
      <c r="T266" s="45">
        <v>3.6729620000000001</v>
      </c>
      <c r="U266" s="45">
        <v>-1.51805E-2</v>
      </c>
      <c r="V266" s="45">
        <v>4.5718699999999994E-2</v>
      </c>
      <c r="W266" s="45">
        <v>2.1862210000000003E-3</v>
      </c>
      <c r="X266" s="45">
        <v>-9.9374200000000001E-5</v>
      </c>
      <c r="Y266" s="45">
        <v>1.4904660000000002E-5</v>
      </c>
      <c r="Z266" s="36">
        <v>5.0999999999999996</v>
      </c>
      <c r="AA266" s="38">
        <v>704</v>
      </c>
      <c r="AB266" s="38">
        <v>786</v>
      </c>
      <c r="AC266" s="49" t="s">
        <v>506</v>
      </c>
      <c r="AD266" s="49" t="s">
        <v>506</v>
      </c>
      <c r="AE266" s="46" t="s">
        <v>249</v>
      </c>
    </row>
    <row r="267" spans="1:31" ht="15" thickBot="1">
      <c r="A267" s="34">
        <v>265</v>
      </c>
      <c r="B267" s="34" t="s">
        <v>252</v>
      </c>
      <c r="C267" s="41" t="s">
        <v>1358</v>
      </c>
      <c r="D267" s="34" t="s">
        <v>1092</v>
      </c>
      <c r="E267" s="80">
        <f t="shared" si="28"/>
        <v>2.0010029891992205</v>
      </c>
      <c r="F267" s="35">
        <f t="shared" si="29"/>
        <v>29.135081603785888</v>
      </c>
      <c r="G267" s="42" cm="1">
        <f t="array" ref="G26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28.915980074166541</v>
      </c>
      <c r="H267" s="81" cm="1">
        <f t="array" ref="H2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1.9910461402030342</v>
      </c>
      <c r="I267" s="81" cm="1">
        <f t="array" ref="I2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2.0010029891992205</v>
      </c>
      <c r="J267" s="81" cm="1">
        <f t="array" ref="J2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2.0091222074321804</v>
      </c>
      <c r="K267" s="81" cm="1">
        <f t="array" ref="K2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2.0254034487842172</v>
      </c>
      <c r="L267" s="81" cm="1">
        <f t="array" ref="L2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2.0460018660724524</v>
      </c>
      <c r="M267" s="37">
        <f t="shared" si="30"/>
        <v>3.4357308581183021E-2</v>
      </c>
      <c r="N267" s="43">
        <f t="shared" si="31"/>
        <v>9.9568489961863182E-3</v>
      </c>
      <c r="O267" s="43">
        <f t="shared" si="32"/>
        <v>2.0598417288235193E-2</v>
      </c>
      <c r="P267" s="43">
        <f t="shared" si="33"/>
        <v>0.28980293880294028</v>
      </c>
      <c r="Q267" s="37">
        <f t="shared" si="34"/>
        <v>0.59953524123006063</v>
      </c>
      <c r="R267" s="37">
        <v>3.5999999999999999E-3</v>
      </c>
      <c r="S267" s="44" t="s">
        <v>1394</v>
      </c>
      <c r="T267" s="45">
        <v>3.8317578000000001</v>
      </c>
      <c r="U267" s="45">
        <v>-1.5266397000000001E-2</v>
      </c>
      <c r="V267" s="45">
        <v>5.4573843000000004E-2</v>
      </c>
      <c r="W267" s="45">
        <v>2.3109345999999999E-3</v>
      </c>
      <c r="X267" s="45">
        <v>-4.4476201000000002E-5</v>
      </c>
      <c r="Y267" s="45">
        <v>1.6143887000000001E-5</v>
      </c>
      <c r="Z267" s="36">
        <v>5.12</v>
      </c>
      <c r="AA267" s="38">
        <v>709</v>
      </c>
      <c r="AB267" s="38">
        <v>799</v>
      </c>
      <c r="AC267" s="49" t="s">
        <v>506</v>
      </c>
      <c r="AD267" s="39" t="s">
        <v>1371</v>
      </c>
      <c r="AE267" s="46" t="s">
        <v>770</v>
      </c>
    </row>
    <row r="268" spans="1:31" ht="15" thickBot="1">
      <c r="A268" s="34">
        <v>266</v>
      </c>
      <c r="B268" s="34" t="s">
        <v>252</v>
      </c>
      <c r="C268" s="41" t="s">
        <v>1358</v>
      </c>
      <c r="D268" s="34" t="s">
        <v>1093</v>
      </c>
      <c r="E268" s="80">
        <f t="shared" si="28"/>
        <v>2.0010029891992205</v>
      </c>
      <c r="F268" s="35">
        <f t="shared" si="29"/>
        <v>29.135081603785888</v>
      </c>
      <c r="G268" s="42" cm="1">
        <f t="array" ref="G26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28.915980074166541</v>
      </c>
      <c r="H268" s="81" cm="1">
        <f t="array" ref="H2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1.9910461402030342</v>
      </c>
      <c r="I268" s="81" cm="1">
        <f t="array" ref="I2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2.0010029891992205</v>
      </c>
      <c r="J268" s="81" cm="1">
        <f t="array" ref="J2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2.0091222074321804</v>
      </c>
      <c r="K268" s="81" cm="1">
        <f t="array" ref="K2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2.0254034487842172</v>
      </c>
      <c r="L268" s="81" cm="1">
        <f t="array" ref="L2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2.0460018660724524</v>
      </c>
      <c r="M268" s="37">
        <f t="shared" si="30"/>
        <v>3.4357308581183021E-2</v>
      </c>
      <c r="N268" s="43">
        <f t="shared" si="31"/>
        <v>9.9568489961863182E-3</v>
      </c>
      <c r="O268" s="43">
        <f t="shared" si="32"/>
        <v>2.0598417288235193E-2</v>
      </c>
      <c r="P268" s="43">
        <f t="shared" si="33"/>
        <v>0.28980293880294028</v>
      </c>
      <c r="Q268" s="37">
        <f t="shared" si="34"/>
        <v>0.59953524123006063</v>
      </c>
      <c r="R268" s="37">
        <v>3.5999999999999999E-3</v>
      </c>
      <c r="S268" s="44" t="s">
        <v>1394</v>
      </c>
      <c r="T268" s="45">
        <v>3.8317578000000001</v>
      </c>
      <c r="U268" s="45">
        <v>-1.5266397000000001E-2</v>
      </c>
      <c r="V268" s="45">
        <v>5.4573843000000004E-2</v>
      </c>
      <c r="W268" s="45">
        <v>2.3109345999999999E-3</v>
      </c>
      <c r="X268" s="45">
        <v>-4.4476201000000002E-5</v>
      </c>
      <c r="Y268" s="45">
        <v>1.6143887000000001E-5</v>
      </c>
      <c r="Z268" s="36">
        <v>5.12</v>
      </c>
      <c r="AA268" s="38">
        <v>709</v>
      </c>
      <c r="AB268" s="38">
        <v>799</v>
      </c>
      <c r="AC268" s="49" t="s">
        <v>506</v>
      </c>
      <c r="AD268" s="49" t="s">
        <v>506</v>
      </c>
      <c r="AE268" s="46" t="s">
        <v>249</v>
      </c>
    </row>
    <row r="269" spans="1:31" ht="15" thickBot="1">
      <c r="A269" s="34">
        <v>267</v>
      </c>
      <c r="B269" s="34" t="s">
        <v>252</v>
      </c>
      <c r="C269" s="41" t="s">
        <v>1358</v>
      </c>
      <c r="D269" s="34" t="s">
        <v>1094</v>
      </c>
      <c r="E269" s="80">
        <f t="shared" si="28"/>
        <v>2.0508974623943113</v>
      </c>
      <c r="F269" s="35">
        <f t="shared" si="29"/>
        <v>26.94273968292325</v>
      </c>
      <c r="G269" s="42" cm="1">
        <f t="array" ref="G26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26.739843375202142</v>
      </c>
      <c r="H269" s="81" cm="1">
        <f t="array" ref="H2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2.0396451973049783</v>
      </c>
      <c r="I269" s="81" cm="1">
        <f t="array" ref="I2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2.0508974623943113</v>
      </c>
      <c r="J269" s="81" cm="1">
        <f t="array" ref="J2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2.0601081720485426</v>
      </c>
      <c r="K269" s="81" cm="1">
        <f t="array" ref="K2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2.0786500451698147</v>
      </c>
      <c r="L269" s="81" cm="1">
        <f t="array" ref="L2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2.1022561074177677</v>
      </c>
      <c r="M269" s="37">
        <f t="shared" si="30"/>
        <v>3.9004847864836378E-2</v>
      </c>
      <c r="N269" s="43">
        <f t="shared" si="31"/>
        <v>1.1252265089332969E-2</v>
      </c>
      <c r="O269" s="43">
        <f t="shared" si="32"/>
        <v>2.360606224795303E-2</v>
      </c>
      <c r="P269" s="43">
        <f t="shared" si="33"/>
        <v>0.28848375792479641</v>
      </c>
      <c r="Q269" s="37">
        <f t="shared" si="34"/>
        <v>0.60520841741916775</v>
      </c>
      <c r="R269" s="37">
        <v>5.3E-3</v>
      </c>
      <c r="S269" s="44" t="s">
        <v>1394</v>
      </c>
      <c r="T269" s="45">
        <v>4.0113202000000001</v>
      </c>
      <c r="U269" s="45">
        <v>-1.7752008999999999E-2</v>
      </c>
      <c r="V269" s="45">
        <v>5.8569329999999996E-2</v>
      </c>
      <c r="W269" s="45">
        <v>4.3200931999999997E-3</v>
      </c>
      <c r="X269" s="45">
        <v>-3.1070842000000004E-4</v>
      </c>
      <c r="Y269" s="45">
        <v>3.7485638000000003E-5</v>
      </c>
      <c r="Z269" s="36">
        <v>5.27</v>
      </c>
      <c r="AA269" s="38">
        <v>743</v>
      </c>
      <c r="AB269" s="38">
        <v>828</v>
      </c>
      <c r="AC269" s="49" t="s">
        <v>506</v>
      </c>
      <c r="AD269" s="39" t="s">
        <v>1371</v>
      </c>
      <c r="AE269" s="46" t="s">
        <v>249</v>
      </c>
    </row>
    <row r="270" spans="1:31" ht="15" thickBot="1">
      <c r="A270" s="34">
        <v>268</v>
      </c>
      <c r="B270" s="34" t="s">
        <v>252</v>
      </c>
      <c r="C270" s="41" t="s">
        <v>1358</v>
      </c>
      <c r="D270" s="34" t="s">
        <v>1095</v>
      </c>
      <c r="E270" s="80">
        <f t="shared" si="28"/>
        <v>2.1019979423396755</v>
      </c>
      <c r="F270" s="35">
        <f t="shared" si="29"/>
        <v>23.385560499928072</v>
      </c>
      <c r="G270" s="42" cm="1">
        <f t="array" ref="G27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23.203234868946321</v>
      </c>
      <c r="H270" s="81" cm="1">
        <f t="array" ref="H2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2.0885414328167466</v>
      </c>
      <c r="I270" s="81" cm="1">
        <f t="array" ref="I2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2.1019979423396755</v>
      </c>
      <c r="J270" s="81" cm="1">
        <f t="array" ref="J2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2.1130924192026321</v>
      </c>
      <c r="K270" s="81" cm="1">
        <f t="array" ref="K2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2.1356644402957876</v>
      </c>
      <c r="L270" s="81" cm="1">
        <f t="array" ref="L2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2.1648947575501332</v>
      </c>
      <c r="M270" s="37">
        <f t="shared" si="30"/>
        <v>4.7123007479040968E-2</v>
      </c>
      <c r="N270" s="43">
        <f t="shared" si="31"/>
        <v>1.3456509522928872E-2</v>
      </c>
      <c r="O270" s="43">
        <f t="shared" si="32"/>
        <v>2.923031725434555E-2</v>
      </c>
      <c r="P270" s="43">
        <f t="shared" si="33"/>
        <v>0.28556134769016944</v>
      </c>
      <c r="Q270" s="37">
        <f t="shared" si="34"/>
        <v>0.62029821138530683</v>
      </c>
      <c r="R270" s="37">
        <v>1.4E-2</v>
      </c>
      <c r="S270" s="44" t="s">
        <v>1394</v>
      </c>
      <c r="T270" s="45">
        <v>4.1779853999999998</v>
      </c>
      <c r="U270" s="45">
        <v>-1.8122172000000002E-2</v>
      </c>
      <c r="V270" s="45">
        <v>7.2323156E-2</v>
      </c>
      <c r="W270" s="45">
        <v>4.7642103000000002E-3</v>
      </c>
      <c r="X270" s="45">
        <v>-2.5150885000000002E-4</v>
      </c>
      <c r="Y270" s="45">
        <v>4.7040631000000003E-5</v>
      </c>
      <c r="Z270" s="36">
        <v>5.07</v>
      </c>
      <c r="AA270" s="38">
        <v>728</v>
      </c>
      <c r="AB270" s="38">
        <v>811</v>
      </c>
      <c r="AC270" s="49" t="s">
        <v>506</v>
      </c>
      <c r="AD270" s="39" t="s">
        <v>1371</v>
      </c>
      <c r="AE270" s="46"/>
    </row>
    <row r="271" spans="1:31" ht="15" thickBot="1">
      <c r="A271" s="34">
        <v>269</v>
      </c>
      <c r="B271" s="34" t="s">
        <v>252</v>
      </c>
      <c r="C271" s="41" t="s">
        <v>1365</v>
      </c>
      <c r="D271" s="34" t="s">
        <v>165</v>
      </c>
      <c r="E271" s="80">
        <f t="shared" si="28"/>
        <v>1.4564999692996223</v>
      </c>
      <c r="F271" s="35">
        <f t="shared" si="29"/>
        <v>90.270801240797979</v>
      </c>
      <c r="G271" s="42" cm="1">
        <f t="array" ref="G27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89.838257734308485</v>
      </c>
      <c r="H271" s="81" cm="1">
        <f t="array" ref="H2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1.4549511230668466</v>
      </c>
      <c r="I271" s="81" cm="1">
        <f t="array" ref="I2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1.4564999692996223</v>
      </c>
      <c r="J271" s="81" cm="1">
        <f t="array" ref="J2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1.4577077303692125</v>
      </c>
      <c r="K271" s="81" cm="1">
        <f t="array" ref="K2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1.4600081289095432</v>
      </c>
      <c r="L271" s="81" cm="1">
        <f t="array" ref="L2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1.4627125503372029</v>
      </c>
      <c r="M271" s="37">
        <f t="shared" si="30"/>
        <v>5.057005842696638E-3</v>
      </c>
      <c r="N271" s="43">
        <f t="shared" si="31"/>
        <v>1.5488462327757357E-3</v>
      </c>
      <c r="O271" s="43">
        <f t="shared" si="32"/>
        <v>2.7044214276596978E-3</v>
      </c>
      <c r="P271" s="43">
        <f t="shared" si="33"/>
        <v>0.3062773271287772</v>
      </c>
      <c r="Q271" s="37">
        <f t="shared" si="34"/>
        <v>0.53478708781114848</v>
      </c>
      <c r="R271" s="37">
        <v>4.8800000000000003E-2</v>
      </c>
      <c r="S271" s="44" t="s">
        <v>1394</v>
      </c>
      <c r="T271" s="45">
        <v>2.1032489999999999</v>
      </c>
      <c r="U271" s="45">
        <v>-5.0247987999999999E-3</v>
      </c>
      <c r="V271" s="45">
        <v>6.5323077E-3</v>
      </c>
      <c r="W271" s="45">
        <v>1.3078404999999999E-4</v>
      </c>
      <c r="X271" s="45">
        <v>-6.3652072000000003E-6</v>
      </c>
      <c r="Y271" s="45">
        <v>1.9254745E-7</v>
      </c>
      <c r="Z271" s="36">
        <v>3.6</v>
      </c>
      <c r="AA271" s="38">
        <v>441</v>
      </c>
      <c r="AB271" s="38">
        <v>564</v>
      </c>
      <c r="AC271" s="49" t="s">
        <v>506</v>
      </c>
      <c r="AD271" s="49" t="s">
        <v>506</v>
      </c>
      <c r="AE271" s="46" t="s">
        <v>249</v>
      </c>
    </row>
    <row r="272" spans="1:31" ht="15" thickBot="1">
      <c r="A272" s="34">
        <v>270</v>
      </c>
      <c r="B272" s="34" t="s">
        <v>252</v>
      </c>
      <c r="C272" s="41" t="s">
        <v>1365</v>
      </c>
      <c r="D272" s="34" t="s">
        <v>166</v>
      </c>
      <c r="E272" s="80">
        <f t="shared" si="28"/>
        <v>1.5928242844404696</v>
      </c>
      <c r="F272" s="35">
        <f t="shared" si="29"/>
        <v>68.625190919574877</v>
      </c>
      <c r="G272" s="42" cm="1">
        <f t="array" ref="G27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68.251131316885903</v>
      </c>
      <c r="H272" s="81" cm="1">
        <f t="array" ref="H2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1.5902060588438109</v>
      </c>
      <c r="I272" s="81" cm="1">
        <f t="array" ref="I2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1.5928242844404696</v>
      </c>
      <c r="J272" s="81" cm="1">
        <f t="array" ref="J2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1.594885407915823</v>
      </c>
      <c r="K272" s="81" cm="1">
        <f t="array" ref="K2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1.5988446400484189</v>
      </c>
      <c r="L272" s="81" cm="1">
        <f t="array" ref="L2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1.6035453487338023</v>
      </c>
      <c r="M272" s="37">
        <f t="shared" si="30"/>
        <v>8.6385812046079202E-3</v>
      </c>
      <c r="N272" s="43">
        <f t="shared" si="31"/>
        <v>2.6182255966586965E-3</v>
      </c>
      <c r="O272" s="43">
        <f t="shared" si="32"/>
        <v>4.7007086853834146E-3</v>
      </c>
      <c r="P272" s="43">
        <f t="shared" si="33"/>
        <v>0.30308514033092659</v>
      </c>
      <c r="Q272" s="37">
        <f t="shared" si="34"/>
        <v>0.54415286191626022</v>
      </c>
      <c r="R272" s="37">
        <v>1.9199999999999998E-2</v>
      </c>
      <c r="S272" s="44" t="s">
        <v>1394</v>
      </c>
      <c r="T272" s="45">
        <v>2.5023550000000001</v>
      </c>
      <c r="U272" s="45">
        <v>-7.2080042000000006E-3</v>
      </c>
      <c r="V272" s="45">
        <v>1.2012742999999999E-2</v>
      </c>
      <c r="W272" s="45">
        <v>3.4920842E-4</v>
      </c>
      <c r="X272" s="45">
        <v>-2.4729676000000002E-5</v>
      </c>
      <c r="Y272" s="45">
        <v>1.3801566999999998E-6</v>
      </c>
      <c r="Z272" s="36">
        <v>4.2</v>
      </c>
      <c r="AA272" s="38">
        <v>581</v>
      </c>
      <c r="AB272" s="38">
        <v>641</v>
      </c>
      <c r="AC272" s="49" t="s">
        <v>506</v>
      </c>
      <c r="AD272" s="49" t="s">
        <v>506</v>
      </c>
      <c r="AE272" s="46" t="s">
        <v>249</v>
      </c>
    </row>
    <row r="273" spans="1:31" ht="15" thickBot="1">
      <c r="A273" s="34">
        <v>271</v>
      </c>
      <c r="B273" s="34" t="s">
        <v>252</v>
      </c>
      <c r="C273" s="41" t="s">
        <v>1355</v>
      </c>
      <c r="D273" s="34" t="s">
        <v>167</v>
      </c>
      <c r="E273" s="80">
        <f t="shared" si="28"/>
        <v>1.6062499116590967</v>
      </c>
      <c r="F273" s="35">
        <f t="shared" si="29"/>
        <v>63.711710855504244</v>
      </c>
      <c r="G273" s="42" cm="1">
        <f t="array" ref="G27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63.390062449568788</v>
      </c>
      <c r="H273" s="81" cm="1">
        <f t="array" ref="H2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1.6033616114390776</v>
      </c>
      <c r="I273" s="81" cm="1">
        <f t="array" ref="I2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1.6062499116590967</v>
      </c>
      <c r="J273" s="81" cm="1">
        <f t="array" ref="J2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1.6085195498943676</v>
      </c>
      <c r="K273" s="81" cm="1">
        <f t="array" ref="K2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1.6128771291283459</v>
      </c>
      <c r="L273" s="81" cm="1">
        <f t="array" ref="L2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1.6180582229980174</v>
      </c>
      <c r="M273" s="37">
        <f t="shared" si="30"/>
        <v>9.5155176892682825E-3</v>
      </c>
      <c r="N273" s="43">
        <f t="shared" si="31"/>
        <v>2.8883002200190688E-3</v>
      </c>
      <c r="O273" s="43">
        <f t="shared" si="32"/>
        <v>5.1810938696714715E-3</v>
      </c>
      <c r="P273" s="43">
        <f t="shared" si="33"/>
        <v>0.30353579430329147</v>
      </c>
      <c r="Q273" s="37">
        <f t="shared" si="34"/>
        <v>0.54448891157175527</v>
      </c>
      <c r="R273" s="37">
        <v>1.0800000000000001E-2</v>
      </c>
      <c r="S273" s="44" t="s">
        <v>1394</v>
      </c>
      <c r="T273" s="45">
        <v>2.5388484</v>
      </c>
      <c r="U273" s="45">
        <v>-6.6855865E-3</v>
      </c>
      <c r="V273" s="45">
        <v>1.5111456000000001E-2</v>
      </c>
      <c r="W273" s="45">
        <v>-1.5247241E-4</v>
      </c>
      <c r="X273" s="45">
        <v>4.8340116000000005E-5</v>
      </c>
      <c r="Y273" s="45">
        <v>-2.4061785000000003E-6</v>
      </c>
      <c r="Z273" s="36">
        <v>3.84</v>
      </c>
      <c r="AA273" s="38">
        <v>544</v>
      </c>
      <c r="AB273" s="38">
        <v>601</v>
      </c>
      <c r="AC273" s="49" t="s">
        <v>506</v>
      </c>
      <c r="AD273" s="49" t="s">
        <v>506</v>
      </c>
      <c r="AE273" s="46" t="s">
        <v>249</v>
      </c>
    </row>
    <row r="274" spans="1:31" ht="15" thickBot="1">
      <c r="A274" s="34">
        <v>272</v>
      </c>
      <c r="B274" s="34" t="s">
        <v>252</v>
      </c>
      <c r="C274" s="41" t="s">
        <v>1355</v>
      </c>
      <c r="D274" s="34" t="s">
        <v>1096</v>
      </c>
      <c r="E274" s="80">
        <f t="shared" si="28"/>
        <v>1.6073845138166212</v>
      </c>
      <c r="F274" s="35">
        <f t="shared" si="29"/>
        <v>56.714566046236556</v>
      </c>
      <c r="G274" s="42" cm="1">
        <f t="array" ref="G27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56.430358329920068</v>
      </c>
      <c r="H274" s="81" cm="1">
        <f t="array" ref="H2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1.6041427594789788</v>
      </c>
      <c r="I274" s="81" cm="1">
        <f t="array" ref="I2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1.6073845138166212</v>
      </c>
      <c r="J274" s="81" cm="1">
        <f t="array" ref="J2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1.609936874595413</v>
      </c>
      <c r="K274" s="81" cm="1">
        <f t="array" ref="K2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1.6148522571646606</v>
      </c>
      <c r="L274" s="81" cm="1">
        <f t="array" ref="L2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1.6207230689713628</v>
      </c>
      <c r="M274" s="37">
        <f t="shared" si="30"/>
        <v>1.0709497685681857E-2</v>
      </c>
      <c r="N274" s="43">
        <f t="shared" si="31"/>
        <v>3.2417543376423996E-3</v>
      </c>
      <c r="O274" s="43">
        <f t="shared" si="32"/>
        <v>5.8708118067021253E-3</v>
      </c>
      <c r="P274" s="43">
        <f t="shared" si="33"/>
        <v>0.30269900912126696</v>
      </c>
      <c r="Q274" s="37">
        <f t="shared" si="34"/>
        <v>0.54818741074580479</v>
      </c>
      <c r="R274" s="37">
        <v>2E-3</v>
      </c>
      <c r="S274" s="44" t="s">
        <v>1394</v>
      </c>
      <c r="T274" s="45">
        <v>2.5393254999999999</v>
      </c>
      <c r="U274" s="45">
        <v>-8.7207883000000007E-3</v>
      </c>
      <c r="V274" s="45">
        <v>1.5909566E-2</v>
      </c>
      <c r="W274" s="45">
        <v>8.8163036000000008E-5</v>
      </c>
      <c r="X274" s="45">
        <v>2.5876593E-5</v>
      </c>
      <c r="Y274" s="45">
        <v>-1.1733522999999998E-6</v>
      </c>
      <c r="Z274" s="36">
        <v>3.53</v>
      </c>
      <c r="AA274" s="38">
        <v>644</v>
      </c>
      <c r="AB274" s="38">
        <v>780</v>
      </c>
      <c r="AC274" s="49" t="s">
        <v>506</v>
      </c>
      <c r="AD274" s="49" t="s">
        <v>506</v>
      </c>
      <c r="AE274" s="46" t="s">
        <v>249</v>
      </c>
    </row>
    <row r="275" spans="1:31" ht="15" thickBot="1">
      <c r="A275" s="34">
        <v>273</v>
      </c>
      <c r="B275" s="34" t="s">
        <v>252</v>
      </c>
      <c r="C275" s="41" t="s">
        <v>1355</v>
      </c>
      <c r="D275" s="34" t="s">
        <v>1097</v>
      </c>
      <c r="E275" s="80">
        <f t="shared" si="28"/>
        <v>1.6127177261169778</v>
      </c>
      <c r="F275" s="35">
        <f t="shared" si="29"/>
        <v>58.578852260248766</v>
      </c>
      <c r="G275" s="42" cm="1">
        <f t="array" ref="G27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58.306238518872668</v>
      </c>
      <c r="H275" s="81" cm="1">
        <f t="array" ref="H2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1.6095409698396703</v>
      </c>
      <c r="I275" s="81" cm="1">
        <f t="array" ref="I2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1.6127177261169778</v>
      </c>
      <c r="J275" s="81" cm="1">
        <f t="array" ref="J2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1.6152117917149293</v>
      </c>
      <c r="K275" s="81" cm="1">
        <f t="array" ref="K2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1.6200006784627559</v>
      </c>
      <c r="L275" s="81" cm="1">
        <f t="array" ref="L2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1.6256997288781596</v>
      </c>
      <c r="M275" s="37">
        <f t="shared" si="30"/>
        <v>1.045970862308554E-2</v>
      </c>
      <c r="N275" s="43">
        <f t="shared" si="31"/>
        <v>3.1767562773075131E-3</v>
      </c>
      <c r="O275" s="43">
        <f t="shared" si="32"/>
        <v>5.6990504154037502E-3</v>
      </c>
      <c r="P275" s="43">
        <f t="shared" si="33"/>
        <v>0.30371364937414408</v>
      </c>
      <c r="Q275" s="37">
        <f t="shared" si="34"/>
        <v>0.54485747364180126</v>
      </c>
      <c r="R275" s="37">
        <v>1.9E-3</v>
      </c>
      <c r="S275" s="44" t="s">
        <v>1394</v>
      </c>
      <c r="T275" s="45">
        <v>2.5584620999999999</v>
      </c>
      <c r="U275" s="45">
        <v>-9.7457282999999992E-3</v>
      </c>
      <c r="V275" s="45">
        <v>1.5110495E-2</v>
      </c>
      <c r="W275" s="45">
        <v>2.3273333000000001E-4</v>
      </c>
      <c r="X275" s="45">
        <v>1.1137248999999999E-6</v>
      </c>
      <c r="Y275" s="45">
        <v>1.6424767E-7</v>
      </c>
      <c r="Z275" s="36">
        <v>3.58</v>
      </c>
      <c r="AA275" s="38">
        <v>646</v>
      </c>
      <c r="AB275" s="38">
        <v>762</v>
      </c>
      <c r="AC275" s="49" t="s">
        <v>506</v>
      </c>
      <c r="AD275" s="49" t="s">
        <v>506</v>
      </c>
      <c r="AE275" s="46" t="s">
        <v>249</v>
      </c>
    </row>
    <row r="276" spans="1:31" ht="15" thickBot="1">
      <c r="A276" s="34">
        <v>274</v>
      </c>
      <c r="B276" s="34" t="s">
        <v>252</v>
      </c>
      <c r="C276" s="41" t="s">
        <v>1355</v>
      </c>
      <c r="D276" s="34" t="s">
        <v>1098</v>
      </c>
      <c r="E276" s="80">
        <f t="shared" si="28"/>
        <v>1.5638398621059415</v>
      </c>
      <c r="F276" s="35">
        <f t="shared" si="29"/>
        <v>60.830810440662276</v>
      </c>
      <c r="G276" s="42" cm="1">
        <f t="array" ref="G27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60.578537584817916</v>
      </c>
      <c r="H276" s="81" cm="1">
        <f t="array" ref="H2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1.5610116705897725</v>
      </c>
      <c r="I276" s="81" cm="1">
        <f t="array" ref="I2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1.5638398621059415</v>
      </c>
      <c r="J276" s="81" cm="1">
        <f t="array" ref="J2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1.5660513384726396</v>
      </c>
      <c r="K276" s="81" cm="1">
        <f t="array" ref="K2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1.5702806554680184</v>
      </c>
      <c r="L276" s="81" cm="1">
        <f t="array" ref="L2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1.5752936718244006</v>
      </c>
      <c r="M276" s="37">
        <f t="shared" si="30"/>
        <v>9.2689848782459006E-3</v>
      </c>
      <c r="N276" s="43">
        <f t="shared" si="31"/>
        <v>2.8281915161689763E-3</v>
      </c>
      <c r="O276" s="43">
        <f t="shared" si="32"/>
        <v>5.0130163563821828E-3</v>
      </c>
      <c r="P276" s="43">
        <f t="shared" si="33"/>
        <v>0.30512419141028901</v>
      </c>
      <c r="Q276" s="37">
        <f t="shared" si="34"/>
        <v>0.54083768850973313</v>
      </c>
      <c r="R276" s="37">
        <v>1.9E-3</v>
      </c>
      <c r="S276" s="44" t="s">
        <v>1394</v>
      </c>
      <c r="T276" s="45">
        <v>2.4095162999999999</v>
      </c>
      <c r="U276" s="45">
        <v>-9.1904415000000003E-3</v>
      </c>
      <c r="V276" s="45">
        <v>1.2939968E-2</v>
      </c>
      <c r="W276" s="45">
        <v>2.3461430000000001E-4</v>
      </c>
      <c r="X276" s="45">
        <v>-1.1130589E-5</v>
      </c>
      <c r="Y276" s="45">
        <v>1.0131863E-6</v>
      </c>
      <c r="Z276" s="36">
        <v>3.07</v>
      </c>
      <c r="AA276" s="38">
        <v>597</v>
      </c>
      <c r="AB276" s="38">
        <v>728</v>
      </c>
      <c r="AC276" s="49" t="s">
        <v>506</v>
      </c>
      <c r="AD276" s="49" t="s">
        <v>506</v>
      </c>
      <c r="AE276" s="46" t="s">
        <v>249</v>
      </c>
    </row>
    <row r="277" spans="1:31" ht="15" thickBot="1">
      <c r="A277" s="34">
        <v>275</v>
      </c>
      <c r="B277" s="34" t="s">
        <v>252</v>
      </c>
      <c r="C277" s="41" t="s">
        <v>1355</v>
      </c>
      <c r="D277" s="34" t="s">
        <v>1099</v>
      </c>
      <c r="E277" s="80">
        <f t="shared" si="28"/>
        <v>1.6031108162739012</v>
      </c>
      <c r="F277" s="35">
        <f t="shared" si="29"/>
        <v>60.69534589725685</v>
      </c>
      <c r="G277" s="42" cm="1">
        <f t="array" ref="G27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60.429747436581856</v>
      </c>
      <c r="H277" s="81" cm="1">
        <f t="array" ref="H2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1.6000855690160296</v>
      </c>
      <c r="I277" s="81" cm="1">
        <f t="array" ref="I2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1.6031108162739012</v>
      </c>
      <c r="J277" s="81" cm="1">
        <f t="array" ref="J2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1.6054816122500291</v>
      </c>
      <c r="K277" s="81" cm="1">
        <f t="array" ref="K2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1.61002225868075</v>
      </c>
      <c r="L277" s="81" cm="1">
        <f t="array" ref="L2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1.6153987353462587</v>
      </c>
      <c r="M277" s="37">
        <f t="shared" si="30"/>
        <v>9.9366896647203884E-3</v>
      </c>
      <c r="N277" s="43">
        <f t="shared" si="31"/>
        <v>3.0252472578715661E-3</v>
      </c>
      <c r="O277" s="43">
        <f t="shared" si="32"/>
        <v>5.3764766655086671E-3</v>
      </c>
      <c r="P277" s="43">
        <f t="shared" si="33"/>
        <v>0.30445222301875063</v>
      </c>
      <c r="Q277" s="37">
        <f t="shared" si="34"/>
        <v>0.54107321924297591</v>
      </c>
      <c r="R277" s="37">
        <v>2E-3</v>
      </c>
      <c r="S277" s="44" t="s">
        <v>1394</v>
      </c>
      <c r="T277" s="45">
        <v>2.5335255999999999</v>
      </c>
      <c r="U277" s="45">
        <v>-1.1903338000000001E-2</v>
      </c>
      <c r="V277" s="45">
        <v>1.2257249E-2</v>
      </c>
      <c r="W277" s="45">
        <v>7.9172149000000011E-4</v>
      </c>
      <c r="X277" s="45">
        <v>-7.7381829000000004E-5</v>
      </c>
      <c r="Y277" s="45">
        <v>3.9935440999999994E-6</v>
      </c>
      <c r="Z277" s="36">
        <v>3.43</v>
      </c>
      <c r="AA277" s="38">
        <v>646</v>
      </c>
      <c r="AB277" s="38">
        <v>756</v>
      </c>
      <c r="AC277" s="49" t="s">
        <v>506</v>
      </c>
      <c r="AD277" s="49" t="s">
        <v>506</v>
      </c>
      <c r="AE277" s="46" t="s">
        <v>249</v>
      </c>
    </row>
    <row r="278" spans="1:31" ht="15" thickBot="1">
      <c r="A278" s="34">
        <v>276</v>
      </c>
      <c r="B278" s="34" t="s">
        <v>252</v>
      </c>
      <c r="C278" s="41" t="s">
        <v>1355</v>
      </c>
      <c r="D278" s="34" t="s">
        <v>1100</v>
      </c>
      <c r="E278" s="80">
        <f t="shared" si="28"/>
        <v>1.6229943002598515</v>
      </c>
      <c r="F278" s="35">
        <f t="shared" si="29"/>
        <v>58.123012510900281</v>
      </c>
      <c r="G278" s="42" cm="1">
        <f t="array" ref="G27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57.873339478176433</v>
      </c>
      <c r="H278" s="81" cm="1">
        <f t="array" ref="H2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1.6197291034493122</v>
      </c>
      <c r="I278" s="81" cm="1">
        <f t="array" ref="I2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1.6229943002598515</v>
      </c>
      <c r="J278" s="81" cm="1">
        <f t="array" ref="J2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1.6255498052081112</v>
      </c>
      <c r="K278" s="81" cm="1">
        <f t="array" ref="K2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1.6304476514623392</v>
      </c>
      <c r="L278" s="81" cm="1">
        <f t="array" ref="L2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1.6362846299784488</v>
      </c>
      <c r="M278" s="37">
        <f t="shared" si="30"/>
        <v>1.0718548013026963E-2</v>
      </c>
      <c r="N278" s="43">
        <f t="shared" si="31"/>
        <v>3.2651968105392726E-3</v>
      </c>
      <c r="O278" s="43">
        <f t="shared" si="32"/>
        <v>5.8369785161096477E-3</v>
      </c>
      <c r="P278" s="43">
        <f t="shared" si="33"/>
        <v>0.30463051586566225</v>
      </c>
      <c r="Q278" s="37">
        <f t="shared" si="34"/>
        <v>0.54456802442043273</v>
      </c>
      <c r="R278" s="37">
        <v>6.9999999999999999E-4</v>
      </c>
      <c r="S278" s="44" t="s">
        <v>1394</v>
      </c>
      <c r="T278" s="45">
        <v>2.5864832</v>
      </c>
      <c r="U278" s="45">
        <v>-8.0357828999999999E-3</v>
      </c>
      <c r="V278" s="45">
        <v>1.8080572999999999E-2</v>
      </c>
      <c r="W278" s="45">
        <v>-4.5974172E-4</v>
      </c>
      <c r="X278" s="45">
        <v>8.8484321000000007E-5</v>
      </c>
      <c r="Y278" s="45">
        <v>-3.7544764999999997E-6</v>
      </c>
      <c r="Z278" s="36">
        <v>3.55</v>
      </c>
      <c r="AA278" s="38">
        <v>656</v>
      </c>
      <c r="AB278" s="38">
        <v>761</v>
      </c>
      <c r="AC278" s="49" t="s">
        <v>506</v>
      </c>
      <c r="AD278" s="49" t="s">
        <v>506</v>
      </c>
      <c r="AE278" s="46" t="s">
        <v>249</v>
      </c>
    </row>
    <row r="279" spans="1:31" ht="15" thickBot="1">
      <c r="A279" s="34">
        <v>277</v>
      </c>
      <c r="B279" s="34" t="s">
        <v>252</v>
      </c>
      <c r="C279" s="41" t="s">
        <v>1355</v>
      </c>
      <c r="D279" s="34" t="s">
        <v>1101</v>
      </c>
      <c r="E279" s="80">
        <f t="shared" si="28"/>
        <v>1.6385424653621741</v>
      </c>
      <c r="F279" s="35">
        <f t="shared" si="29"/>
        <v>55.45027019422762</v>
      </c>
      <c r="G279" s="42" cm="1">
        <f t="array" ref="G27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55.18451099706747</v>
      </c>
      <c r="H279" s="81" cm="1">
        <f t="array" ref="H2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1.6350536955709676</v>
      </c>
      <c r="I279" s="81" cm="1">
        <f t="array" ref="I2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1.6385424653621741</v>
      </c>
      <c r="J279" s="81" cm="1">
        <f t="array" ref="J2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1.641287587151085</v>
      </c>
      <c r="K279" s="81" cm="1">
        <f t="array" ref="K2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1.6465692835586461</v>
      </c>
      <c r="L279" s="81" cm="1">
        <f t="array" ref="L2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1.652873824882396</v>
      </c>
      <c r="M279" s="37">
        <f t="shared" si="30"/>
        <v>1.1515587987678488E-2</v>
      </c>
      <c r="N279" s="43">
        <f t="shared" si="31"/>
        <v>3.4887697912064919E-3</v>
      </c>
      <c r="O279" s="43">
        <f t="shared" si="32"/>
        <v>6.3045413237499126E-3</v>
      </c>
      <c r="P279" s="43">
        <f t="shared" si="33"/>
        <v>0.30296062996864986</v>
      </c>
      <c r="Q279" s="37">
        <f t="shared" si="34"/>
        <v>0.54747888952745449</v>
      </c>
      <c r="R279" s="37">
        <v>-1E-3</v>
      </c>
      <c r="S279" s="44" t="s">
        <v>1394</v>
      </c>
      <c r="T279" s="45">
        <v>2.6365276999999998</v>
      </c>
      <c r="U279" s="45">
        <v>-9.7558463999999987E-3</v>
      </c>
      <c r="V279" s="45">
        <v>1.7143664999999999E-2</v>
      </c>
      <c r="W279" s="45">
        <v>2.2592496999999999E-4</v>
      </c>
      <c r="X279" s="45">
        <v>3.0855341999999999E-6</v>
      </c>
      <c r="Y279" s="45">
        <v>4.5831917E-7</v>
      </c>
      <c r="Z279" s="36">
        <v>3.66</v>
      </c>
      <c r="AA279" s="38">
        <v>620</v>
      </c>
      <c r="AB279" s="38">
        <v>746</v>
      </c>
      <c r="AC279" s="49" t="s">
        <v>506</v>
      </c>
      <c r="AD279" s="49" t="s">
        <v>506</v>
      </c>
      <c r="AE279" s="46" t="s">
        <v>249</v>
      </c>
    </row>
    <row r="280" spans="1:31" ht="15" thickBot="1">
      <c r="A280" s="34">
        <v>278</v>
      </c>
      <c r="B280" s="34" t="s">
        <v>252</v>
      </c>
      <c r="C280" s="41" t="s">
        <v>1358</v>
      </c>
      <c r="D280" s="34" t="s">
        <v>1102</v>
      </c>
      <c r="E280" s="80">
        <f t="shared" si="28"/>
        <v>1.6515987831950643</v>
      </c>
      <c r="F280" s="35">
        <f t="shared" si="29"/>
        <v>58.404595407180153</v>
      </c>
      <c r="G280" s="42" cm="1">
        <f t="array" ref="G28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58.153002864186504</v>
      </c>
      <c r="H280" s="81" cm="1">
        <f t="array" ref="H2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1.6482064248295958</v>
      </c>
      <c r="I280" s="81" cm="1">
        <f t="array" ref="I2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1.6515987831950643</v>
      </c>
      <c r="J280" s="81" cm="1">
        <f t="array" ref="J2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1.6542624216681079</v>
      </c>
      <c r="K280" s="81" cm="1">
        <f t="array" ref="K2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1.6593630603417897</v>
      </c>
      <c r="L280" s="81" cm="1">
        <f t="array" ref="L2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1.6653847971855207</v>
      </c>
      <c r="M280" s="37">
        <f t="shared" si="30"/>
        <v>1.1156635512193924E-2</v>
      </c>
      <c r="N280" s="43">
        <f t="shared" si="31"/>
        <v>3.392358365468473E-3</v>
      </c>
      <c r="O280" s="43">
        <f t="shared" si="32"/>
        <v>6.0217368437309737E-3</v>
      </c>
      <c r="P280" s="43">
        <f t="shared" si="33"/>
        <v>0.30406643308914322</v>
      </c>
      <c r="Q280" s="37">
        <f t="shared" si="34"/>
        <v>0.53974487533892868</v>
      </c>
      <c r="R280" s="37">
        <v>-3.5000000000000001E-3</v>
      </c>
      <c r="S280" s="44" t="s">
        <v>1394</v>
      </c>
      <c r="T280" s="45">
        <v>2.6876223000000001</v>
      </c>
      <c r="U280" s="45">
        <v>-1.4375187000000001E-2</v>
      </c>
      <c r="V280" s="45">
        <v>1.2545954E-2</v>
      </c>
      <c r="W280" s="45">
        <v>1.4642295E-3</v>
      </c>
      <c r="X280" s="45">
        <v>-1.6982461000000001E-4</v>
      </c>
      <c r="Y280" s="45">
        <v>8.8048639000000009E-6</v>
      </c>
      <c r="Z280" s="36">
        <v>3.62</v>
      </c>
      <c r="AA280" s="38">
        <v>636</v>
      </c>
      <c r="AB280" s="38">
        <v>717</v>
      </c>
      <c r="AC280" s="49" t="s">
        <v>506</v>
      </c>
      <c r="AD280" s="49" t="s">
        <v>506</v>
      </c>
      <c r="AE280" s="46" t="s">
        <v>249</v>
      </c>
    </row>
    <row r="281" spans="1:31" ht="15" thickBot="1">
      <c r="A281" s="34">
        <v>279</v>
      </c>
      <c r="B281" s="34" t="s">
        <v>252</v>
      </c>
      <c r="C281" s="41" t="s">
        <v>1358</v>
      </c>
      <c r="D281" s="34" t="s">
        <v>1103</v>
      </c>
      <c r="E281" s="80">
        <f t="shared" si="28"/>
        <v>1.6909959584467666</v>
      </c>
      <c r="F281" s="35">
        <f t="shared" si="29"/>
        <v>54.698692589142091</v>
      </c>
      <c r="G281" s="42" cm="1">
        <f t="array" ref="G28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54.482315413149166</v>
      </c>
      <c r="H281" s="81" cm="1">
        <f t="array" ref="H2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1.6871488315090668</v>
      </c>
      <c r="I281" s="81" cm="1">
        <f t="array" ref="I2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1.6909959584467666</v>
      </c>
      <c r="J281" s="81" cm="1">
        <f t="array" ref="J2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1.6940099763182119</v>
      </c>
      <c r="K281" s="81" cm="1">
        <f t="array" ref="K2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1.69978160069858</v>
      </c>
      <c r="L281" s="81" cm="1">
        <f t="array" ref="L2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1.7066281740884985</v>
      </c>
      <c r="M281" s="37">
        <f t="shared" si="30"/>
        <v>1.2632769189513171E-2</v>
      </c>
      <c r="N281" s="43">
        <f t="shared" si="31"/>
        <v>3.8471269376998407E-3</v>
      </c>
      <c r="O281" s="43">
        <f t="shared" si="32"/>
        <v>6.8465733899185643E-3</v>
      </c>
      <c r="P281" s="43">
        <f t="shared" si="33"/>
        <v>0.30453552027954828</v>
      </c>
      <c r="Q281" s="37">
        <f t="shared" si="34"/>
        <v>0.54196932495229189</v>
      </c>
      <c r="R281" s="37">
        <v>-8.0000000000000002E-3</v>
      </c>
      <c r="S281" s="44" t="s">
        <v>1394</v>
      </c>
      <c r="T281" s="45">
        <v>2.8081523000000002</v>
      </c>
      <c r="U281" s="45">
        <v>-1.4167885E-2</v>
      </c>
      <c r="V281" s="45">
        <v>1.7693706999999999E-2</v>
      </c>
      <c r="W281" s="45">
        <v>7.6788759000000011E-4</v>
      </c>
      <c r="X281" s="45">
        <v>-7.488617400000001E-5</v>
      </c>
      <c r="Y281" s="45">
        <v>4.7044756E-6</v>
      </c>
      <c r="Z281" s="36">
        <v>3.65</v>
      </c>
      <c r="AA281" s="38">
        <v>611</v>
      </c>
      <c r="AB281" s="38">
        <v>682</v>
      </c>
      <c r="AC281" s="49" t="s">
        <v>506</v>
      </c>
      <c r="AD281" s="49" t="s">
        <v>506</v>
      </c>
      <c r="AE281" s="46" t="s">
        <v>249</v>
      </c>
    </row>
    <row r="282" spans="1:31" ht="15" thickBot="1">
      <c r="A282" s="34">
        <v>280</v>
      </c>
      <c r="B282" s="34" t="s">
        <v>252</v>
      </c>
      <c r="C282" s="41" t="s">
        <v>1358</v>
      </c>
      <c r="D282" s="34" t="s">
        <v>1104</v>
      </c>
      <c r="E282" s="80">
        <f t="shared" si="28"/>
        <v>1.7199983120607181</v>
      </c>
      <c r="F282" s="35">
        <f t="shared" si="29"/>
        <v>50.344383023848906</v>
      </c>
      <c r="G282" s="42" cm="1">
        <f t="array" ref="G28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50.103183959477995</v>
      </c>
      <c r="H282" s="81" cm="1">
        <f t="array" ref="H2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1.7156786588534509</v>
      </c>
      <c r="I282" s="81" cm="1">
        <f t="array" ref="I2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1.7199983120607181</v>
      </c>
      <c r="J282" s="81" cm="1">
        <f t="array" ref="J2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1.7234065235787315</v>
      </c>
      <c r="K282" s="81" cm="1">
        <f t="array" ref="K2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1.7299801214757984</v>
      </c>
      <c r="L282" s="81" cm="1">
        <f t="array" ref="L2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1.7378498933376036</v>
      </c>
      <c r="M282" s="37">
        <f t="shared" si="30"/>
        <v>1.4301462622347438E-2</v>
      </c>
      <c r="N282" s="43">
        <f t="shared" si="31"/>
        <v>4.3196532072671268E-3</v>
      </c>
      <c r="O282" s="43">
        <f t="shared" si="32"/>
        <v>7.8697718618052637E-3</v>
      </c>
      <c r="P282" s="43">
        <f t="shared" si="33"/>
        <v>0.30204275753706789</v>
      </c>
      <c r="Q282" s="37">
        <f t="shared" si="34"/>
        <v>0.55027741354985416</v>
      </c>
      <c r="R282" s="37">
        <v>-7.4000000000000003E-3</v>
      </c>
      <c r="S282" s="44" t="s">
        <v>1394</v>
      </c>
      <c r="T282" s="45">
        <v>2.8951997999999999</v>
      </c>
      <c r="U282" s="45">
        <v>-1.1701217999999999E-2</v>
      </c>
      <c r="V282" s="45">
        <v>2.2126484999999998E-2</v>
      </c>
      <c r="W282" s="45">
        <v>3.8494791000000001E-4</v>
      </c>
      <c r="X282" s="45">
        <v>-7.9808302000000002E-6</v>
      </c>
      <c r="Y282" s="45">
        <v>1.5035115999999998E-6</v>
      </c>
      <c r="Z282" s="36">
        <v>3.87</v>
      </c>
      <c r="AA282" s="38">
        <v>617</v>
      </c>
      <c r="AB282" s="38">
        <v>692</v>
      </c>
      <c r="AC282" s="49" t="s">
        <v>506</v>
      </c>
      <c r="AD282" s="49" t="s">
        <v>506</v>
      </c>
      <c r="AE282" s="46" t="s">
        <v>249</v>
      </c>
    </row>
    <row r="283" spans="1:31" ht="15" thickBot="1">
      <c r="A283" s="34">
        <v>281</v>
      </c>
      <c r="B283" s="34" t="s">
        <v>252</v>
      </c>
      <c r="C283" s="41" t="s">
        <v>1358</v>
      </c>
      <c r="D283" s="34" t="s">
        <v>1105</v>
      </c>
      <c r="E283" s="80">
        <f t="shared" si="28"/>
        <v>1.6779019407649178</v>
      </c>
      <c r="F283" s="35">
        <f t="shared" si="29"/>
        <v>55.519340782274917</v>
      </c>
      <c r="G283" s="42" cm="1">
        <f t="array" ref="G28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55.266278534381811</v>
      </c>
      <c r="H283" s="81" cm="1">
        <f t="array" ref="H2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1.6741973217152812</v>
      </c>
      <c r="I283" s="81" cm="1">
        <f t="array" ref="I2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1.6779019407649178</v>
      </c>
      <c r="J283" s="81" cm="1">
        <f t="array" ref="J2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1.6808139692566788</v>
      </c>
      <c r="K283" s="81" cm="1">
        <f t="array" ref="K2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1.6864075160586072</v>
      </c>
      <c r="L283" s="81" cm="1">
        <f t="array" ref="L2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1.6930652152903685</v>
      </c>
      <c r="M283" s="37">
        <f t="shared" si="30"/>
        <v>1.2210194343325931E-2</v>
      </c>
      <c r="N283" s="43">
        <f t="shared" si="31"/>
        <v>3.7046190496365927E-3</v>
      </c>
      <c r="O283" s="43">
        <f t="shared" si="32"/>
        <v>6.6576992317612937E-3</v>
      </c>
      <c r="P283" s="43">
        <f t="shared" si="33"/>
        <v>0.30340377437657495</v>
      </c>
      <c r="Q283" s="37">
        <f t="shared" si="34"/>
        <v>0.54525743362966039</v>
      </c>
      <c r="R283" s="37">
        <v>-3.3E-3</v>
      </c>
      <c r="S283" s="44" t="s">
        <v>1394</v>
      </c>
      <c r="T283" s="45">
        <v>2.7634843999999998</v>
      </c>
      <c r="U283" s="45">
        <v>-1.1068339E-2</v>
      </c>
      <c r="V283" s="45">
        <v>1.8246442000000002E-2</v>
      </c>
      <c r="W283" s="45">
        <v>3.7697356000000005E-4</v>
      </c>
      <c r="X283" s="45">
        <v>-1.7788655000000002E-5</v>
      </c>
      <c r="Y283" s="45">
        <v>1.5314262E-6</v>
      </c>
      <c r="Z283" s="36">
        <v>3.8</v>
      </c>
      <c r="AA283" s="38">
        <v>637</v>
      </c>
      <c r="AB283" s="38">
        <v>715</v>
      </c>
      <c r="AC283" s="49" t="s">
        <v>506</v>
      </c>
      <c r="AD283" s="49" t="s">
        <v>506</v>
      </c>
      <c r="AE283" s="46" t="s">
        <v>249</v>
      </c>
    </row>
    <row r="284" spans="1:31" ht="15" thickBot="1">
      <c r="A284" s="34">
        <v>282</v>
      </c>
      <c r="B284" s="34" t="s">
        <v>252</v>
      </c>
      <c r="C284" s="41" t="s">
        <v>1358</v>
      </c>
      <c r="D284" s="34" t="s">
        <v>1106</v>
      </c>
      <c r="E284" s="80">
        <f t="shared" si="28"/>
        <v>1.6935040006380124</v>
      </c>
      <c r="F284" s="35">
        <f t="shared" si="29"/>
        <v>53.343606480386313</v>
      </c>
      <c r="G284" s="42" cm="1">
        <f t="array" ref="G28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53.117006078047439</v>
      </c>
      <c r="H284" s="81" cm="1">
        <f t="array" ref="H2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1.689554139706825</v>
      </c>
      <c r="I284" s="81" cm="1">
        <f t="array" ref="I2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1.6935040006380124</v>
      </c>
      <c r="J284" s="81" cm="1">
        <f t="array" ref="J2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1.6966029991324094</v>
      </c>
      <c r="K284" s="81" cm="1">
        <f t="array" ref="K2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1.7025548355051678</v>
      </c>
      <c r="L284" s="81" cm="1">
        <f t="array" ref="L2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1.7096492291814871</v>
      </c>
      <c r="M284" s="37">
        <f t="shared" si="30"/>
        <v>1.3000695798342843E-2</v>
      </c>
      <c r="N284" s="43">
        <f t="shared" si="31"/>
        <v>3.9498609311874322E-3</v>
      </c>
      <c r="O284" s="43">
        <f t="shared" si="32"/>
        <v>7.094393676319255E-3</v>
      </c>
      <c r="P284" s="43">
        <f t="shared" si="33"/>
        <v>0.30381919494577425</v>
      </c>
      <c r="Q284" s="37">
        <f t="shared" si="34"/>
        <v>0.54569338336672368</v>
      </c>
      <c r="R284" s="37">
        <v>-6.7000000000000002E-3</v>
      </c>
      <c r="S284" s="44" t="s">
        <v>1394</v>
      </c>
      <c r="T284" s="45">
        <v>2.8125315999999998</v>
      </c>
      <c r="U284" s="45">
        <v>-1.2915270999999999E-2</v>
      </c>
      <c r="V284" s="45">
        <v>1.9960339000000001E-2</v>
      </c>
      <c r="W284" s="45">
        <v>1.9877887999999999E-4</v>
      </c>
      <c r="X284" s="45">
        <v>1.7647061000000003E-5</v>
      </c>
      <c r="Y284" s="45">
        <v>-4.4767631999999993E-7</v>
      </c>
      <c r="Z284" s="36">
        <v>3.56</v>
      </c>
      <c r="AA284" s="38">
        <v>626</v>
      </c>
      <c r="AB284" s="38">
        <v>701</v>
      </c>
      <c r="AC284" s="49" t="s">
        <v>506</v>
      </c>
      <c r="AD284" s="49" t="s">
        <v>506</v>
      </c>
      <c r="AE284" s="46" t="s">
        <v>249</v>
      </c>
    </row>
    <row r="285" spans="1:31" ht="15" thickBot="1">
      <c r="A285" s="34">
        <v>283</v>
      </c>
      <c r="B285" s="34" t="s">
        <v>252</v>
      </c>
      <c r="C285" s="41" t="s">
        <v>1358</v>
      </c>
      <c r="D285" s="34" t="s">
        <v>1107</v>
      </c>
      <c r="E285" s="80">
        <f t="shared" si="28"/>
        <v>1.6399997988864639</v>
      </c>
      <c r="F285" s="35">
        <f t="shared" si="29"/>
        <v>60.200720781746718</v>
      </c>
      <c r="G285" s="42" cm="1">
        <f t="array" ref="G28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60.000730191815201</v>
      </c>
      <c r="H285" s="81" cm="1">
        <f t="array" ref="H2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1.6367382655655383</v>
      </c>
      <c r="I285" s="81" cm="1">
        <f t="array" ref="I2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1.6399997988864639</v>
      </c>
      <c r="J285" s="81" cm="1">
        <f t="array" ref="J2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1.6425371065799563</v>
      </c>
      <c r="K285" s="81" cm="1">
        <f t="array" ref="K2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1.6473693641732565</v>
      </c>
      <c r="L285" s="81" cm="1">
        <f t="array" ref="L2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1.6530688717819979</v>
      </c>
      <c r="M285" s="37">
        <f t="shared" si="30"/>
        <v>1.063109860771827E-2</v>
      </c>
      <c r="N285" s="43">
        <f t="shared" si="31"/>
        <v>3.2615333209256026E-3</v>
      </c>
      <c r="O285" s="43">
        <f t="shared" si="32"/>
        <v>5.6995076087413832E-3</v>
      </c>
      <c r="P285" s="43">
        <f t="shared" si="33"/>
        <v>0.30679174761465394</v>
      </c>
      <c r="Q285" s="37">
        <f t="shared" si="34"/>
        <v>0.53611652182432878</v>
      </c>
      <c r="R285" s="37">
        <v>-3.8999999999999998E-3</v>
      </c>
      <c r="S285" s="44" t="s">
        <v>1394</v>
      </c>
      <c r="T285" s="45">
        <v>2.6490884000000001</v>
      </c>
      <c r="U285" s="45">
        <v>-1.4159869E-2</v>
      </c>
      <c r="V285" s="45">
        <v>1.4451135E-2</v>
      </c>
      <c r="W285" s="45">
        <v>5.2707873000000006E-4</v>
      </c>
      <c r="X285" s="45">
        <v>-4.3447523000000003E-5</v>
      </c>
      <c r="Y285" s="45">
        <v>2.4612970999999997E-6</v>
      </c>
      <c r="Z285" s="36">
        <v>3.02</v>
      </c>
      <c r="AA285" s="38">
        <v>656</v>
      </c>
      <c r="AB285" s="38">
        <v>722</v>
      </c>
      <c r="AC285" s="49" t="s">
        <v>506</v>
      </c>
      <c r="AD285" s="49" t="s">
        <v>506</v>
      </c>
      <c r="AE285" s="46" t="s">
        <v>249</v>
      </c>
    </row>
    <row r="286" spans="1:31" ht="15" thickBot="1">
      <c r="A286" s="34">
        <v>284</v>
      </c>
      <c r="B286" s="34" t="s">
        <v>252</v>
      </c>
      <c r="C286" s="41" t="s">
        <v>1356</v>
      </c>
      <c r="D286" s="34" t="s">
        <v>168</v>
      </c>
      <c r="E286" s="80">
        <f t="shared" si="28"/>
        <v>1.5317198852994633</v>
      </c>
      <c r="F286" s="35">
        <f t="shared" si="29"/>
        <v>48.841360234270198</v>
      </c>
      <c r="G286" s="42" cm="1">
        <f t="array" ref="G28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48.532852780455109</v>
      </c>
      <c r="H286" s="81" cm="1">
        <f t="array" ref="H2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1.5284665959136483</v>
      </c>
      <c r="I286" s="81" cm="1">
        <f t="array" ref="I2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1.5317198852994633</v>
      </c>
      <c r="J286" s="81" cm="1">
        <f t="array" ref="J2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1.5343061317845834</v>
      </c>
      <c r="K286" s="81" cm="1">
        <f t="array" ref="K2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1.5393532682493294</v>
      </c>
      <c r="L286" s="81" cm="1">
        <f t="array" ref="L2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1.5455107551935625</v>
      </c>
      <c r="M286" s="37">
        <f t="shared" si="30"/>
        <v>1.088667233568108E-2</v>
      </c>
      <c r="N286" s="43">
        <f t="shared" si="31"/>
        <v>3.2532893858150391E-3</v>
      </c>
      <c r="O286" s="43">
        <f t="shared" si="32"/>
        <v>6.1574869442331259E-3</v>
      </c>
      <c r="P286" s="43">
        <f t="shared" si="33"/>
        <v>0.29883230481295736</v>
      </c>
      <c r="Q286" s="37">
        <f t="shared" si="34"/>
        <v>0.56559862870603317</v>
      </c>
      <c r="R286" s="37">
        <v>5.1999999999999998E-3</v>
      </c>
      <c r="S286" s="44" t="s">
        <v>1394</v>
      </c>
      <c r="T286" s="45">
        <v>2.3068946000000001</v>
      </c>
      <c r="U286" s="45">
        <v>-9.688875500000001E-3</v>
      </c>
      <c r="V286" s="45">
        <v>1.3097019999999999E-2</v>
      </c>
      <c r="W286" s="45">
        <v>6.501392700000001E-4</v>
      </c>
      <c r="X286" s="45">
        <v>-4.2328222000000006E-5</v>
      </c>
      <c r="Y286" s="45">
        <v>3.5888776999999996E-6</v>
      </c>
      <c r="Z286" s="36">
        <v>2.5099999999999998</v>
      </c>
      <c r="AA286" s="38">
        <v>521</v>
      </c>
      <c r="AB286" s="38">
        <v>677</v>
      </c>
      <c r="AC286" s="49" t="s">
        <v>506</v>
      </c>
      <c r="AD286" s="49" t="s">
        <v>506</v>
      </c>
      <c r="AE286" s="46" t="s">
        <v>249</v>
      </c>
    </row>
    <row r="287" spans="1:31" ht="15" thickBot="1">
      <c r="A287" s="34">
        <v>285</v>
      </c>
      <c r="B287" s="34" t="s">
        <v>252</v>
      </c>
      <c r="C287" s="41" t="s">
        <v>1356</v>
      </c>
      <c r="D287" s="34" t="s">
        <v>169</v>
      </c>
      <c r="E287" s="80">
        <f t="shared" si="28"/>
        <v>1.6258798375601808</v>
      </c>
      <c r="F287" s="35">
        <f t="shared" si="29"/>
        <v>35.741033653777365</v>
      </c>
      <c r="G287" s="42" cm="1">
        <f t="array" ref="G28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35.481451667732884</v>
      </c>
      <c r="H287" s="81" cm="1">
        <f t="array" ref="H2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1.6207405651795357</v>
      </c>
      <c r="I287" s="81" cm="1">
        <f t="array" ref="I2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1.6258798375601808</v>
      </c>
      <c r="J287" s="81" cm="1">
        <f t="array" ref="J2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1.630025138495365</v>
      </c>
      <c r="K287" s="81" cm="1">
        <f t="array" ref="K2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1.6382520855128049</v>
      </c>
      <c r="L287" s="81" cm="1">
        <f t="array" ref="L2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1.6485455773717856</v>
      </c>
      <c r="M287" s="37">
        <f t="shared" si="30"/>
        <v>1.7511520333269193E-2</v>
      </c>
      <c r="N287" s="43">
        <f t="shared" si="31"/>
        <v>5.1392723806451546E-3</v>
      </c>
      <c r="O287" s="43">
        <f t="shared" si="32"/>
        <v>1.0293491858980763E-2</v>
      </c>
      <c r="P287" s="43">
        <f t="shared" si="33"/>
        <v>0.29347950850854043</v>
      </c>
      <c r="Q287" s="37">
        <f t="shared" si="34"/>
        <v>0.58781257498383588</v>
      </c>
      <c r="R287" s="37">
        <v>3.8E-3</v>
      </c>
      <c r="S287" s="44" t="s">
        <v>1394</v>
      </c>
      <c r="T287" s="45">
        <v>2.5730564999999999</v>
      </c>
      <c r="U287" s="45">
        <v>-1.0203605000000001E-2</v>
      </c>
      <c r="V287" s="45">
        <v>2.3095784000000001E-2</v>
      </c>
      <c r="W287" s="45">
        <v>8.7114252000000008E-4</v>
      </c>
      <c r="X287" s="45">
        <v>-3.0730079000000002E-5</v>
      </c>
      <c r="Y287" s="45">
        <v>6.9457985999999996E-6</v>
      </c>
      <c r="Z287" s="36">
        <v>2.7</v>
      </c>
      <c r="AA287" s="38">
        <v>569</v>
      </c>
      <c r="AB287" s="38">
        <v>679</v>
      </c>
      <c r="AC287" s="49" t="s">
        <v>506</v>
      </c>
      <c r="AD287" s="49" t="s">
        <v>506</v>
      </c>
      <c r="AE287" s="46" t="s">
        <v>249</v>
      </c>
    </row>
    <row r="288" spans="1:31" ht="15" thickBot="1">
      <c r="A288" s="34">
        <v>286</v>
      </c>
      <c r="B288" s="34" t="s">
        <v>252</v>
      </c>
      <c r="C288" s="41" t="s">
        <v>1356</v>
      </c>
      <c r="D288" s="34" t="s">
        <v>170</v>
      </c>
      <c r="E288" s="80">
        <f t="shared" si="28"/>
        <v>1.6129298378730121</v>
      </c>
      <c r="F288" s="35">
        <f t="shared" si="29"/>
        <v>36.961063770483364</v>
      </c>
      <c r="G288" s="42" cm="1">
        <f t="array" ref="G28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36.698085281197159</v>
      </c>
      <c r="H288" s="81" cm="1">
        <f t="array" ref="H2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1.608050840219148</v>
      </c>
      <c r="I288" s="81" cm="1">
        <f t="array" ref="I2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1.6129298378730121</v>
      </c>
      <c r="J288" s="81" cm="1">
        <f t="array" ref="J2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1.6168573215280242</v>
      </c>
      <c r="K288" s="81" cm="1">
        <f t="array" ref="K2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1.6246339624387658</v>
      </c>
      <c r="L288" s="81" cm="1">
        <f t="array" ref="L2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1.6343364957051156</v>
      </c>
      <c r="M288" s="37">
        <f t="shared" si="30"/>
        <v>1.6583122219617774E-2</v>
      </c>
      <c r="N288" s="43">
        <f t="shared" si="31"/>
        <v>4.8789976538641255E-3</v>
      </c>
      <c r="O288" s="43">
        <f t="shared" si="32"/>
        <v>9.7025332663498443E-3</v>
      </c>
      <c r="P288" s="43">
        <f t="shared" si="33"/>
        <v>0.29421465929330781</v>
      </c>
      <c r="Q288" s="37">
        <f t="shared" si="34"/>
        <v>0.58508483130346722</v>
      </c>
      <c r="R288" s="37">
        <v>3.2000000000000002E-3</v>
      </c>
      <c r="S288" s="44" t="s">
        <v>1394</v>
      </c>
      <c r="T288" s="45">
        <v>2.5362697000000001</v>
      </c>
      <c r="U288" s="45">
        <v>-1.0610424E-2</v>
      </c>
      <c r="V288" s="45">
        <v>2.1233821000000003E-2</v>
      </c>
      <c r="W288" s="45">
        <v>9.9012105000000007E-4</v>
      </c>
      <c r="X288" s="45">
        <v>-5.9984348000000006E-5</v>
      </c>
      <c r="Y288" s="45">
        <v>8.2354365999999989E-6</v>
      </c>
      <c r="Z288" s="36">
        <v>2.64</v>
      </c>
      <c r="AA288" s="38">
        <v>581</v>
      </c>
      <c r="AB288" s="38">
        <v>694</v>
      </c>
      <c r="AC288" s="49" t="s">
        <v>506</v>
      </c>
      <c r="AD288" s="49" t="s">
        <v>506</v>
      </c>
      <c r="AE288" s="46" t="s">
        <v>249</v>
      </c>
    </row>
    <row r="289" spans="1:31" ht="15" thickBot="1">
      <c r="A289" s="34">
        <v>287</v>
      </c>
      <c r="B289" s="34" t="s">
        <v>252</v>
      </c>
      <c r="C289" s="41" t="s">
        <v>1356</v>
      </c>
      <c r="D289" s="34" t="s">
        <v>171</v>
      </c>
      <c r="E289" s="80">
        <f t="shared" si="28"/>
        <v>1.5955098530571712</v>
      </c>
      <c r="F289" s="35">
        <f t="shared" si="29"/>
        <v>39.221121454435995</v>
      </c>
      <c r="G289" s="42" cm="1">
        <f t="array" ref="G28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38.946734371749535</v>
      </c>
      <c r="H289" s="81" cm="1">
        <f t="array" ref="H2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1.5910289895831431</v>
      </c>
      <c r="I289" s="81" cm="1">
        <f t="array" ref="I2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1.5955098530571712</v>
      </c>
      <c r="J289" s="81" cm="1">
        <f t="array" ref="J2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1.5991087279993483</v>
      </c>
      <c r="K289" s="81" cm="1">
        <f t="array" ref="K2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1.6062123864615059</v>
      </c>
      <c r="L289" s="81" cm="1">
        <f t="array" ref="L2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1.6150253167213744</v>
      </c>
      <c r="M289" s="37">
        <f t="shared" si="30"/>
        <v>1.5183396878362787E-2</v>
      </c>
      <c r="N289" s="43">
        <f t="shared" si="31"/>
        <v>4.4808634740280961E-3</v>
      </c>
      <c r="O289" s="43">
        <f t="shared" si="32"/>
        <v>8.8129302598685122E-3</v>
      </c>
      <c r="P289" s="43">
        <f t="shared" si="33"/>
        <v>0.29511600796087889</v>
      </c>
      <c r="Q289" s="37">
        <f t="shared" si="34"/>
        <v>0.5804320555189757</v>
      </c>
      <c r="R289" s="37">
        <v>2.5999999999999999E-3</v>
      </c>
      <c r="S289" s="44" t="s">
        <v>1394</v>
      </c>
      <c r="T289" s="45">
        <v>2.4866560999999998</v>
      </c>
      <c r="U289" s="45">
        <v>-1.0188483999999999E-2</v>
      </c>
      <c r="V289" s="45">
        <v>1.9287417000000001E-2</v>
      </c>
      <c r="W289" s="45">
        <v>8.8553736999999997E-4</v>
      </c>
      <c r="X289" s="45">
        <v>-5.0937106E-5</v>
      </c>
      <c r="Y289" s="45">
        <v>6.4256955999999994E-6</v>
      </c>
      <c r="Z289" s="36">
        <v>2.62</v>
      </c>
      <c r="AA289" s="38">
        <v>574</v>
      </c>
      <c r="AB289" s="38">
        <v>686</v>
      </c>
      <c r="AC289" s="49" t="s">
        <v>506</v>
      </c>
      <c r="AD289" s="49" t="s">
        <v>506</v>
      </c>
      <c r="AE289" s="46" t="s">
        <v>249</v>
      </c>
    </row>
    <row r="290" spans="1:31" ht="15" thickBot="1">
      <c r="A290" s="34">
        <v>288</v>
      </c>
      <c r="B290" s="34" t="s">
        <v>252</v>
      </c>
      <c r="C290" s="41" t="s">
        <v>1356</v>
      </c>
      <c r="D290" s="34" t="s">
        <v>139</v>
      </c>
      <c r="E290" s="80">
        <f t="shared" si="28"/>
        <v>1.7173597929387043</v>
      </c>
      <c r="F290" s="35">
        <f t="shared" si="29"/>
        <v>29.500879540805908</v>
      </c>
      <c r="G290" s="42" cm="1">
        <f t="array" ref="G29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29.267919007128665</v>
      </c>
      <c r="H290" s="81" cm="1">
        <f t="array" ref="H2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1.7103235504848076</v>
      </c>
      <c r="I290" s="81" cm="1">
        <f t="array" ref="I2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1.7173597929387043</v>
      </c>
      <c r="J290" s="81" cm="1">
        <f t="array" ref="J2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1.7231021809118807</v>
      </c>
      <c r="K290" s="81" cm="1">
        <f t="array" ref="K2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1.7346401066046495</v>
      </c>
      <c r="L290" s="81" cm="1">
        <f t="array" ref="L2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1.7493162242813498</v>
      </c>
      <c r="M290" s="37">
        <f t="shared" si="30"/>
        <v>2.4316556119841959E-2</v>
      </c>
      <c r="N290" s="43">
        <f t="shared" si="31"/>
        <v>7.0362424538967794E-3</v>
      </c>
      <c r="O290" s="43">
        <f t="shared" si="32"/>
        <v>1.4676117676700295E-2</v>
      </c>
      <c r="P290" s="43">
        <f t="shared" si="33"/>
        <v>0.28936015524646219</v>
      </c>
      <c r="Q290" s="37">
        <f t="shared" si="34"/>
        <v>0.60354425208776974</v>
      </c>
      <c r="R290" s="37">
        <v>8.3000000000000001E-3</v>
      </c>
      <c r="S290" s="44" t="s">
        <v>1394</v>
      </c>
      <c r="T290" s="45">
        <v>2.8508499</v>
      </c>
      <c r="U290" s="45">
        <v>-1.3234610000000001E-2</v>
      </c>
      <c r="V290" s="45">
        <v>2.9415325000000003E-2</v>
      </c>
      <c r="W290" s="45">
        <v>2.5542666000000001E-3</v>
      </c>
      <c r="X290" s="45">
        <v>-2.1232133000000003E-4</v>
      </c>
      <c r="Y290" s="45">
        <v>2.2261936000000003E-5</v>
      </c>
      <c r="Z290" s="36">
        <v>3.08</v>
      </c>
      <c r="AA290" s="38">
        <v>592</v>
      </c>
      <c r="AB290" s="38">
        <v>680</v>
      </c>
      <c r="AC290" s="49" t="s">
        <v>506</v>
      </c>
      <c r="AD290" s="49" t="s">
        <v>506</v>
      </c>
      <c r="AE290" s="46" t="s">
        <v>249</v>
      </c>
    </row>
    <row r="291" spans="1:31" ht="15" thickBot="1">
      <c r="A291" s="34">
        <v>289</v>
      </c>
      <c r="B291" s="34" t="s">
        <v>252</v>
      </c>
      <c r="C291" s="41" t="s">
        <v>1356</v>
      </c>
      <c r="D291" s="34" t="s">
        <v>141</v>
      </c>
      <c r="E291" s="80">
        <f t="shared" si="28"/>
        <v>1.75519973879811</v>
      </c>
      <c r="F291" s="35">
        <f t="shared" si="29"/>
        <v>27.530827330156548</v>
      </c>
      <c r="G291" s="42" cm="1">
        <f t="array" ref="G29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27.312433902069589</v>
      </c>
      <c r="H291" s="81" cm="1">
        <f t="array" ref="H2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1.7472934227450836</v>
      </c>
      <c r="I291" s="81" cm="1">
        <f t="array" ref="I2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1.75519973879811</v>
      </c>
      <c r="J291" s="81" cm="1">
        <f t="array" ref="J2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1.7616714878659183</v>
      </c>
      <c r="K291" s="81" cm="1">
        <f t="array" ref="K2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1.7747244813813376</v>
      </c>
      <c r="L291" s="81" cm="1">
        <f t="array" ref="L2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1.7914338650128345</v>
      </c>
      <c r="M291" s="37">
        <f t="shared" si="30"/>
        <v>2.7431058636254058E-2</v>
      </c>
      <c r="N291" s="43">
        <f t="shared" si="31"/>
        <v>7.9063160530263854E-3</v>
      </c>
      <c r="O291" s="43">
        <f t="shared" si="32"/>
        <v>1.6709383631496877E-2</v>
      </c>
      <c r="P291" s="43">
        <f t="shared" si="33"/>
        <v>0.28822497001909581</v>
      </c>
      <c r="Q291" s="37">
        <f t="shared" si="34"/>
        <v>0.60914104165899896</v>
      </c>
      <c r="R291" s="37">
        <v>1.03E-2</v>
      </c>
      <c r="S291" s="44" t="s">
        <v>1394</v>
      </c>
      <c r="T291" s="45">
        <v>2.9673172999999999</v>
      </c>
      <c r="U291" s="45">
        <v>-1.3989564999999999E-2</v>
      </c>
      <c r="V291" s="45">
        <v>3.3456680000000003E-2</v>
      </c>
      <c r="W291" s="45">
        <v>3.0717804000000002E-3</v>
      </c>
      <c r="X291" s="45">
        <v>-2.6682434999999999E-4</v>
      </c>
      <c r="Y291" s="45">
        <v>2.8950241000000005E-5</v>
      </c>
      <c r="Z291" s="36">
        <v>3.23</v>
      </c>
      <c r="AA291" s="38">
        <v>608</v>
      </c>
      <c r="AB291" s="38">
        <v>697</v>
      </c>
      <c r="AC291" s="49" t="s">
        <v>506</v>
      </c>
      <c r="AD291" s="49" t="s">
        <v>506</v>
      </c>
      <c r="AE291" s="46" t="s">
        <v>249</v>
      </c>
    </row>
    <row r="292" spans="1:31" ht="15" thickBot="1">
      <c r="A292" s="34">
        <v>290</v>
      </c>
      <c r="B292" s="34" t="s">
        <v>252</v>
      </c>
      <c r="C292" s="41" t="s">
        <v>1356</v>
      </c>
      <c r="D292" s="34" t="s">
        <v>172</v>
      </c>
      <c r="E292" s="80">
        <f t="shared" si="28"/>
        <v>1.6397998446108597</v>
      </c>
      <c r="F292" s="35">
        <f t="shared" si="29"/>
        <v>34.571012466549</v>
      </c>
      <c r="G292" s="42" cm="1">
        <f t="array" ref="G29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34.307643408648708</v>
      </c>
      <c r="H292" s="81" cm="1">
        <f t="array" ref="H2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1.6343915638207924</v>
      </c>
      <c r="I292" s="81" cm="1">
        <f t="array" ref="I2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1.6397998446108597</v>
      </c>
      <c r="J292" s="81" cm="1">
        <f t="array" ref="J2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1.6441785886066764</v>
      </c>
      <c r="K292" s="81" cm="1">
        <f t="array" ref="K2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1.6528983936462114</v>
      </c>
      <c r="L292" s="81" cm="1">
        <f t="array" ref="L2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1.6638498887658817</v>
      </c>
      <c r="M292" s="37">
        <f t="shared" si="30"/>
        <v>1.8506829825418958E-2</v>
      </c>
      <c r="N292" s="43">
        <f t="shared" si="31"/>
        <v>5.4082807900672769E-3</v>
      </c>
      <c r="O292" s="43">
        <f t="shared" si="32"/>
        <v>1.0951495119670307E-2</v>
      </c>
      <c r="P292" s="43">
        <f t="shared" si="33"/>
        <v>0.29223161617010462</v>
      </c>
      <c r="Q292" s="37">
        <f t="shared" si="34"/>
        <v>0.59175424548555211</v>
      </c>
      <c r="R292" s="37">
        <v>5.5999999999999999E-3</v>
      </c>
      <c r="S292" s="44" t="s">
        <v>1394</v>
      </c>
      <c r="T292" s="45">
        <v>2.6165864999999999</v>
      </c>
      <c r="U292" s="45">
        <v>-1.1427853999999999E-2</v>
      </c>
      <c r="V292" s="45">
        <v>2.2534360999999999E-2</v>
      </c>
      <c r="W292" s="45">
        <v>1.551289E-3</v>
      </c>
      <c r="X292" s="45">
        <v>-1.1769852000000001E-4</v>
      </c>
      <c r="Y292" s="45">
        <v>1.2401891000000001E-5</v>
      </c>
      <c r="Z292" s="36">
        <v>2.75</v>
      </c>
      <c r="AA292" s="38">
        <v>570</v>
      </c>
      <c r="AB292" s="38">
        <v>677</v>
      </c>
      <c r="AC292" s="49" t="s">
        <v>506</v>
      </c>
      <c r="AD292" s="49" t="s">
        <v>506</v>
      </c>
      <c r="AE292" s="46" t="s">
        <v>249</v>
      </c>
    </row>
    <row r="293" spans="1:31" ht="15" thickBot="1">
      <c r="A293" s="34">
        <v>291</v>
      </c>
      <c r="B293" s="34" t="s">
        <v>252</v>
      </c>
      <c r="C293" s="41" t="s">
        <v>1356</v>
      </c>
      <c r="D293" s="34" t="s">
        <v>145</v>
      </c>
      <c r="E293" s="80">
        <f t="shared" si="28"/>
        <v>1.7282497825595471</v>
      </c>
      <c r="F293" s="35">
        <f t="shared" si="29"/>
        <v>28.320844749483083</v>
      </c>
      <c r="G293" s="42" cm="1">
        <f t="array" ref="G29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28.099740245295152</v>
      </c>
      <c r="H293" s="81" cm="1">
        <f t="array" ref="H2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1.7208203129692747</v>
      </c>
      <c r="I293" s="81" cm="1">
        <f t="array" ref="I2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1.7282497825595471</v>
      </c>
      <c r="J293" s="81" cm="1">
        <f t="array" ref="J2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1.7343198466414382</v>
      </c>
      <c r="K293" s="81" cm="1">
        <f t="array" ref="K2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1.7465345806403632</v>
      </c>
      <c r="L293" s="81" cm="1">
        <f t="array" ref="L2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1.7621152273743477</v>
      </c>
      <c r="M293" s="37">
        <f t="shared" si="30"/>
        <v>2.571426767108842E-2</v>
      </c>
      <c r="N293" s="43">
        <f t="shared" si="31"/>
        <v>7.4294695902723529E-3</v>
      </c>
      <c r="O293" s="43">
        <f t="shared" si="32"/>
        <v>1.5580646733984516E-2</v>
      </c>
      <c r="P293" s="43">
        <f t="shared" si="33"/>
        <v>0.28892402013165641</v>
      </c>
      <c r="Q293" s="37">
        <f t="shared" si="34"/>
        <v>0.6059144648129513</v>
      </c>
      <c r="R293" s="37">
        <v>8.5000000000000006E-3</v>
      </c>
      <c r="S293" s="44" t="s">
        <v>1394</v>
      </c>
      <c r="T293" s="45">
        <v>2.8815179999999998</v>
      </c>
      <c r="U293" s="45">
        <v>-1.3228312000000001E-2</v>
      </c>
      <c r="V293" s="45">
        <v>3.1455589999999999E-2</v>
      </c>
      <c r="W293" s="45">
        <v>2.6851666000000003E-3</v>
      </c>
      <c r="X293" s="45">
        <v>-2.2577544E-4</v>
      </c>
      <c r="Y293" s="45">
        <v>2.4693268000000002E-5</v>
      </c>
      <c r="Z293" s="36">
        <v>3.07</v>
      </c>
      <c r="AA293" s="38">
        <v>592</v>
      </c>
      <c r="AB293" s="38">
        <v>681</v>
      </c>
      <c r="AC293" s="49" t="s">
        <v>506</v>
      </c>
      <c r="AD293" s="49" t="s">
        <v>506</v>
      </c>
      <c r="AE293" s="46" t="s">
        <v>249</v>
      </c>
    </row>
    <row r="294" spans="1:31" ht="15" thickBot="1">
      <c r="A294" s="34">
        <v>292</v>
      </c>
      <c r="B294" s="34" t="s">
        <v>252</v>
      </c>
      <c r="C294" s="41" t="s">
        <v>1356</v>
      </c>
      <c r="D294" s="34" t="s">
        <v>147</v>
      </c>
      <c r="E294" s="80">
        <f t="shared" si="28"/>
        <v>1.6989497953056483</v>
      </c>
      <c r="F294" s="35">
        <f t="shared" si="29"/>
        <v>30.050895746312712</v>
      </c>
      <c r="G294" s="42" cm="1">
        <f t="array" ref="G29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29.814366566323432</v>
      </c>
      <c r="H294" s="81" cm="1">
        <f t="array" ref="H2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1.6922098987462899</v>
      </c>
      <c r="I294" s="81" cm="1">
        <f t="array" ref="I2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1.6989497953056483</v>
      </c>
      <c r="J294" s="81" cm="1">
        <f t="array" ref="J2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1.7044425780265002</v>
      </c>
      <c r="K294" s="81" cm="1">
        <f t="array" ref="K2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1.7154687660095531</v>
      </c>
      <c r="L294" s="81" cm="1">
        <f t="array" ref="L2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1.7294918584765302</v>
      </c>
      <c r="M294" s="37">
        <f t="shared" si="30"/>
        <v>2.3258867263263205E-2</v>
      </c>
      <c r="N294" s="43">
        <f t="shared" si="31"/>
        <v>6.7398965593583604E-3</v>
      </c>
      <c r="O294" s="43">
        <f t="shared" si="32"/>
        <v>1.4023092466977083E-2</v>
      </c>
      <c r="P294" s="43">
        <f t="shared" si="33"/>
        <v>0.28977750649120637</v>
      </c>
      <c r="Q294" s="37">
        <f t="shared" si="34"/>
        <v>0.60291381812588118</v>
      </c>
      <c r="R294" s="37">
        <v>8.6E-3</v>
      </c>
      <c r="S294" s="44" t="s">
        <v>1394</v>
      </c>
      <c r="T294" s="45">
        <v>2.7919942999999998</v>
      </c>
      <c r="U294" s="45">
        <v>-1.2311206E-2</v>
      </c>
      <c r="V294" s="45">
        <v>2.8802741E-2</v>
      </c>
      <c r="W294" s="45">
        <v>2.1430058999999998E-3</v>
      </c>
      <c r="X294" s="45">
        <v>-1.6932119000000003E-4</v>
      </c>
      <c r="Y294" s="45">
        <v>1.9741766000000002E-5</v>
      </c>
      <c r="Z294" s="36">
        <v>2.95</v>
      </c>
      <c r="AA294" s="38">
        <v>593</v>
      </c>
      <c r="AB294" s="38">
        <v>685</v>
      </c>
      <c r="AC294" s="49" t="s">
        <v>506</v>
      </c>
      <c r="AD294" s="49" t="s">
        <v>506</v>
      </c>
      <c r="AE294" s="46" t="s">
        <v>249</v>
      </c>
    </row>
    <row r="295" spans="1:31" ht="15" thickBot="1">
      <c r="A295" s="34">
        <v>293</v>
      </c>
      <c r="B295" s="34" t="s">
        <v>252</v>
      </c>
      <c r="C295" s="41" t="s">
        <v>1357</v>
      </c>
      <c r="D295" s="34" t="s">
        <v>156</v>
      </c>
      <c r="E295" s="80">
        <f t="shared" si="28"/>
        <v>2.1041991124307344</v>
      </c>
      <c r="F295" s="35">
        <f t="shared" si="29"/>
        <v>17.01870086341015</v>
      </c>
      <c r="G295" s="42" cm="1">
        <f t="array" ref="G29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16.875925878851099</v>
      </c>
      <c r="H295" s="81" cm="1">
        <f t="array" ref="H2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2.086175582709759</v>
      </c>
      <c r="I295" s="81" cm="1">
        <f t="array" ref="I2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2.1041991124307344</v>
      </c>
      <c r="J295" s="81" cm="1">
        <f t="array" ref="J2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2.1193482988231644</v>
      </c>
      <c r="K295" s="81" cm="1">
        <f t="array" ref="K2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2.1510570987134123</v>
      </c>
      <c r="L295" s="81" cm="1">
        <f t="array" ref="L2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2.1940816645070402</v>
      </c>
      <c r="M295" s="37">
        <f t="shared" si="30"/>
        <v>6.4881516003653328E-2</v>
      </c>
      <c r="N295" s="43">
        <f t="shared" si="31"/>
        <v>1.8023529720975429E-2</v>
      </c>
      <c r="O295" s="43">
        <f t="shared" si="32"/>
        <v>4.30245657936279E-2</v>
      </c>
      <c r="P295" s="43">
        <f t="shared" si="33"/>
        <v>0.27779143939794138</v>
      </c>
      <c r="Q295" s="37">
        <f t="shared" si="34"/>
        <v>0.66312516173643798</v>
      </c>
      <c r="R295" s="37">
        <v>4.5400000000000003E-2</v>
      </c>
      <c r="S295" s="44" t="s">
        <v>1394</v>
      </c>
      <c r="T295" s="45">
        <v>4.1120387000000003</v>
      </c>
      <c r="U295" s="45">
        <v>-1.8227670000000001E-2</v>
      </c>
      <c r="V295" s="45">
        <v>8.9852105000000015E-2</v>
      </c>
      <c r="W295" s="45">
        <v>7.8714400000000004E-3</v>
      </c>
      <c r="X295" s="45">
        <v>-5.2228007999999997E-4</v>
      </c>
      <c r="Y295" s="45">
        <v>1.1773061E-4</v>
      </c>
      <c r="Z295" s="36">
        <v>5.63</v>
      </c>
      <c r="AA295" s="38">
        <v>561</v>
      </c>
      <c r="AB295" s="38">
        <v>626</v>
      </c>
      <c r="AC295" s="49" t="s">
        <v>506</v>
      </c>
      <c r="AD295" s="49" t="s">
        <v>506</v>
      </c>
      <c r="AE295" s="46" t="s">
        <v>1247</v>
      </c>
    </row>
    <row r="296" spans="1:31" ht="15" thickBot="1">
      <c r="A296" s="34">
        <v>294</v>
      </c>
      <c r="B296" s="34" t="s">
        <v>252</v>
      </c>
      <c r="C296" s="41" t="s">
        <v>1357</v>
      </c>
      <c r="D296" s="34" t="s">
        <v>160</v>
      </c>
      <c r="E296" s="80">
        <f t="shared" si="28"/>
        <v>1.9211887998393677</v>
      </c>
      <c r="F296" s="35">
        <f t="shared" si="29"/>
        <v>23.956452439999278</v>
      </c>
      <c r="G296" s="42" cm="1">
        <f t="array" ref="G29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23.765745389864172</v>
      </c>
      <c r="H296" s="81" cm="1">
        <f t="array" ref="H2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1.9102008005738988</v>
      </c>
      <c r="I296" s="81" cm="1">
        <f t="array" ref="I2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1.9211887998393677</v>
      </c>
      <c r="J296" s="81" cm="1">
        <f t="array" ref="J2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1.930240893371179</v>
      </c>
      <c r="K296" s="81" cm="1">
        <f t="array" ref="K2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1.9486534388410444</v>
      </c>
      <c r="L296" s="81" cm="1">
        <f t="array" ref="L2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1.9725043562608309</v>
      </c>
      <c r="M296" s="37">
        <f t="shared" si="30"/>
        <v>3.8452638267145511E-2</v>
      </c>
      <c r="N296" s="43">
        <f t="shared" si="31"/>
        <v>1.0987999265468895E-2</v>
      </c>
      <c r="O296" s="43">
        <f t="shared" si="32"/>
        <v>2.385091741978651E-2</v>
      </c>
      <c r="P296" s="43">
        <f t="shared" si="33"/>
        <v>0.28575410584654731</v>
      </c>
      <c r="Q296" s="37">
        <f t="shared" si="34"/>
        <v>0.62026738592251751</v>
      </c>
      <c r="R296" s="37">
        <v>1.4999999999999999E-2</v>
      </c>
      <c r="S296" s="44" t="s">
        <v>1394</v>
      </c>
      <c r="T296" s="45">
        <v>3.5126327000000002</v>
      </c>
      <c r="U296" s="45">
        <v>-1.5301499999999999E-2</v>
      </c>
      <c r="V296" s="45">
        <v>5.3936061000000007E-2</v>
      </c>
      <c r="W296" s="45">
        <v>3.4949369E-3</v>
      </c>
      <c r="X296" s="45">
        <v>-1.7950295E-4</v>
      </c>
      <c r="Y296" s="45">
        <v>3.4403181000000004E-5</v>
      </c>
      <c r="Z296" s="36">
        <v>3.84</v>
      </c>
      <c r="AA296" s="38">
        <v>629</v>
      </c>
      <c r="AB296" s="38" t="s">
        <v>249</v>
      </c>
      <c r="AC296" s="49" t="s">
        <v>506</v>
      </c>
      <c r="AD296" s="49" t="s">
        <v>506</v>
      </c>
      <c r="AE296" s="46" t="s">
        <v>249</v>
      </c>
    </row>
    <row r="297" spans="1:31" ht="15" thickBot="1">
      <c r="A297" s="34">
        <v>295</v>
      </c>
      <c r="B297" s="34" t="s">
        <v>252</v>
      </c>
      <c r="C297" s="41" t="s">
        <v>1356</v>
      </c>
      <c r="D297" s="34" t="s">
        <v>162</v>
      </c>
      <c r="E297" s="80">
        <f t="shared" si="28"/>
        <v>1.8466632447211253</v>
      </c>
      <c r="F297" s="35">
        <f t="shared" si="29"/>
        <v>23.785124439692968</v>
      </c>
      <c r="G297" s="42" cm="1">
        <f t="array" ref="G29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23.598660550170845</v>
      </c>
      <c r="H297" s="81" cm="1">
        <f t="array" ref="H2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1.8364919124907264</v>
      </c>
      <c r="I297" s="81" cm="1">
        <f t="array" ref="I2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1.8466632447211253</v>
      </c>
      <c r="J297" s="81" cm="1">
        <f t="array" ref="J2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1.8550485112455057</v>
      </c>
      <c r="K297" s="81" cm="1">
        <f t="array" ref="K2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1.8720882469504361</v>
      </c>
      <c r="L297" s="81" cm="1">
        <f t="array" ref="L2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1.8941311603685562</v>
      </c>
      <c r="M297" s="37">
        <f t="shared" si="30"/>
        <v>3.5596334459709666E-2</v>
      </c>
      <c r="N297" s="43">
        <f t="shared" si="31"/>
        <v>1.01713322303989E-2</v>
      </c>
      <c r="O297" s="43">
        <f t="shared" si="32"/>
        <v>2.2042913418120147E-2</v>
      </c>
      <c r="P297" s="43">
        <f t="shared" si="33"/>
        <v>0.28574100071768627</v>
      </c>
      <c r="Q297" s="37">
        <f t="shared" si="34"/>
        <v>0.61924672168337458</v>
      </c>
      <c r="R297" s="37">
        <v>1.37E-2</v>
      </c>
      <c r="S297" s="44" t="s">
        <v>1394</v>
      </c>
      <c r="T297" s="45">
        <v>3.2606321</v>
      </c>
      <c r="U297" s="45">
        <v>-1.7780397999999999E-2</v>
      </c>
      <c r="V297" s="45">
        <v>4.0902938000000007E-2</v>
      </c>
      <c r="W297" s="45">
        <v>5.6076933999999997E-3</v>
      </c>
      <c r="X297" s="45">
        <v>-5.6434039000000005E-4</v>
      </c>
      <c r="Y297" s="45">
        <v>5.4763391E-5</v>
      </c>
      <c r="Z297" s="36">
        <v>3.5</v>
      </c>
      <c r="AA297" s="38">
        <v>612</v>
      </c>
      <c r="AB297" s="38">
        <v>697</v>
      </c>
      <c r="AC297" s="49" t="s">
        <v>506</v>
      </c>
      <c r="AD297" s="49" t="s">
        <v>506</v>
      </c>
      <c r="AE297" s="46"/>
    </row>
    <row r="298" spans="1:31" ht="15" thickBot="1">
      <c r="A298" s="34">
        <v>296</v>
      </c>
      <c r="B298" s="34" t="s">
        <v>252</v>
      </c>
      <c r="C298" s="41" t="s">
        <v>1358</v>
      </c>
      <c r="D298" s="34" t="s">
        <v>1108</v>
      </c>
      <c r="E298" s="80">
        <f t="shared" si="28"/>
        <v>1.7409968022317037</v>
      </c>
      <c r="F298" s="35">
        <f t="shared" si="29"/>
        <v>52.602636429069811</v>
      </c>
      <c r="G298" s="42" cm="1">
        <f t="array" ref="G29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52.377534328573816</v>
      </c>
      <c r="H298" s="81" cm="1">
        <f t="array" ref="H2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1.736722595196537</v>
      </c>
      <c r="I298" s="81" cm="1">
        <f t="array" ref="I2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1.7409968022317037</v>
      </c>
      <c r="J298" s="81" cm="1">
        <f t="array" ref="J2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1.7443569732136885</v>
      </c>
      <c r="K298" s="81" cm="1">
        <f t="array" ref="K2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1.7508092808179103</v>
      </c>
      <c r="L298" s="81" cm="1">
        <f t="array" ref="L2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1.7584795598998906</v>
      </c>
      <c r="M298" s="37">
        <f t="shared" si="30"/>
        <v>1.4086685621373274E-2</v>
      </c>
      <c r="N298" s="43">
        <f t="shared" si="31"/>
        <v>4.2742070351666772E-3</v>
      </c>
      <c r="O298" s="43">
        <f t="shared" si="32"/>
        <v>7.670279081980258E-3</v>
      </c>
      <c r="P298" s="43">
        <f t="shared" si="33"/>
        <v>0.30342176648576302</v>
      </c>
      <c r="Q298" s="37">
        <f t="shared" si="34"/>
        <v>0.54450559117628006</v>
      </c>
      <c r="R298" s="37">
        <v>-9.1999999999999998E-3</v>
      </c>
      <c r="S298" s="44" t="s">
        <v>1394</v>
      </c>
      <c r="T298" s="45">
        <v>2.9717137</v>
      </c>
      <c r="U298" s="45">
        <v>-1.4952593E-2</v>
      </c>
      <c r="V298" s="45">
        <v>2.0162868E-2</v>
      </c>
      <c r="W298" s="45">
        <v>9.4072283E-4</v>
      </c>
      <c r="X298" s="45">
        <v>-8.8614104000000007E-5</v>
      </c>
      <c r="Y298" s="45">
        <v>5.3191242000000001E-6</v>
      </c>
      <c r="Z298" s="36">
        <v>4.1900000000000004</v>
      </c>
      <c r="AA298" s="38">
        <v>651</v>
      </c>
      <c r="AB298" s="38">
        <v>718</v>
      </c>
      <c r="AC298" s="49" t="s">
        <v>506</v>
      </c>
      <c r="AD298" s="49" t="s">
        <v>506</v>
      </c>
      <c r="AE298" s="46" t="s">
        <v>249</v>
      </c>
    </row>
    <row r="299" spans="1:31" ht="15" thickBot="1">
      <c r="A299" s="34">
        <v>297</v>
      </c>
      <c r="B299" s="34" t="s">
        <v>252</v>
      </c>
      <c r="C299" s="41" t="s">
        <v>1358</v>
      </c>
      <c r="D299" s="34" t="s">
        <v>1109</v>
      </c>
      <c r="E299" s="80">
        <f t="shared" si="28"/>
        <v>1.7339993108546221</v>
      </c>
      <c r="F299" s="35">
        <f t="shared" si="29"/>
        <v>51.054697442800361</v>
      </c>
      <c r="G299" s="42" cm="1">
        <f t="array" ref="G29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50.818295744251003</v>
      </c>
      <c r="H299" s="81" cm="1">
        <f t="array" ref="H2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1.7296479937428131</v>
      </c>
      <c r="I299" s="81" cm="1">
        <f t="array" ref="I2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1.7339993108546221</v>
      </c>
      <c r="J299" s="81" cm="1">
        <f t="array" ref="J2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1.7374230651318909</v>
      </c>
      <c r="K299" s="81" cm="1">
        <f t="array" ref="K2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1.7440247180721848</v>
      </c>
      <c r="L299" s="81" cm="1">
        <f t="array" ref="L2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1.7519335484776133</v>
      </c>
      <c r="M299" s="37">
        <f t="shared" si="30"/>
        <v>1.4376724329371759E-2</v>
      </c>
      <c r="N299" s="43">
        <f t="shared" si="31"/>
        <v>4.3513171118090277E-3</v>
      </c>
      <c r="O299" s="43">
        <f t="shared" si="32"/>
        <v>7.9088304054284464E-3</v>
      </c>
      <c r="P299" s="43">
        <f t="shared" si="33"/>
        <v>0.30266401525966891</v>
      </c>
      <c r="Q299" s="37">
        <f t="shared" si="34"/>
        <v>0.55011351850648238</v>
      </c>
      <c r="R299" s="37">
        <v>-6.4000000000000003E-3</v>
      </c>
      <c r="S299" s="44" t="s">
        <v>1394</v>
      </c>
      <c r="T299" s="45">
        <v>2.9425645</v>
      </c>
      <c r="U299" s="45">
        <v>-1.3266554E-2</v>
      </c>
      <c r="V299" s="45">
        <v>2.3559223000000001E-2</v>
      </c>
      <c r="W299" s="45">
        <v>-1.6399009E-4</v>
      </c>
      <c r="X299" s="45">
        <v>9.2370759000000015E-5</v>
      </c>
      <c r="Y299" s="45">
        <v>-4.8615982000000004E-6</v>
      </c>
      <c r="Z299" s="36">
        <v>4.0599999999999996</v>
      </c>
      <c r="AA299" s="38">
        <v>620</v>
      </c>
      <c r="AB299" s="38">
        <v>690</v>
      </c>
      <c r="AC299" s="49" t="s">
        <v>506</v>
      </c>
      <c r="AD299" s="49" t="s">
        <v>506</v>
      </c>
      <c r="AE299" s="46"/>
    </row>
    <row r="300" spans="1:31" ht="15" thickBot="1">
      <c r="A300" s="34">
        <v>298</v>
      </c>
      <c r="B300" s="34" t="s">
        <v>252</v>
      </c>
      <c r="C300" s="41" t="s">
        <v>1355</v>
      </c>
      <c r="D300" s="34" t="s">
        <v>1110</v>
      </c>
      <c r="E300" s="80">
        <f t="shared" si="28"/>
        <v>1.6700277100846992</v>
      </c>
      <c r="F300" s="35">
        <f t="shared" si="29"/>
        <v>47.197028588747173</v>
      </c>
      <c r="G300" s="42" cm="1">
        <f t="array" ref="G30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46.902477626405542</v>
      </c>
      <c r="H300" s="81" cm="1">
        <f t="array" ref="H3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1.6657907423310172</v>
      </c>
      <c r="I300" s="81" cm="1">
        <f t="array" ref="I3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1.6700277100846992</v>
      </c>
      <c r="J300" s="81" cm="1">
        <f t="array" ref="J3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1.6734022372872623</v>
      </c>
      <c r="K300" s="81" cm="1">
        <f t="array" ref="K3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1.6799871383779592</v>
      </c>
      <c r="L300" s="81" cm="1">
        <f t="array" ref="L3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1.6879957302654243</v>
      </c>
      <c r="M300" s="37">
        <f t="shared" si="30"/>
        <v>1.4196396046942006E-2</v>
      </c>
      <c r="N300" s="43">
        <f t="shared" si="31"/>
        <v>4.2369677536819861E-3</v>
      </c>
      <c r="O300" s="43">
        <f t="shared" si="32"/>
        <v>8.0085918874650552E-3</v>
      </c>
      <c r="P300" s="43">
        <f t="shared" si="33"/>
        <v>0.29845375824061038</v>
      </c>
      <c r="Q300" s="37">
        <f t="shared" si="34"/>
        <v>0.56412851973019995</v>
      </c>
      <c r="R300" s="37">
        <v>8.0000000000000004E-4</v>
      </c>
      <c r="S300" s="44" t="s">
        <v>1394</v>
      </c>
      <c r="T300" s="45">
        <v>2.7324620999999998</v>
      </c>
      <c r="U300" s="45">
        <v>-1.2490460000000002E-2</v>
      </c>
      <c r="V300" s="45">
        <v>1.8562334E-2</v>
      </c>
      <c r="W300" s="45">
        <v>9.9990536000000001E-4</v>
      </c>
      <c r="X300" s="45">
        <v>-6.8388552000000013E-5</v>
      </c>
      <c r="Y300" s="45">
        <v>4.9257930999999995E-6</v>
      </c>
      <c r="Z300" s="36">
        <v>3.61</v>
      </c>
      <c r="AA300" s="38">
        <v>576</v>
      </c>
      <c r="AB300" s="38">
        <v>704</v>
      </c>
      <c r="AC300" s="49" t="s">
        <v>506</v>
      </c>
      <c r="AD300" s="49" t="s">
        <v>506</v>
      </c>
      <c r="AE300" s="46"/>
    </row>
    <row r="301" spans="1:31" ht="15" thickBot="1">
      <c r="A301" s="34">
        <v>299</v>
      </c>
      <c r="B301" s="34" t="s">
        <v>252</v>
      </c>
      <c r="C301" s="41" t="s">
        <v>1355</v>
      </c>
      <c r="D301" s="34" t="s">
        <v>1111</v>
      </c>
      <c r="E301" s="80">
        <f t="shared" si="28"/>
        <v>1.6667198425145315</v>
      </c>
      <c r="F301" s="35">
        <f t="shared" si="29"/>
        <v>48.297884388442327</v>
      </c>
      <c r="G301" s="42" cm="1">
        <f t="array" ref="G30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47.972292628668782</v>
      </c>
      <c r="H301" s="81" cm="1">
        <f t="array" ref="H3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1.6626159208881441</v>
      </c>
      <c r="I301" s="81" cm="1">
        <f t="array" ref="I3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1.6667198425145315</v>
      </c>
      <c r="J301" s="81" cm="1">
        <f t="array" ref="J3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1.670003226478481</v>
      </c>
      <c r="K301" s="81" cm="1">
        <f t="array" ref="K3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1.6764202489856721</v>
      </c>
      <c r="L301" s="81" cm="1">
        <f t="array" ref="L3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1.6841997122558292</v>
      </c>
      <c r="M301" s="37">
        <f t="shared" si="30"/>
        <v>1.3804328097527963E-2</v>
      </c>
      <c r="N301" s="43">
        <f t="shared" si="31"/>
        <v>4.1039216263873968E-3</v>
      </c>
      <c r="O301" s="43">
        <f t="shared" si="32"/>
        <v>7.7794632701571054E-3</v>
      </c>
      <c r="P301" s="43">
        <f t="shared" si="33"/>
        <v>0.29729238521375878</v>
      </c>
      <c r="Q301" s="37">
        <f t="shared" si="34"/>
        <v>0.56355247536823094</v>
      </c>
      <c r="R301" s="37">
        <v>2.0999999999999999E-3</v>
      </c>
      <c r="S301" s="44" t="s">
        <v>1394</v>
      </c>
      <c r="T301" s="45">
        <v>2.7272954999999999</v>
      </c>
      <c r="U301" s="45">
        <v>-1.3470236E-2</v>
      </c>
      <c r="V301" s="45">
        <v>1.4809270999999999E-2</v>
      </c>
      <c r="W301" s="45">
        <v>1.9615335000000003E-3</v>
      </c>
      <c r="X301" s="45">
        <v>-1.9787663000000002E-4</v>
      </c>
      <c r="Y301" s="45">
        <v>1.0851117E-5</v>
      </c>
      <c r="Z301" s="36">
        <v>3.63</v>
      </c>
      <c r="AA301" s="38">
        <v>579</v>
      </c>
      <c r="AB301" s="38">
        <v>696</v>
      </c>
      <c r="AC301" s="49" t="s">
        <v>506</v>
      </c>
      <c r="AD301" s="49" t="s">
        <v>506</v>
      </c>
      <c r="AE301" s="46"/>
    </row>
    <row r="302" spans="1:31" ht="15" thickBot="1">
      <c r="A302" s="34">
        <v>300</v>
      </c>
      <c r="B302" s="34" t="s">
        <v>252</v>
      </c>
      <c r="C302" s="41" t="s">
        <v>1359</v>
      </c>
      <c r="D302" s="34" t="s">
        <v>173</v>
      </c>
      <c r="E302" s="80">
        <f t="shared" si="28"/>
        <v>1.6130998579082425</v>
      </c>
      <c r="F302" s="35">
        <f t="shared" si="29"/>
        <v>44.361221456237182</v>
      </c>
      <c r="G302" s="42" cm="1">
        <f t="array" ref="G30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44.131513574078276</v>
      </c>
      <c r="H302" s="81" cm="1">
        <f t="array" ref="H3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1.6089521443472929</v>
      </c>
      <c r="I302" s="81" cm="1">
        <f t="array" ref="I3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1.6130998579082425</v>
      </c>
      <c r="J302" s="81" cm="1">
        <f t="array" ref="J3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1.6163860781957553</v>
      </c>
      <c r="K302" s="81" cm="1">
        <f t="array" ref="K3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1.6227727705109136</v>
      </c>
      <c r="L302" s="81" cm="1">
        <f t="array" ref="L3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1.6305198135442351</v>
      </c>
      <c r="M302" s="37">
        <f t="shared" si="30"/>
        <v>1.3820626163620675E-2</v>
      </c>
      <c r="N302" s="43">
        <f t="shared" si="31"/>
        <v>4.1477135609495619E-3</v>
      </c>
      <c r="O302" s="43">
        <f t="shared" si="32"/>
        <v>7.7470430333215212E-3</v>
      </c>
      <c r="P302" s="43">
        <f t="shared" si="33"/>
        <v>0.30011039383059035</v>
      </c>
      <c r="Q302" s="37">
        <f t="shared" si="34"/>
        <v>0.56054211593637238</v>
      </c>
      <c r="R302" s="37">
        <v>-8.0000000000000002E-3</v>
      </c>
      <c r="S302" s="44" t="s">
        <v>1394</v>
      </c>
      <c r="T302" s="45">
        <v>2.5528982999999998</v>
      </c>
      <c r="U302" s="45">
        <v>-1.5709364E-2</v>
      </c>
      <c r="V302" s="45">
        <v>1.5647688E-2</v>
      </c>
      <c r="W302" s="45">
        <v>1.4461641E-3</v>
      </c>
      <c r="X302" s="45">
        <v>-1.4458879000000001E-4</v>
      </c>
      <c r="Y302" s="45">
        <v>9.5275732999999993E-6</v>
      </c>
      <c r="Z302" s="36">
        <v>3.04</v>
      </c>
      <c r="AA302" s="38">
        <v>496</v>
      </c>
      <c r="AB302" s="38">
        <v>570</v>
      </c>
      <c r="AC302" s="49" t="s">
        <v>506</v>
      </c>
      <c r="AD302" s="49" t="s">
        <v>506</v>
      </c>
      <c r="AE302" s="46"/>
    </row>
    <row r="303" spans="1:31" ht="15" thickBot="1">
      <c r="A303" s="34">
        <v>301</v>
      </c>
      <c r="B303" s="34" t="s">
        <v>252</v>
      </c>
      <c r="C303" s="41" t="s">
        <v>1359</v>
      </c>
      <c r="D303" s="34" t="s">
        <v>174</v>
      </c>
      <c r="E303" s="80">
        <f t="shared" si="28"/>
        <v>1.6541198443307643</v>
      </c>
      <c r="F303" s="35">
        <f t="shared" si="29"/>
        <v>39.621114962038519</v>
      </c>
      <c r="G303" s="42" cm="1">
        <f t="array" ref="G30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39.387270579573411</v>
      </c>
      <c r="H303" s="81" cm="1">
        <f t="array" ref="H3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1.6492051261977132</v>
      </c>
      <c r="I303" s="81" cm="1">
        <f t="array" ref="I3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1.6541198443307643</v>
      </c>
      <c r="J303" s="81" cm="1">
        <f t="array" ref="J3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1.6580349879986052</v>
      </c>
      <c r="K303" s="81" cm="1">
        <f t="array" ref="K3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1.6657145011852037</v>
      </c>
      <c r="L303" s="81" cm="1">
        <f t="array" ref="L3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1.6751867855311371</v>
      </c>
      <c r="M303" s="37">
        <f t="shared" si="30"/>
        <v>1.6509374987490499E-2</v>
      </c>
      <c r="N303" s="43">
        <f t="shared" si="31"/>
        <v>4.9147181330511103E-3</v>
      </c>
      <c r="O303" s="43">
        <f t="shared" si="32"/>
        <v>9.4722843459333905E-3</v>
      </c>
      <c r="P303" s="43">
        <f t="shared" si="33"/>
        <v>0.29769256175809777</v>
      </c>
      <c r="Q303" s="37">
        <f t="shared" si="34"/>
        <v>0.57375184421643699</v>
      </c>
      <c r="R303" s="37">
        <v>-3.3E-3</v>
      </c>
      <c r="S303" s="44" t="s">
        <v>1394</v>
      </c>
      <c r="T303" s="45">
        <v>2.6680421999999999</v>
      </c>
      <c r="U303" s="45">
        <v>-1.3184258000000001E-2</v>
      </c>
      <c r="V303" s="45">
        <v>2.3930479000000001E-2</v>
      </c>
      <c r="W303" s="45">
        <v>2.3928655000000001E-4</v>
      </c>
      <c r="X303" s="45">
        <v>5.0697941000000007E-5</v>
      </c>
      <c r="Y303" s="45">
        <v>9.1240957999999986E-7</v>
      </c>
      <c r="Z303" s="36">
        <v>3.38</v>
      </c>
      <c r="AA303" s="38">
        <v>497</v>
      </c>
      <c r="AB303" s="38">
        <v>568</v>
      </c>
      <c r="AC303" s="49" t="s">
        <v>506</v>
      </c>
      <c r="AD303" s="49" t="s">
        <v>506</v>
      </c>
      <c r="AE303" s="46"/>
    </row>
    <row r="304" spans="1:31" ht="15" thickBot="1">
      <c r="A304" s="34">
        <v>302</v>
      </c>
      <c r="B304" s="34" t="s">
        <v>252</v>
      </c>
      <c r="C304" s="41" t="s">
        <v>1355</v>
      </c>
      <c r="D304" s="34" t="s">
        <v>1112</v>
      </c>
      <c r="E304" s="80">
        <f t="shared" si="28"/>
        <v>1.6227999031375504</v>
      </c>
      <c r="F304" s="35">
        <f t="shared" si="29"/>
        <v>56.911536931237634</v>
      </c>
      <c r="G304" s="42" cm="1">
        <f t="array" ref="G30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56.625320027903086</v>
      </c>
      <c r="H304" s="81" cm="1">
        <f t="array" ref="H3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1.6194891797677828</v>
      </c>
      <c r="I304" s="81" cm="1">
        <f t="array" ref="I3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1.6227999031375504</v>
      </c>
      <c r="J304" s="81" cm="1">
        <f t="array" ref="J3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1.6254090778194539</v>
      </c>
      <c r="K304" s="81" cm="1">
        <f t="array" ref="K3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1.630432477677485</v>
      </c>
      <c r="L304" s="81" cm="1">
        <f t="array" ref="L3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1.6364183123822611</v>
      </c>
      <c r="M304" s="37">
        <f t="shared" si="30"/>
        <v>1.0943297909702165E-2</v>
      </c>
      <c r="N304" s="43">
        <f t="shared" si="31"/>
        <v>3.3107233697675653E-3</v>
      </c>
      <c r="O304" s="43">
        <f t="shared" si="32"/>
        <v>5.985834704776094E-3</v>
      </c>
      <c r="P304" s="43">
        <f t="shared" si="33"/>
        <v>0.30253433627465509</v>
      </c>
      <c r="Q304" s="37">
        <f t="shared" si="34"/>
        <v>0.5469863613480852</v>
      </c>
      <c r="R304" s="37">
        <v>8.9999999999999998E-4</v>
      </c>
      <c r="S304" s="44" t="s">
        <v>1394</v>
      </c>
      <c r="T304" s="45">
        <v>2.5906326000000002</v>
      </c>
      <c r="U304" s="45">
        <v>-1.0608994E-2</v>
      </c>
      <c r="V304" s="45">
        <v>1.4490916000000001E-2</v>
      </c>
      <c r="W304" s="45">
        <v>6.7542247000000003E-4</v>
      </c>
      <c r="X304" s="45">
        <v>-5.5303116000000006E-5</v>
      </c>
      <c r="Y304" s="45">
        <v>3.0061363999999998E-6</v>
      </c>
      <c r="Z304" s="36">
        <v>3.66</v>
      </c>
      <c r="AA304" s="38">
        <v>630</v>
      </c>
      <c r="AB304" s="38">
        <v>745</v>
      </c>
      <c r="AC304" s="49" t="s">
        <v>506</v>
      </c>
      <c r="AD304" s="49" t="s">
        <v>506</v>
      </c>
      <c r="AE304" s="46"/>
    </row>
    <row r="305" spans="1:31" ht="15" thickBot="1">
      <c r="A305" s="34">
        <v>303</v>
      </c>
      <c r="B305" s="34" t="s">
        <v>252</v>
      </c>
      <c r="C305" s="41" t="s">
        <v>1355</v>
      </c>
      <c r="D305" s="34" t="s">
        <v>1113</v>
      </c>
      <c r="E305" s="80">
        <f t="shared" si="28"/>
        <v>1.6484998753686144</v>
      </c>
      <c r="F305" s="35">
        <f t="shared" si="29"/>
        <v>53.031446014175891</v>
      </c>
      <c r="G305" s="42" cm="1">
        <f t="array" ref="G30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52.74230720617274</v>
      </c>
      <c r="H305" s="81" cm="1">
        <f t="array" ref="H3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1.6448184536982018</v>
      </c>
      <c r="I305" s="81" cm="1">
        <f t="array" ref="I3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1.6484998753686144</v>
      </c>
      <c r="J305" s="81" cm="1">
        <f t="array" ref="J3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1.6514132769833707</v>
      </c>
      <c r="K305" s="81" cm="1">
        <f t="array" ref="K3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1.6570470449230246</v>
      </c>
      <c r="L305" s="81" cm="1">
        <f t="array" ref="L3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1.6637990004942054</v>
      </c>
      <c r="M305" s="37">
        <f t="shared" si="30"/>
        <v>1.2228591224822782E-2</v>
      </c>
      <c r="N305" s="43">
        <f t="shared" si="31"/>
        <v>3.6814216704126324E-3</v>
      </c>
      <c r="O305" s="43">
        <f t="shared" si="32"/>
        <v>6.751955571180801E-3</v>
      </c>
      <c r="P305" s="43">
        <f t="shared" si="33"/>
        <v>0.30105035017768239</v>
      </c>
      <c r="Q305" s="37">
        <f t="shared" si="34"/>
        <v>0.5521450056712196</v>
      </c>
      <c r="R305" s="37">
        <v>-8.0000000000000004E-4</v>
      </c>
      <c r="S305" s="44" t="s">
        <v>1394</v>
      </c>
      <c r="T305" s="45">
        <v>2.6667537000000001</v>
      </c>
      <c r="U305" s="45">
        <v>-9.7319259000000005E-3</v>
      </c>
      <c r="V305" s="45">
        <v>1.7436284E-2</v>
      </c>
      <c r="W305" s="45">
        <v>4.7558014999999997E-4</v>
      </c>
      <c r="X305" s="45">
        <v>-1.7144988999999999E-5</v>
      </c>
      <c r="Y305" s="45">
        <v>1.1049589E-6</v>
      </c>
      <c r="Z305" s="36">
        <v>3.68</v>
      </c>
      <c r="AA305" s="38">
        <v>609</v>
      </c>
      <c r="AB305" s="38">
        <v>748</v>
      </c>
      <c r="AC305" s="49" t="s">
        <v>506</v>
      </c>
      <c r="AD305" s="49" t="s">
        <v>506</v>
      </c>
      <c r="AE305" s="46"/>
    </row>
    <row r="306" spans="1:31" ht="15" thickBot="1">
      <c r="A306" s="34">
        <v>304</v>
      </c>
      <c r="B306" s="34" t="s">
        <v>252</v>
      </c>
      <c r="C306" s="41" t="s">
        <v>1358</v>
      </c>
      <c r="D306" s="34" t="s">
        <v>1114</v>
      </c>
      <c r="E306" s="80">
        <f t="shared" si="28"/>
        <v>1.6237398800815011</v>
      </c>
      <c r="F306" s="35">
        <f t="shared" si="29"/>
        <v>47.051307883119151</v>
      </c>
      <c r="G306" s="42" cm="1">
        <f t="array" ref="G30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46.766416246285395</v>
      </c>
      <c r="H306" s="81" cm="1">
        <f t="array" ref="H3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1.6197781956335218</v>
      </c>
      <c r="I306" s="81" cm="1">
        <f t="array" ref="I3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1.6237398800815011</v>
      </c>
      <c r="J306" s="81" cm="1">
        <f t="array" ref="J3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1.6268922394858425</v>
      </c>
      <c r="K306" s="81" cm="1">
        <f t="array" ref="K3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1.6330347852618259</v>
      </c>
      <c r="L306" s="81" cm="1">
        <f t="array" ref="L3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1.6404939092978879</v>
      </c>
      <c r="M306" s="37">
        <f t="shared" si="30"/>
        <v>1.3256589628304116E-2</v>
      </c>
      <c r="N306" s="43">
        <f t="shared" si="31"/>
        <v>3.9616844479792857E-3</v>
      </c>
      <c r="O306" s="43">
        <f t="shared" si="32"/>
        <v>7.4591240360619704E-3</v>
      </c>
      <c r="P306" s="43">
        <f t="shared" si="33"/>
        <v>0.2988464272531075</v>
      </c>
      <c r="Q306" s="37">
        <f t="shared" si="34"/>
        <v>0.5626729230673333</v>
      </c>
      <c r="R306" s="37">
        <v>-1E-3</v>
      </c>
      <c r="S306" s="44" t="s">
        <v>1394</v>
      </c>
      <c r="T306" s="45">
        <v>2.5801121</v>
      </c>
      <c r="U306" s="45">
        <v>-7.9717945000000005E-3</v>
      </c>
      <c r="V306" s="45">
        <v>1.9728053999999998E-2</v>
      </c>
      <c r="W306" s="45">
        <v>1.3876076000000001E-4</v>
      </c>
      <c r="X306" s="45">
        <v>3.7632071000000002E-5</v>
      </c>
      <c r="Y306" s="45">
        <v>-7.4634716999999996E-7</v>
      </c>
      <c r="Z306" s="36">
        <v>3.32</v>
      </c>
      <c r="AA306" s="38">
        <v>561</v>
      </c>
      <c r="AB306" s="38">
        <v>696</v>
      </c>
      <c r="AC306" s="49" t="s">
        <v>506</v>
      </c>
      <c r="AD306" s="49" t="s">
        <v>506</v>
      </c>
      <c r="AE306" s="46"/>
    </row>
    <row r="307" spans="1:31" ht="15" thickBot="1">
      <c r="A307" s="34">
        <v>305</v>
      </c>
      <c r="B307" s="34" t="s">
        <v>252</v>
      </c>
      <c r="C307" s="41" t="s">
        <v>1358</v>
      </c>
      <c r="D307" s="34" t="s">
        <v>1115</v>
      </c>
      <c r="E307" s="80">
        <f t="shared" si="28"/>
        <v>1.7494998032802171</v>
      </c>
      <c r="F307" s="35">
        <f t="shared" si="29"/>
        <v>35.041022961288704</v>
      </c>
      <c r="G307" s="42" cm="1">
        <f t="array" ref="G30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34.773967343020388</v>
      </c>
      <c r="H307" s="81" cm="1">
        <f t="array" ref="H3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1.7432459898279755</v>
      </c>
      <c r="I307" s="81" cm="1">
        <f t="array" ref="I3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1.7494998032802171</v>
      </c>
      <c r="J307" s="81" cm="1">
        <f t="array" ref="J3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1.7545617302242527</v>
      </c>
      <c r="K307" s="81" cm="1">
        <f t="array" ref="K3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1.7646351999577203</v>
      </c>
      <c r="L307" s="81" cm="1">
        <f t="array" ref="L3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1.7772695030469314</v>
      </c>
      <c r="M307" s="37">
        <f t="shared" si="30"/>
        <v>2.1389210129744818E-2</v>
      </c>
      <c r="N307" s="43">
        <f t="shared" si="31"/>
        <v>6.25381345224163E-3</v>
      </c>
      <c r="O307" s="43">
        <f t="shared" si="32"/>
        <v>1.2634303089211096E-2</v>
      </c>
      <c r="P307" s="43">
        <f t="shared" si="33"/>
        <v>0.29238169218529436</v>
      </c>
      <c r="Q307" s="37">
        <f t="shared" si="34"/>
        <v>0.59068581834357947</v>
      </c>
      <c r="R307" s="37">
        <v>5.4000000000000003E-3</v>
      </c>
      <c r="S307" s="44" t="s">
        <v>1394</v>
      </c>
      <c r="T307" s="45">
        <v>2.9704177999999999</v>
      </c>
      <c r="U307" s="45">
        <v>-1.3290679000000001E-2</v>
      </c>
      <c r="V307" s="45">
        <v>2.8359005999999999E-2</v>
      </c>
      <c r="W307" s="45">
        <v>1.7661786E-3</v>
      </c>
      <c r="X307" s="45">
        <v>-1.2453482000000001E-4</v>
      </c>
      <c r="Y307" s="45">
        <v>1.3951937000000002E-5</v>
      </c>
      <c r="Z307" s="36">
        <v>3.72</v>
      </c>
      <c r="AA307" s="38">
        <v>627</v>
      </c>
      <c r="AB307" s="38">
        <v>725</v>
      </c>
      <c r="AC307" s="49" t="s">
        <v>506</v>
      </c>
      <c r="AD307" s="49" t="s">
        <v>506</v>
      </c>
      <c r="AE307" s="46"/>
    </row>
    <row r="308" spans="1:31" ht="15" thickBot="1">
      <c r="A308" s="34">
        <v>306</v>
      </c>
      <c r="B308" s="34" t="s">
        <v>252</v>
      </c>
      <c r="C308" s="41" t="s">
        <v>1358</v>
      </c>
      <c r="D308" s="34" t="s">
        <v>1116</v>
      </c>
      <c r="E308" s="80">
        <f t="shared" si="28"/>
        <v>1.8045037433995288</v>
      </c>
      <c r="F308" s="35">
        <f t="shared" si="29"/>
        <v>39.636479146580662</v>
      </c>
      <c r="G308" s="42" cm="1">
        <f t="array" ref="G30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39.386766262398318</v>
      </c>
      <c r="H308" s="81" cm="1">
        <f t="array" ref="H3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1.798487573692779</v>
      </c>
      <c r="I308" s="81" cm="1">
        <f t="array" ref="I3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1.8045037433995288</v>
      </c>
      <c r="J308" s="81" cm="1">
        <f t="array" ref="J3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1.8093232852591665</v>
      </c>
      <c r="K308" s="81" cm="1">
        <f t="array" ref="K3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1.8187846273343089</v>
      </c>
      <c r="L308" s="81" cm="1">
        <f t="array" ref="L3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1.8303839781563456</v>
      </c>
      <c r="M308" s="37">
        <f t="shared" si="30"/>
        <v>2.0297053641529894E-2</v>
      </c>
      <c r="N308" s="43">
        <f t="shared" si="31"/>
        <v>6.0161697067497855E-3</v>
      </c>
      <c r="O308" s="43">
        <f t="shared" si="32"/>
        <v>1.1599350822036669E-2</v>
      </c>
      <c r="P308" s="43">
        <f t="shared" si="33"/>
        <v>0.2964060603574537</v>
      </c>
      <c r="Q308" s="37">
        <f t="shared" si="34"/>
        <v>0.57147953722224909</v>
      </c>
      <c r="R308" s="37">
        <v>-5.4999999999999997E-3</v>
      </c>
      <c r="S308" s="44" t="s">
        <v>1394</v>
      </c>
      <c r="T308" s="45">
        <v>3.1633746</v>
      </c>
      <c r="U308" s="45">
        <v>-1.3276280000000001E-2</v>
      </c>
      <c r="V308" s="45">
        <v>3.1133308999999998E-2</v>
      </c>
      <c r="W308" s="45">
        <v>8.3523379999999995E-4</v>
      </c>
      <c r="X308" s="45">
        <v>2.9980498999999997E-6</v>
      </c>
      <c r="Y308" s="45">
        <v>2.5568852999999996E-6</v>
      </c>
      <c r="Z308" s="36">
        <v>4.3899999999999997</v>
      </c>
      <c r="AA308" s="38">
        <v>585</v>
      </c>
      <c r="AB308" s="38">
        <v>657</v>
      </c>
      <c r="AC308" s="49" t="s">
        <v>506</v>
      </c>
      <c r="AD308" s="49" t="s">
        <v>506</v>
      </c>
      <c r="AE308" s="46"/>
    </row>
    <row r="309" spans="1:31" ht="15" thickBot="1">
      <c r="A309" s="34">
        <v>307</v>
      </c>
      <c r="B309" s="34" t="s">
        <v>252</v>
      </c>
      <c r="C309" s="41" t="s">
        <v>1358</v>
      </c>
      <c r="D309" s="34" t="s">
        <v>1117</v>
      </c>
      <c r="E309" s="80">
        <f t="shared" si="28"/>
        <v>1.7995025274452852</v>
      </c>
      <c r="F309" s="35">
        <f t="shared" si="29"/>
        <v>42.340636645719911</v>
      </c>
      <c r="G309" s="42" cm="1">
        <f t="array" ref="G30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42.091818524629417</v>
      </c>
      <c r="H309" s="81" cm="1">
        <f t="array" ref="H3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1.7938753185843919</v>
      </c>
      <c r="I309" s="81" cm="1">
        <f t="array" ref="I3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1.7995025274452852</v>
      </c>
      <c r="J309" s="81" cm="1">
        <f t="array" ref="J3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1.8039913900502331</v>
      </c>
      <c r="K309" s="81" cm="1">
        <f t="array" ref="K3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1.8127579474436371</v>
      </c>
      <c r="L309" s="81" cm="1">
        <f t="array" ref="L3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1.8234266082870179</v>
      </c>
      <c r="M309" s="37">
        <f t="shared" si="30"/>
        <v>1.8882628859245187E-2</v>
      </c>
      <c r="N309" s="43">
        <f t="shared" si="31"/>
        <v>5.6272088608932957E-3</v>
      </c>
      <c r="O309" s="43">
        <f t="shared" si="32"/>
        <v>1.0668660843380806E-2</v>
      </c>
      <c r="P309" s="43">
        <f t="shared" si="33"/>
        <v>0.29800982177003066</v>
      </c>
      <c r="Q309" s="37">
        <f t="shared" si="34"/>
        <v>0.56499870451869239</v>
      </c>
      <c r="R309" s="37">
        <v>-7.1999999999999998E-3</v>
      </c>
      <c r="S309" s="44" t="s">
        <v>1394</v>
      </c>
      <c r="T309" s="45">
        <v>3.1513654999999998</v>
      </c>
      <c r="U309" s="45">
        <v>-1.3052015E-2</v>
      </c>
      <c r="V309" s="45">
        <v>2.9502111000000001E-2</v>
      </c>
      <c r="W309" s="45">
        <v>6.764343700000001E-4</v>
      </c>
      <c r="X309" s="45">
        <v>3.6679700999999998E-6</v>
      </c>
      <c r="Y309" s="45">
        <v>1.8233292999999997E-6</v>
      </c>
      <c r="Z309" s="36">
        <v>4.45</v>
      </c>
      <c r="AA309" s="38">
        <v>586</v>
      </c>
      <c r="AB309" s="38">
        <v>662</v>
      </c>
      <c r="AC309" s="49" t="s">
        <v>506</v>
      </c>
      <c r="AD309" s="49" t="s">
        <v>506</v>
      </c>
      <c r="AE309" s="46"/>
    </row>
    <row r="310" spans="1:31" ht="15" thickBot="1">
      <c r="A310" s="34">
        <v>308</v>
      </c>
      <c r="B310" s="34" t="s">
        <v>252</v>
      </c>
      <c r="C310" s="41" t="s">
        <v>1358</v>
      </c>
      <c r="D310" s="34" t="s">
        <v>1118</v>
      </c>
      <c r="E310" s="80">
        <f t="shared" si="28"/>
        <v>1.7944968722912953</v>
      </c>
      <c r="F310" s="35">
        <f t="shared" si="29"/>
        <v>45.386961072608067</v>
      </c>
      <c r="G310" s="42" cm="1">
        <f t="array" ref="G31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45.146620086426346</v>
      </c>
      <c r="H310" s="81" cm="1">
        <f t="array" ref="H3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1.7892472168332181</v>
      </c>
      <c r="I310" s="81" cm="1">
        <f t="array" ref="I3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1.7944968722912953</v>
      </c>
      <c r="J310" s="81" cm="1">
        <f t="array" ref="J3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1.7986640840327719</v>
      </c>
      <c r="K310" s="81" cm="1">
        <f t="array" ref="K3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1.8067521753833244</v>
      </c>
      <c r="L310" s="81" cm="1">
        <f t="array" ref="L3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1.8165076894023893</v>
      </c>
      <c r="M310" s="37">
        <f t="shared" si="30"/>
        <v>1.7504958550106364E-2</v>
      </c>
      <c r="N310" s="43">
        <f t="shared" si="31"/>
        <v>5.249655458077207E-3</v>
      </c>
      <c r="O310" s="43">
        <f t="shared" si="32"/>
        <v>9.755514019064826E-3</v>
      </c>
      <c r="P310" s="43">
        <f t="shared" si="33"/>
        <v>0.2998953378295951</v>
      </c>
      <c r="Q310" s="37">
        <f t="shared" si="34"/>
        <v>0.55730003536658179</v>
      </c>
      <c r="R310" s="37">
        <v>-9.4000000000000004E-3</v>
      </c>
      <c r="S310" s="44" t="s">
        <v>1394</v>
      </c>
      <c r="T310" s="45">
        <v>3.1415563999999998</v>
      </c>
      <c r="U310" s="45">
        <v>-1.4370304E-2</v>
      </c>
      <c r="V310" s="45">
        <v>2.6483051000000001E-2</v>
      </c>
      <c r="W310" s="45">
        <v>9.5642714000000013E-4</v>
      </c>
      <c r="X310" s="45">
        <v>-5.9411087000000002E-5</v>
      </c>
      <c r="Y310" s="45">
        <v>4.703953E-6</v>
      </c>
      <c r="Z310" s="36">
        <v>4.3499999999999996</v>
      </c>
      <c r="AA310" s="38">
        <v>648</v>
      </c>
      <c r="AB310" s="38">
        <v>712</v>
      </c>
      <c r="AC310" s="49" t="s">
        <v>506</v>
      </c>
      <c r="AD310" s="49" t="s">
        <v>506</v>
      </c>
      <c r="AE310" s="46"/>
    </row>
    <row r="311" spans="1:31" ht="15" thickBot="1">
      <c r="A311" s="34">
        <v>309</v>
      </c>
      <c r="B311" s="34" t="s">
        <v>252</v>
      </c>
      <c r="C311" s="41" t="s">
        <v>1358</v>
      </c>
      <c r="D311" s="34" t="s">
        <v>1119</v>
      </c>
      <c r="E311" s="80">
        <f t="shared" si="28"/>
        <v>1.804199551815554</v>
      </c>
      <c r="F311" s="35">
        <f t="shared" si="29"/>
        <v>46.503093973156211</v>
      </c>
      <c r="G311" s="42" cm="1">
        <f t="array" ref="G31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46.259749988015848</v>
      </c>
      <c r="H311" s="81" cm="1">
        <f t="array" ref="H3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1.7990028134381746</v>
      </c>
      <c r="I311" s="81" cm="1">
        <f t="array" ref="I3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1.804199551815554</v>
      </c>
      <c r="J311" s="81" cm="1">
        <f t="array" ref="J3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1.8083136107112658</v>
      </c>
      <c r="K311" s="81" cm="1">
        <f t="array" ref="K3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1.8162962767995539</v>
      </c>
      <c r="L311" s="81" cm="1">
        <f t="array" ref="L3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1.8259460364400728</v>
      </c>
      <c r="M311" s="37">
        <f t="shared" si="30"/>
        <v>1.7293463361379269E-2</v>
      </c>
      <c r="N311" s="43">
        <f t="shared" si="31"/>
        <v>5.1967383773794396E-3</v>
      </c>
      <c r="O311" s="43">
        <f t="shared" si="32"/>
        <v>9.6497596405189512E-3</v>
      </c>
      <c r="P311" s="43">
        <f t="shared" si="33"/>
        <v>0.30050304376768661</v>
      </c>
      <c r="Q311" s="37">
        <f t="shared" si="34"/>
        <v>0.5580004096848139</v>
      </c>
      <c r="R311" s="37">
        <v>-6.6E-3</v>
      </c>
      <c r="S311" s="44" t="s">
        <v>1394</v>
      </c>
      <c r="T311" s="45">
        <v>3.1743706999999999</v>
      </c>
      <c r="U311" s="45">
        <v>-1.4110466E-2</v>
      </c>
      <c r="V311" s="45">
        <v>2.8862637000000003E-2</v>
      </c>
      <c r="W311" s="45">
        <v>3.3559490000000002E-5</v>
      </c>
      <c r="X311" s="45">
        <v>8.0422109000000008E-5</v>
      </c>
      <c r="Y311" s="45">
        <v>-2.8956743999999995E-6</v>
      </c>
      <c r="Z311" s="36">
        <v>4.6500000000000004</v>
      </c>
      <c r="AA311" s="38">
        <v>681</v>
      </c>
      <c r="AB311" s="38">
        <v>744</v>
      </c>
      <c r="AC311" s="49" t="s">
        <v>506</v>
      </c>
      <c r="AD311" s="49" t="s">
        <v>506</v>
      </c>
      <c r="AE311" s="46"/>
    </row>
    <row r="312" spans="1:31" ht="15" thickBot="1">
      <c r="A312" s="34">
        <v>310</v>
      </c>
      <c r="B312" s="34" t="s">
        <v>252</v>
      </c>
      <c r="C312" s="41" t="s">
        <v>1358</v>
      </c>
      <c r="D312" s="34" t="s">
        <v>1120</v>
      </c>
      <c r="E312" s="80">
        <f t="shared" si="28"/>
        <v>1.7879971594618183</v>
      </c>
      <c r="F312" s="35">
        <f t="shared" si="29"/>
        <v>47.494353696426181</v>
      </c>
      <c r="G312" s="42" cm="1">
        <f t="array" ref="G31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47.259321576682659</v>
      </c>
      <c r="H312" s="81" cm="1">
        <f t="array" ref="H3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1.7830002142907775</v>
      </c>
      <c r="I312" s="81" cm="1">
        <f t="array" ref="I3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1.7879971594618183</v>
      </c>
      <c r="J312" s="81" cm="1">
        <f t="array" ref="J3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1.7919479765140398</v>
      </c>
      <c r="K312" s="81" cm="1">
        <f t="array" ref="K3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1.7995916003847652</v>
      </c>
      <c r="L312" s="81" cm="1">
        <f t="array" ref="L3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1.8087813551685059</v>
      </c>
      <c r="M312" s="37">
        <f t="shared" si="30"/>
        <v>1.6591386093987692E-2</v>
      </c>
      <c r="N312" s="43">
        <f t="shared" si="31"/>
        <v>4.9969451710407675E-3</v>
      </c>
      <c r="O312" s="43">
        <f t="shared" si="32"/>
        <v>9.1897547837407334E-3</v>
      </c>
      <c r="P312" s="43">
        <f t="shared" si="33"/>
        <v>0.30117707723356141</v>
      </c>
      <c r="Q312" s="37">
        <f t="shared" si="34"/>
        <v>0.55388710332471092</v>
      </c>
      <c r="R312" s="37">
        <v>-9.1000000000000004E-3</v>
      </c>
      <c r="S312" s="44" t="s">
        <v>1394</v>
      </c>
      <c r="T312" s="45">
        <v>3.1212281000000002</v>
      </c>
      <c r="U312" s="45">
        <v>-1.4119909E-2</v>
      </c>
      <c r="V312" s="45">
        <v>2.6520622000000001E-2</v>
      </c>
      <c r="W312" s="45">
        <v>4.0415763000000002E-4</v>
      </c>
      <c r="X312" s="45">
        <v>1.4260634000000002E-5</v>
      </c>
      <c r="Y312" s="45">
        <v>3.1642559999999996E-7</v>
      </c>
      <c r="Z312" s="36">
        <v>4.54</v>
      </c>
      <c r="AA312" s="38">
        <v>655</v>
      </c>
      <c r="AB312" s="38">
        <v>717</v>
      </c>
      <c r="AC312" s="49" t="s">
        <v>506</v>
      </c>
      <c r="AD312" s="49" t="s">
        <v>506</v>
      </c>
      <c r="AE312" s="46"/>
    </row>
    <row r="313" spans="1:31" ht="15" thickBot="1">
      <c r="A313" s="34">
        <v>311</v>
      </c>
      <c r="B313" s="34" t="s">
        <v>252</v>
      </c>
      <c r="C313" s="41" t="s">
        <v>1358</v>
      </c>
      <c r="D313" s="34" t="s">
        <v>1121</v>
      </c>
      <c r="E313" s="80">
        <f t="shared" si="28"/>
        <v>1.8159994654813043</v>
      </c>
      <c r="F313" s="35">
        <f t="shared" si="29"/>
        <v>46.57245863212998</v>
      </c>
      <c r="G313" s="42" cm="1">
        <f t="array" ref="G31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46.321920321155702</v>
      </c>
      <c r="H313" s="81" cm="1">
        <f t="array" ref="H3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1.8107443865780601</v>
      </c>
      <c r="I313" s="81" cm="1">
        <f t="array" ref="I3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1.8159994654813043</v>
      </c>
      <c r="J313" s="81" cm="1">
        <f t="array" ref="J3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1.8201710387564911</v>
      </c>
      <c r="K313" s="81" cm="1">
        <f t="array" ref="K3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1.8282654599645176</v>
      </c>
      <c r="L313" s="81" cm="1">
        <f t="array" ref="L3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1.8380118403486769</v>
      </c>
      <c r="M313" s="37">
        <f t="shared" si="30"/>
        <v>1.7521073386457475E-2</v>
      </c>
      <c r="N313" s="43">
        <f t="shared" si="31"/>
        <v>5.2550789032441703E-3</v>
      </c>
      <c r="O313" s="43">
        <f t="shared" si="32"/>
        <v>9.7463803841593144E-3</v>
      </c>
      <c r="P313" s="43">
        <f t="shared" si="33"/>
        <v>0.299929050425984</v>
      </c>
      <c r="Q313" s="37">
        <f t="shared" si="34"/>
        <v>0.55626616983937538</v>
      </c>
      <c r="R313" s="37">
        <v>-8.3000000000000001E-3</v>
      </c>
      <c r="S313" s="44" t="s">
        <v>1394</v>
      </c>
      <c r="T313" s="45">
        <v>3.2191570999999999</v>
      </c>
      <c r="U313" s="45">
        <v>-1.5310562000000002E-2</v>
      </c>
      <c r="V313" s="45">
        <v>2.6362570000000002E-2</v>
      </c>
      <c r="W313" s="45">
        <v>1.0534452000000001E-3</v>
      </c>
      <c r="X313" s="45">
        <v>-6.166041200000001E-5</v>
      </c>
      <c r="Y313" s="45">
        <v>3.9733896999999994E-6</v>
      </c>
      <c r="Z313" s="36">
        <v>5.0599999999999996</v>
      </c>
      <c r="AA313" s="38">
        <v>698</v>
      </c>
      <c r="AB313" s="38">
        <v>766</v>
      </c>
      <c r="AC313" s="49" t="s">
        <v>506</v>
      </c>
      <c r="AD313" s="49" t="s">
        <v>506</v>
      </c>
      <c r="AE313" s="46"/>
    </row>
    <row r="314" spans="1:31" ht="15" thickBot="1">
      <c r="A314" s="34">
        <v>312</v>
      </c>
      <c r="B314" s="34" t="s">
        <v>252</v>
      </c>
      <c r="C314" s="41" t="s">
        <v>1358</v>
      </c>
      <c r="D314" s="34" t="s">
        <v>1122</v>
      </c>
      <c r="E314" s="80">
        <f t="shared" si="28"/>
        <v>1.8348054799371871</v>
      </c>
      <c r="F314" s="35">
        <f t="shared" si="29"/>
        <v>42.72230351391191</v>
      </c>
      <c r="G314" s="42" cm="1">
        <f t="array" ref="G31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42.469859991987896</v>
      </c>
      <c r="H314" s="81" cm="1">
        <f t="array" ref="H3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1.8289811357212706</v>
      </c>
      <c r="I314" s="81" cm="1">
        <f t="array" ref="I3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1.8348054799371871</v>
      </c>
      <c r="J314" s="81" cm="1">
        <f t="array" ref="J3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1.8394501195370463</v>
      </c>
      <c r="K314" s="81" cm="1">
        <f t="array" ref="K3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1.8485214088637369</v>
      </c>
      <c r="L314" s="81" cm="1">
        <f t="array" ref="L3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1.8595647630806669</v>
      </c>
      <c r="M314" s="37">
        <f t="shared" si="30"/>
        <v>1.9540273142466313E-2</v>
      </c>
      <c r="N314" s="43">
        <f t="shared" si="31"/>
        <v>5.8243442159164882E-3</v>
      </c>
      <c r="O314" s="43">
        <f t="shared" si="32"/>
        <v>1.1043354216929924E-2</v>
      </c>
      <c r="P314" s="43">
        <f t="shared" si="33"/>
        <v>0.29806872060854711</v>
      </c>
      <c r="Q314" s="37">
        <f t="shared" si="34"/>
        <v>0.56515864115173087</v>
      </c>
      <c r="R314" s="37">
        <v>-6.4000000000000003E-3</v>
      </c>
      <c r="S314" s="44" t="s">
        <v>1394</v>
      </c>
      <c r="T314" s="45">
        <v>3.2755459999999998</v>
      </c>
      <c r="U314" s="45">
        <v>-1.4470354000000001E-2</v>
      </c>
      <c r="V314" s="45">
        <v>3.0922062000000004E-2</v>
      </c>
      <c r="W314" s="45">
        <v>7.3289980999999998E-4</v>
      </c>
      <c r="X314" s="45">
        <v>4.6573307000000003E-6</v>
      </c>
      <c r="Y314" s="45">
        <v>1.8242746E-6</v>
      </c>
      <c r="Z314" s="36">
        <v>4.72</v>
      </c>
      <c r="AA314" s="38">
        <v>665</v>
      </c>
      <c r="AB314" s="38">
        <v>727</v>
      </c>
      <c r="AC314" s="49" t="s">
        <v>506</v>
      </c>
      <c r="AD314" s="49" t="s">
        <v>506</v>
      </c>
      <c r="AE314" s="46"/>
    </row>
    <row r="315" spans="1:31" ht="15" thickBot="1">
      <c r="A315" s="34">
        <v>313</v>
      </c>
      <c r="B315" s="34" t="s">
        <v>252</v>
      </c>
      <c r="C315" s="41" t="s">
        <v>1358</v>
      </c>
      <c r="D315" s="34" t="s">
        <v>1123</v>
      </c>
      <c r="E315" s="80">
        <f t="shared" si="28"/>
        <v>1.9108224186631706</v>
      </c>
      <c r="F315" s="35">
        <f t="shared" si="29"/>
        <v>35.250443991455498</v>
      </c>
      <c r="G315" s="42" cm="1">
        <f t="array" ref="G31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35.006567043953794</v>
      </c>
      <c r="H315" s="81" cm="1">
        <f t="array" ref="H3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1.903234376216336</v>
      </c>
      <c r="I315" s="81" cm="1">
        <f t="array" ref="I3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1.9108224186631706</v>
      </c>
      <c r="J315" s="81" cm="1">
        <f t="array" ref="J3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1.9169479727865957</v>
      </c>
      <c r="K315" s="81" cm="1">
        <f t="array" ref="K3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1.9290729846288697</v>
      </c>
      <c r="L315" s="81" cm="1">
        <f t="array" ref="L3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1.944117786198059</v>
      </c>
      <c r="M315" s="37">
        <f t="shared" si="30"/>
        <v>2.5838608412533715E-2</v>
      </c>
      <c r="N315" s="43">
        <f t="shared" si="31"/>
        <v>7.5880424468346419E-3</v>
      </c>
      <c r="O315" s="43">
        <f t="shared" si="32"/>
        <v>1.5044801569189303E-2</v>
      </c>
      <c r="P315" s="43">
        <f t="shared" si="33"/>
        <v>0.29367070879691248</v>
      </c>
      <c r="Q315" s="37">
        <f t="shared" si="34"/>
        <v>0.58226051995475947</v>
      </c>
      <c r="R315" s="37">
        <v>-2.7000000000000001E-3</v>
      </c>
      <c r="S315" s="44" t="s">
        <v>1394</v>
      </c>
      <c r="T315" s="45">
        <v>3.5274747</v>
      </c>
      <c r="U315" s="45">
        <v>-1.4839948E-2</v>
      </c>
      <c r="V315" s="45">
        <v>3.9745401999999999E-2</v>
      </c>
      <c r="W315" s="45">
        <v>1.803472E-3</v>
      </c>
      <c r="X315" s="45">
        <v>-8.9279334000000017E-5</v>
      </c>
      <c r="Y315" s="45">
        <v>1.1377783E-5</v>
      </c>
      <c r="Z315" s="36">
        <v>4.97</v>
      </c>
      <c r="AA315" s="38">
        <v>678</v>
      </c>
      <c r="AB315" s="38">
        <v>764</v>
      </c>
      <c r="AC315" s="49" t="s">
        <v>506</v>
      </c>
      <c r="AD315" s="49" t="s">
        <v>506</v>
      </c>
      <c r="AE315" s="46"/>
    </row>
    <row r="316" spans="1:31" ht="15" thickBot="1">
      <c r="A316" s="34">
        <v>314</v>
      </c>
      <c r="B316" s="34" t="s">
        <v>252</v>
      </c>
      <c r="C316" s="41" t="s">
        <v>1358</v>
      </c>
      <c r="D316" s="34" t="s">
        <v>1124</v>
      </c>
      <c r="E316" s="80">
        <f t="shared" si="28"/>
        <v>1.9004327860015244</v>
      </c>
      <c r="F316" s="35">
        <f t="shared" si="29"/>
        <v>37.371018735231026</v>
      </c>
      <c r="G316" s="42" cm="1">
        <f t="array" ref="G31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37.121570736038855</v>
      </c>
      <c r="H316" s="81" cm="1">
        <f t="array" ref="H3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1.8933267414380612</v>
      </c>
      <c r="I316" s="81" cm="1">
        <f t="array" ref="I3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1.9004327860015244</v>
      </c>
      <c r="J316" s="81" cm="1">
        <f t="array" ref="J3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1.9061493885671237</v>
      </c>
      <c r="K316" s="81" cm="1">
        <f t="array" ref="K3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1.9174211551435312</v>
      </c>
      <c r="L316" s="81" cm="1">
        <f t="array" ref="L3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1.9313287346619878</v>
      </c>
      <c r="M316" s="37">
        <f t="shared" si="30"/>
        <v>2.4094413705469941E-2</v>
      </c>
      <c r="N316" s="43">
        <f t="shared" si="31"/>
        <v>7.1060445634631986E-3</v>
      </c>
      <c r="O316" s="43">
        <f t="shared" si="32"/>
        <v>1.390757951845667E-2</v>
      </c>
      <c r="P316" s="43">
        <f t="shared" si="33"/>
        <v>0.29492498345581142</v>
      </c>
      <c r="Q316" s="37">
        <f t="shared" si="34"/>
        <v>0.577211783962162</v>
      </c>
      <c r="R316" s="37">
        <v>-3.8999999999999998E-3</v>
      </c>
      <c r="S316" s="44" t="s">
        <v>1394</v>
      </c>
      <c r="T316" s="45">
        <v>3.4943369</v>
      </c>
      <c r="U316" s="45">
        <v>-1.3647624000000001E-2</v>
      </c>
      <c r="V316" s="45">
        <v>3.883317E-2</v>
      </c>
      <c r="W316" s="45">
        <v>1.1132555E-3</v>
      </c>
      <c r="X316" s="45">
        <v>-7.4022370000000004E-6</v>
      </c>
      <c r="Y316" s="45">
        <v>5.3027753999999991E-6</v>
      </c>
      <c r="Z316" s="36">
        <v>5.19</v>
      </c>
      <c r="AA316" s="38">
        <v>714</v>
      </c>
      <c r="AB316" s="38">
        <v>792</v>
      </c>
      <c r="AC316" s="49" t="s">
        <v>506</v>
      </c>
      <c r="AD316" s="49" t="s">
        <v>506</v>
      </c>
      <c r="AE316" s="46"/>
    </row>
    <row r="317" spans="1:31" ht="15" thickBot="1">
      <c r="A317" s="34">
        <v>315</v>
      </c>
      <c r="B317" s="34" t="s">
        <v>252</v>
      </c>
      <c r="C317" s="41" t="s">
        <v>1365</v>
      </c>
      <c r="D317" s="34" t="s">
        <v>412</v>
      </c>
      <c r="E317" s="80">
        <f t="shared" si="28"/>
        <v>1.4971026214040963</v>
      </c>
      <c r="F317" s="35">
        <f t="shared" si="29"/>
        <v>81.560538997994428</v>
      </c>
      <c r="G317" s="42" cm="1">
        <f t="array" ref="G31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81.157002600235003</v>
      </c>
      <c r="H317" s="81" cm="1">
        <f t="array" ref="H3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1.4952410787808088</v>
      </c>
      <c r="I317" s="81" cm="1">
        <f t="array" ref="I3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1.4971026214040963</v>
      </c>
      <c r="J317" s="81" cm="1">
        <f t="array" ref="J3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1.498557109347356</v>
      </c>
      <c r="K317" s="81" cm="1">
        <f t="array" ref="K3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1.5013359701033921</v>
      </c>
      <c r="L317" s="81" cm="1">
        <f t="array" ref="L3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1.5046180276295016</v>
      </c>
      <c r="M317" s="37">
        <f t="shared" si="30"/>
        <v>6.0948913225833401E-3</v>
      </c>
      <c r="N317" s="43">
        <f t="shared" si="31"/>
        <v>1.8615426232875265E-3</v>
      </c>
      <c r="O317" s="43">
        <f t="shared" si="32"/>
        <v>3.2820575261094387E-3</v>
      </c>
      <c r="P317" s="43">
        <f t="shared" si="33"/>
        <v>0.30542671308838126</v>
      </c>
      <c r="Q317" s="37">
        <f t="shared" si="34"/>
        <v>0.53849319904170623</v>
      </c>
      <c r="R317" s="37">
        <v>3.6900000000000002E-2</v>
      </c>
      <c r="S317" s="44" t="s">
        <v>1394</v>
      </c>
      <c r="T317" s="45">
        <v>2.2189068000000001</v>
      </c>
      <c r="U317" s="45">
        <v>-6.1707064999999995E-3</v>
      </c>
      <c r="V317" s="45">
        <v>8.0887631000000002E-3</v>
      </c>
      <c r="W317" s="45">
        <v>1.3357782000000002E-4</v>
      </c>
      <c r="X317" s="45">
        <v>1.9476185999999998E-7</v>
      </c>
      <c r="Y317" s="45">
        <v>-2.2577804000000001E-7</v>
      </c>
      <c r="Z317" s="36">
        <v>3.64</v>
      </c>
      <c r="AA317" s="38">
        <v>384</v>
      </c>
      <c r="AB317" s="38">
        <v>513</v>
      </c>
      <c r="AC317" s="39" t="s">
        <v>508</v>
      </c>
      <c r="AD317" s="39" t="s">
        <v>1371</v>
      </c>
      <c r="AE317" s="46"/>
    </row>
    <row r="318" spans="1:31" ht="15" thickBot="1">
      <c r="A318" s="34">
        <v>316</v>
      </c>
      <c r="B318" s="34" t="s">
        <v>252</v>
      </c>
      <c r="C318" s="41" t="s">
        <v>1365</v>
      </c>
      <c r="D318" s="34" t="s">
        <v>413</v>
      </c>
      <c r="E318" s="80">
        <f t="shared" si="28"/>
        <v>1.4968992163145121</v>
      </c>
      <c r="F318" s="35">
        <f t="shared" si="29"/>
        <v>81.522970463457312</v>
      </c>
      <c r="G318" s="42" cm="1">
        <f t="array" ref="G31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81.115333024174404</v>
      </c>
      <c r="H318" s="81" cm="1">
        <f t="array" ref="H3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1.4950403428228982</v>
      </c>
      <c r="I318" s="81" cm="1">
        <f t="array" ref="I3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1.4968992163145121</v>
      </c>
      <c r="J318" s="81" cm="1">
        <f t="array" ref="J3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1.4983552243047014</v>
      </c>
      <c r="K318" s="81" cm="1">
        <f t="array" ref="K3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1.5011355478122361</v>
      </c>
      <c r="L318" s="81" cm="1">
        <f t="array" ref="L3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1.5044026133955297</v>
      </c>
      <c r="M318" s="37">
        <f t="shared" si="30"/>
        <v>6.0952049893379101E-3</v>
      </c>
      <c r="N318" s="43">
        <f t="shared" si="31"/>
        <v>1.8588734916138439E-3</v>
      </c>
      <c r="O318" s="43">
        <f t="shared" si="32"/>
        <v>3.2670655832935935E-3</v>
      </c>
      <c r="P318" s="43">
        <f t="shared" si="33"/>
        <v>0.3049730886599375</v>
      </c>
      <c r="Q318" s="37">
        <f t="shared" si="34"/>
        <v>0.53600585854102301</v>
      </c>
      <c r="R318" s="37">
        <v>3.4200000000000001E-2</v>
      </c>
      <c r="S318" s="44" t="s">
        <v>1394</v>
      </c>
      <c r="T318" s="45">
        <v>2.2209417999999999</v>
      </c>
      <c r="U318" s="45">
        <v>-7.4830372000000006E-3</v>
      </c>
      <c r="V318" s="45">
        <v>6.2463392000000001E-3</v>
      </c>
      <c r="W318" s="45">
        <v>7.1157759000000005E-4</v>
      </c>
      <c r="X318" s="45">
        <v>-8.2274254000000007E-5</v>
      </c>
      <c r="Y318" s="45">
        <v>4.0430545999999991E-6</v>
      </c>
      <c r="Z318" s="36">
        <v>3.64</v>
      </c>
      <c r="AA318" s="38">
        <v>384</v>
      </c>
      <c r="AB318" s="38">
        <v>513</v>
      </c>
      <c r="AC318" s="39" t="s">
        <v>508</v>
      </c>
      <c r="AD318" s="39" t="s">
        <v>1371</v>
      </c>
      <c r="AE318" s="46" t="s">
        <v>869</v>
      </c>
    </row>
    <row r="319" spans="1:31" ht="15" thickBot="1">
      <c r="A319" s="34">
        <v>317</v>
      </c>
      <c r="B319" s="34" t="s">
        <v>252</v>
      </c>
      <c r="C319" s="41" t="s">
        <v>1365</v>
      </c>
      <c r="D319" s="34" t="s">
        <v>414</v>
      </c>
      <c r="E319" s="80">
        <f t="shared" si="28"/>
        <v>1.4968992163145121</v>
      </c>
      <c r="F319" s="35">
        <f t="shared" si="29"/>
        <v>81.522970463457312</v>
      </c>
      <c r="G319" s="42" cm="1">
        <f t="array" ref="G31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81.115333024174404</v>
      </c>
      <c r="H319" s="81" cm="1">
        <f t="array" ref="H3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1.4950403428228982</v>
      </c>
      <c r="I319" s="81" cm="1">
        <f t="array" ref="I3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1.4968992163145121</v>
      </c>
      <c r="J319" s="81" cm="1">
        <f t="array" ref="J3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1.4983552243047014</v>
      </c>
      <c r="K319" s="81" cm="1">
        <f t="array" ref="K3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1.5011355478122361</v>
      </c>
      <c r="L319" s="81" cm="1">
        <f t="array" ref="L3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1.5044026133955297</v>
      </c>
      <c r="M319" s="37">
        <f t="shared" si="30"/>
        <v>6.0952049893379101E-3</v>
      </c>
      <c r="N319" s="43">
        <f t="shared" si="31"/>
        <v>1.8588734916138439E-3</v>
      </c>
      <c r="O319" s="43">
        <f t="shared" si="32"/>
        <v>3.2670655832935935E-3</v>
      </c>
      <c r="P319" s="43">
        <f t="shared" si="33"/>
        <v>0.3049730886599375</v>
      </c>
      <c r="Q319" s="37">
        <f t="shared" si="34"/>
        <v>0.53600585854102301</v>
      </c>
      <c r="R319" s="37">
        <v>3.4200000000000001E-2</v>
      </c>
      <c r="S319" s="44" t="s">
        <v>1394</v>
      </c>
      <c r="T319" s="45">
        <v>2.2209417999999999</v>
      </c>
      <c r="U319" s="45">
        <v>-7.4830372000000006E-3</v>
      </c>
      <c r="V319" s="45">
        <v>6.2463392000000001E-3</v>
      </c>
      <c r="W319" s="45">
        <v>7.1157759000000005E-4</v>
      </c>
      <c r="X319" s="45">
        <v>-8.2274254000000007E-5</v>
      </c>
      <c r="Y319" s="45">
        <v>4.0430545999999991E-6</v>
      </c>
      <c r="Z319" s="36">
        <v>3.64</v>
      </c>
      <c r="AA319" s="38">
        <v>384</v>
      </c>
      <c r="AB319" s="38">
        <v>513</v>
      </c>
      <c r="AC319" s="39" t="s">
        <v>508</v>
      </c>
      <c r="AD319" s="39" t="s">
        <v>1371</v>
      </c>
      <c r="AE319" s="46" t="s">
        <v>869</v>
      </c>
    </row>
    <row r="320" spans="1:31" ht="15" thickBot="1">
      <c r="A320" s="34">
        <v>318</v>
      </c>
      <c r="B320" s="34" t="s">
        <v>252</v>
      </c>
      <c r="C320" s="41" t="s">
        <v>1365</v>
      </c>
      <c r="D320" s="34" t="s">
        <v>415</v>
      </c>
      <c r="E320" s="80">
        <f t="shared" si="28"/>
        <v>1.5533191833721878</v>
      </c>
      <c r="F320" s="35">
        <f t="shared" si="29"/>
        <v>71.68540160556131</v>
      </c>
      <c r="G320" s="42" cm="1">
        <f t="array" ref="G32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71.32155451214696</v>
      </c>
      <c r="H320" s="81" cm="1">
        <f t="array" ref="H3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1.5509716975778869</v>
      </c>
      <c r="I320" s="81" cm="1">
        <f t="array" ref="I3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1.5533191833721878</v>
      </c>
      <c r="J320" s="81" cm="1">
        <f t="array" ref="J3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1.5551616682083402</v>
      </c>
      <c r="K320" s="81" cm="1">
        <f t="array" ref="K3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1.5586904125600076</v>
      </c>
      <c r="L320" s="81" cm="1">
        <f t="array" ref="L3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1.5628609077658548</v>
      </c>
      <c r="M320" s="37">
        <f t="shared" si="30"/>
        <v>7.7187149821207335E-3</v>
      </c>
      <c r="N320" s="43">
        <f t="shared" si="31"/>
        <v>2.3474857943008853E-3</v>
      </c>
      <c r="O320" s="43">
        <f t="shared" si="32"/>
        <v>4.1704952058472244E-3</v>
      </c>
      <c r="P320" s="43">
        <f t="shared" si="33"/>
        <v>0.30412909399278126</v>
      </c>
      <c r="Q320" s="37">
        <f t="shared" si="34"/>
        <v>0.54030952244091957</v>
      </c>
      <c r="R320" s="37">
        <v>2.1100000000000001E-2</v>
      </c>
      <c r="S320" s="44" t="s">
        <v>1394</v>
      </c>
      <c r="T320" s="45">
        <v>2.3841554</v>
      </c>
      <c r="U320" s="45">
        <v>-7.8084423000000002E-3</v>
      </c>
      <c r="V320" s="45">
        <v>9.7130883000000005E-3</v>
      </c>
      <c r="W320" s="45">
        <v>4.995988900000001E-4</v>
      </c>
      <c r="X320" s="45">
        <v>-4.7303224000000011E-5</v>
      </c>
      <c r="Y320" s="45">
        <v>2.3205440999999999E-6</v>
      </c>
      <c r="Z320" s="36">
        <v>3.66</v>
      </c>
      <c r="AA320" s="38">
        <v>397</v>
      </c>
      <c r="AB320" s="38">
        <v>503</v>
      </c>
      <c r="AC320" s="39" t="s">
        <v>508</v>
      </c>
      <c r="AD320" s="39" t="s">
        <v>1371</v>
      </c>
      <c r="AE320" s="46"/>
    </row>
    <row r="321" spans="1:31" ht="15" thickBot="1">
      <c r="A321" s="34">
        <v>319</v>
      </c>
      <c r="B321" s="34" t="s">
        <v>252</v>
      </c>
      <c r="C321" s="41" t="s">
        <v>1365</v>
      </c>
      <c r="D321" s="34" t="s">
        <v>416</v>
      </c>
      <c r="E321" s="80">
        <f t="shared" si="28"/>
        <v>1.5535171834642529</v>
      </c>
      <c r="F321" s="35">
        <f t="shared" si="29"/>
        <v>71.719051341991474</v>
      </c>
      <c r="G321" s="42" cm="1">
        <f t="array" ref="G32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71.356593085382116</v>
      </c>
      <c r="H321" s="81" cm="1">
        <f t="array" ref="H3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1.5511698724645682</v>
      </c>
      <c r="I321" s="81" cm="1">
        <f t="array" ref="I3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1.5535171834642529</v>
      </c>
      <c r="J321" s="81" cm="1">
        <f t="array" ref="J3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1.5553598038272374</v>
      </c>
      <c r="K321" s="81" cm="1">
        <f t="array" ref="K3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1.5588877266902859</v>
      </c>
      <c r="L321" s="81" cm="1">
        <f t="array" ref="L3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1.5630540017389423</v>
      </c>
      <c r="M321" s="37">
        <f t="shared" si="30"/>
        <v>7.7178542257176908E-3</v>
      </c>
      <c r="N321" s="43">
        <f t="shared" si="31"/>
        <v>2.3473109996847707E-3</v>
      </c>
      <c r="O321" s="43">
        <f t="shared" si="32"/>
        <v>4.1662750486564093E-3</v>
      </c>
      <c r="P321" s="43">
        <f t="shared" si="33"/>
        <v>0.30414036480022943</v>
      </c>
      <c r="Q321" s="37">
        <f t="shared" si="34"/>
        <v>0.53982297758014253</v>
      </c>
      <c r="R321" s="37">
        <v>2.0500000000000001E-2</v>
      </c>
      <c r="S321" s="44" t="s">
        <v>1394</v>
      </c>
      <c r="T321" s="45">
        <v>2.3850427000000001</v>
      </c>
      <c r="U321" s="45">
        <v>-7.9142689999999998E-3</v>
      </c>
      <c r="V321" s="45">
        <v>9.4886852000000011E-3</v>
      </c>
      <c r="W321" s="45">
        <v>5.7980093000000008E-4</v>
      </c>
      <c r="X321" s="45">
        <v>-6.0011677000000004E-5</v>
      </c>
      <c r="Y321" s="45">
        <v>3.0355421999999998E-6</v>
      </c>
      <c r="Z321" s="36">
        <v>3.66</v>
      </c>
      <c r="AA321" s="38">
        <v>397</v>
      </c>
      <c r="AB321" s="38">
        <v>503</v>
      </c>
      <c r="AC321" s="39" t="s">
        <v>508</v>
      </c>
      <c r="AD321" s="39" t="s">
        <v>1371</v>
      </c>
      <c r="AE321" s="46" t="s">
        <v>869</v>
      </c>
    </row>
    <row r="322" spans="1:31" ht="15" thickBot="1">
      <c r="A322" s="34">
        <v>320</v>
      </c>
      <c r="B322" s="34" t="s">
        <v>252</v>
      </c>
      <c r="C322" s="41" t="s">
        <v>1365</v>
      </c>
      <c r="D322" s="34" t="s">
        <v>417</v>
      </c>
      <c r="E322" s="80">
        <f t="shared" si="28"/>
        <v>1.5535171834642529</v>
      </c>
      <c r="F322" s="35">
        <f t="shared" si="29"/>
        <v>71.719051341991474</v>
      </c>
      <c r="G322" s="42" cm="1">
        <f t="array" ref="G32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71.356593085382116</v>
      </c>
      <c r="H322" s="81" cm="1">
        <f t="array" ref="H3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1.5511698724645682</v>
      </c>
      <c r="I322" s="81" cm="1">
        <f t="array" ref="I3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1.5535171834642529</v>
      </c>
      <c r="J322" s="81" cm="1">
        <f t="array" ref="J3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1.5553598038272374</v>
      </c>
      <c r="K322" s="81" cm="1">
        <f t="array" ref="K3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1.5588877266902859</v>
      </c>
      <c r="L322" s="81" cm="1">
        <f t="array" ref="L3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1.5630540017389423</v>
      </c>
      <c r="M322" s="37">
        <f t="shared" si="30"/>
        <v>7.7178542257176908E-3</v>
      </c>
      <c r="N322" s="43">
        <f t="shared" si="31"/>
        <v>2.3473109996847707E-3</v>
      </c>
      <c r="O322" s="43">
        <f t="shared" si="32"/>
        <v>4.1662750486564093E-3</v>
      </c>
      <c r="P322" s="43">
        <f t="shared" si="33"/>
        <v>0.30414036480022943</v>
      </c>
      <c r="Q322" s="37">
        <f t="shared" si="34"/>
        <v>0.53982297758014253</v>
      </c>
      <c r="R322" s="37">
        <v>2.0500000000000001E-2</v>
      </c>
      <c r="S322" s="44" t="s">
        <v>1394</v>
      </c>
      <c r="T322" s="45">
        <v>2.3850427000000001</v>
      </c>
      <c r="U322" s="45">
        <v>-7.9142689999999998E-3</v>
      </c>
      <c r="V322" s="45">
        <v>9.4886852000000011E-3</v>
      </c>
      <c r="W322" s="45">
        <v>5.7980093000000008E-4</v>
      </c>
      <c r="X322" s="45">
        <v>-6.0011677000000004E-5</v>
      </c>
      <c r="Y322" s="45">
        <v>3.0355421999999998E-6</v>
      </c>
      <c r="Z322" s="36">
        <v>3.66</v>
      </c>
      <c r="AA322" s="38">
        <v>397</v>
      </c>
      <c r="AB322" s="38">
        <v>503</v>
      </c>
      <c r="AC322" s="39" t="s">
        <v>508</v>
      </c>
      <c r="AD322" s="39" t="s">
        <v>1371</v>
      </c>
      <c r="AE322" s="46" t="s">
        <v>869</v>
      </c>
    </row>
    <row r="323" spans="1:31" ht="15" thickBot="1">
      <c r="A323" s="34">
        <v>321</v>
      </c>
      <c r="B323" s="34" t="s">
        <v>252</v>
      </c>
      <c r="C323" s="41" t="s">
        <v>1366</v>
      </c>
      <c r="D323" s="34" t="s">
        <v>418</v>
      </c>
      <c r="E323" s="80">
        <f t="shared" ref="E323:E386" si="35">I323</f>
        <v>1.6188057808992715</v>
      </c>
      <c r="F323" s="35">
        <f t="shared" ref="F323:F386" si="36">(I323-1)/M323</f>
        <v>63.856116665041604</v>
      </c>
      <c r="G323" s="42" cm="1">
        <f t="array" ref="G32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63.555590178767801</v>
      </c>
      <c r="H323" s="81" cm="1">
        <f t="array" ref="H3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1.6158580482246352</v>
      </c>
      <c r="I323" s="81" cm="1">
        <f t="array" ref="I3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1.6188057808992715</v>
      </c>
      <c r="J323" s="81" cm="1">
        <f t="array" ref="J3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1.6211178921290497</v>
      </c>
      <c r="K323" s="81" cm="1">
        <f t="array" ref="K3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1.6255486747960133</v>
      </c>
      <c r="L323" s="81" cm="1">
        <f t="array" ref="L3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1.6307993877789571</v>
      </c>
      <c r="M323" s="37">
        <f t="shared" ref="M323:M386" si="37">K323-H323</f>
        <v>9.6906265713780915E-3</v>
      </c>
      <c r="N323" s="43">
        <f t="shared" ref="N323:N386" si="38">I323-H323</f>
        <v>2.9477326746363275E-3</v>
      </c>
      <c r="O323" s="43">
        <f t="shared" ref="O323:O386" si="39">L323-K323</f>
        <v>5.2507129829437726E-3</v>
      </c>
      <c r="P323" s="43">
        <f t="shared" ref="P323:P386" si="40">(I323-H323)/M323</f>
        <v>0.3041839093606859</v>
      </c>
      <c r="Q323" s="37">
        <f t="shared" ref="Q323:Q386" si="41">(L323-K323)/M323</f>
        <v>0.54183420899244039</v>
      </c>
      <c r="R323" s="37">
        <v>8.3000000000000001E-3</v>
      </c>
      <c r="S323" s="44" t="s">
        <v>1394</v>
      </c>
      <c r="T323" s="45">
        <v>2.582335</v>
      </c>
      <c r="U323" s="45">
        <v>-9.9520389999999993E-3</v>
      </c>
      <c r="V323" s="45">
        <v>1.3291839999999999E-2</v>
      </c>
      <c r="W323" s="45">
        <v>4.5506209999999998E-4</v>
      </c>
      <c r="X323" s="45">
        <v>-3.3271320000000003E-5</v>
      </c>
      <c r="Y323" s="45">
        <v>1.730172E-6</v>
      </c>
      <c r="Z323" s="36">
        <v>3.57</v>
      </c>
      <c r="AA323" s="38">
        <v>508</v>
      </c>
      <c r="AB323" s="38">
        <v>588</v>
      </c>
      <c r="AC323" s="39" t="s">
        <v>508</v>
      </c>
      <c r="AD323" s="39" t="s">
        <v>1371</v>
      </c>
      <c r="AE323" s="46"/>
    </row>
    <row r="324" spans="1:31" ht="15" thickBot="1">
      <c r="A324" s="34">
        <v>322</v>
      </c>
      <c r="B324" s="34" t="s">
        <v>252</v>
      </c>
      <c r="C324" s="41" t="s">
        <v>1366</v>
      </c>
      <c r="D324" s="34" t="s">
        <v>419</v>
      </c>
      <c r="E324" s="80">
        <f t="shared" si="35"/>
        <v>1.6192083299609539</v>
      </c>
      <c r="F324" s="35">
        <f t="shared" si="36"/>
        <v>63.855586996066847</v>
      </c>
      <c r="G324" s="42" cm="1">
        <f t="array" ref="G32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63.557795173036062</v>
      </c>
      <c r="H324" s="81" cm="1">
        <f t="array" ref="H3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1.6162574448698637</v>
      </c>
      <c r="I324" s="81" cm="1">
        <f t="array" ref="I3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1.6192083299609539</v>
      </c>
      <c r="J324" s="81" cm="1">
        <f t="array" ref="J3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1.6215218614933506</v>
      </c>
      <c r="K324" s="81" cm="1">
        <f t="array" ref="K3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1.6259544558768895</v>
      </c>
      <c r="L324" s="81" cm="1">
        <f t="array" ref="L3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1.6312087226690517</v>
      </c>
      <c r="M324" s="37">
        <f t="shared" si="37"/>
        <v>9.697011007025802E-3</v>
      </c>
      <c r="N324" s="43">
        <f t="shared" si="38"/>
        <v>2.9508850910902051E-3</v>
      </c>
      <c r="O324" s="43">
        <f t="shared" si="39"/>
        <v>5.2542667921622321E-3</v>
      </c>
      <c r="P324" s="43">
        <f t="shared" si="40"/>
        <v>0.3043087286332038</v>
      </c>
      <c r="Q324" s="37">
        <f t="shared" si="41"/>
        <v>0.54184395463255053</v>
      </c>
      <c r="R324" s="37">
        <v>8.3000000000000001E-3</v>
      </c>
      <c r="S324" s="44" t="s">
        <v>1394</v>
      </c>
      <c r="T324" s="45">
        <v>2.5831471000000001</v>
      </c>
      <c r="U324" s="45">
        <v>-9.7502344000000001E-3</v>
      </c>
      <c r="V324" s="45">
        <v>1.3615374E-2</v>
      </c>
      <c r="W324" s="45">
        <v>3.6346122000000002E-4</v>
      </c>
      <c r="X324" s="45">
        <v>-2.1187082E-5</v>
      </c>
      <c r="Y324" s="45">
        <v>1.1536131999999999E-6</v>
      </c>
      <c r="Z324" s="36">
        <v>3.57</v>
      </c>
      <c r="AA324" s="38">
        <v>508</v>
      </c>
      <c r="AB324" s="38">
        <v>588</v>
      </c>
      <c r="AC324" s="39" t="s">
        <v>508</v>
      </c>
      <c r="AD324" s="39" t="s">
        <v>1371</v>
      </c>
      <c r="AE324" s="46" t="s">
        <v>869</v>
      </c>
    </row>
    <row r="325" spans="1:31" ht="15" thickBot="1">
      <c r="A325" s="34">
        <v>323</v>
      </c>
      <c r="B325" s="34" t="s">
        <v>252</v>
      </c>
      <c r="C325" s="41" t="s">
        <v>1366</v>
      </c>
      <c r="D325" s="34" t="s">
        <v>420</v>
      </c>
      <c r="E325" s="80">
        <f t="shared" si="35"/>
        <v>1.6192083299609539</v>
      </c>
      <c r="F325" s="35">
        <f t="shared" si="36"/>
        <v>63.855586996066847</v>
      </c>
      <c r="G325" s="42" cm="1">
        <f t="array" ref="G32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63.557795173036062</v>
      </c>
      <c r="H325" s="81" cm="1">
        <f t="array" ref="H3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1.6162574448698637</v>
      </c>
      <c r="I325" s="81" cm="1">
        <f t="array" ref="I3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1.6192083299609539</v>
      </c>
      <c r="J325" s="81" cm="1">
        <f t="array" ref="J3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1.6215218614933506</v>
      </c>
      <c r="K325" s="81" cm="1">
        <f t="array" ref="K3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1.6259544558768895</v>
      </c>
      <c r="L325" s="81" cm="1">
        <f t="array" ref="L3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1.6312087226690517</v>
      </c>
      <c r="M325" s="37">
        <f t="shared" si="37"/>
        <v>9.697011007025802E-3</v>
      </c>
      <c r="N325" s="43">
        <f t="shared" si="38"/>
        <v>2.9508850910902051E-3</v>
      </c>
      <c r="O325" s="43">
        <f t="shared" si="39"/>
        <v>5.2542667921622321E-3</v>
      </c>
      <c r="P325" s="43">
        <f t="shared" si="40"/>
        <v>0.3043087286332038</v>
      </c>
      <c r="Q325" s="37">
        <f t="shared" si="41"/>
        <v>0.54184395463255053</v>
      </c>
      <c r="R325" s="37">
        <v>8.3000000000000001E-3</v>
      </c>
      <c r="S325" s="44" t="s">
        <v>1394</v>
      </c>
      <c r="T325" s="45">
        <v>2.5831471000000001</v>
      </c>
      <c r="U325" s="45">
        <v>-9.7502344000000001E-3</v>
      </c>
      <c r="V325" s="45">
        <v>1.3615374E-2</v>
      </c>
      <c r="W325" s="45">
        <v>3.6346122000000002E-4</v>
      </c>
      <c r="X325" s="45">
        <v>-2.1187082E-5</v>
      </c>
      <c r="Y325" s="45">
        <v>1.1536131999999999E-6</v>
      </c>
      <c r="Z325" s="36">
        <v>3.57</v>
      </c>
      <c r="AA325" s="38">
        <v>508</v>
      </c>
      <c r="AB325" s="38">
        <v>588</v>
      </c>
      <c r="AC325" s="39" t="s">
        <v>508</v>
      </c>
      <c r="AD325" s="39" t="s">
        <v>1371</v>
      </c>
      <c r="AE325" s="46" t="s">
        <v>869</v>
      </c>
    </row>
    <row r="326" spans="1:31" ht="15" thickBot="1">
      <c r="A326" s="34">
        <v>324</v>
      </c>
      <c r="B326" s="34" t="s">
        <v>252</v>
      </c>
      <c r="C326" s="41" t="s">
        <v>1366</v>
      </c>
      <c r="D326" s="34" t="s">
        <v>421</v>
      </c>
      <c r="E326" s="80">
        <f t="shared" si="35"/>
        <v>1.5920137457518857</v>
      </c>
      <c r="F326" s="35">
        <f t="shared" si="36"/>
        <v>67.023488141043572</v>
      </c>
      <c r="G326" s="42" cm="1">
        <f t="array" ref="G32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66.760660442554936</v>
      </c>
      <c r="H326" s="81" cm="1">
        <f t="array" ref="H3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1.5893088632316232</v>
      </c>
      <c r="I326" s="81" cm="1">
        <f t="array" ref="I3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1.5920137457518857</v>
      </c>
      <c r="J326" s="81" cm="1">
        <f t="array" ref="J3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1.5941226390672449</v>
      </c>
      <c r="K326" s="81" cm="1">
        <f t="array" ref="K3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1.59814179273398</v>
      </c>
      <c r="L326" s="81" cm="1">
        <f t="array" ref="L3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1.6028754123935958</v>
      </c>
      <c r="M326" s="37">
        <f t="shared" si="37"/>
        <v>8.8329295023568122E-3</v>
      </c>
      <c r="N326" s="43">
        <f t="shared" si="38"/>
        <v>2.7048825202624638E-3</v>
      </c>
      <c r="O326" s="43">
        <f t="shared" si="39"/>
        <v>4.7336196596157176E-3</v>
      </c>
      <c r="P326" s="43">
        <f t="shared" si="40"/>
        <v>0.30622711519895457</v>
      </c>
      <c r="Q326" s="37">
        <f t="shared" si="41"/>
        <v>0.53590597076006186</v>
      </c>
      <c r="R326" s="37">
        <v>8.0999999999999996E-3</v>
      </c>
      <c r="S326" s="44" t="s">
        <v>1394</v>
      </c>
      <c r="T326" s="45">
        <v>2.5020259999999999</v>
      </c>
      <c r="U326" s="45">
        <v>-1.1082920000000001E-2</v>
      </c>
      <c r="V326" s="45">
        <v>1.1277200000000001E-2</v>
      </c>
      <c r="W326" s="45">
        <v>5.7154079999999999E-4</v>
      </c>
      <c r="X326" s="45">
        <v>-5.5874550000000005E-5</v>
      </c>
      <c r="Y326" s="45">
        <v>2.9052920000000002E-6</v>
      </c>
      <c r="Z326" s="36">
        <v>3.14</v>
      </c>
      <c r="AA326" s="38">
        <v>499</v>
      </c>
      <c r="AB326" s="38">
        <v>580</v>
      </c>
      <c r="AC326" s="39" t="s">
        <v>508</v>
      </c>
      <c r="AD326" s="39" t="s">
        <v>1371</v>
      </c>
      <c r="AE326" s="46"/>
    </row>
    <row r="327" spans="1:31" ht="15" thickBot="1">
      <c r="A327" s="34">
        <v>325</v>
      </c>
      <c r="B327" s="34" t="s">
        <v>252</v>
      </c>
      <c r="C327" s="41" t="s">
        <v>1366</v>
      </c>
      <c r="D327" s="34" t="s">
        <v>422</v>
      </c>
      <c r="E327" s="80">
        <f t="shared" si="35"/>
        <v>1.5927072323030205</v>
      </c>
      <c r="F327" s="35">
        <f t="shared" si="36"/>
        <v>66.973174101859286</v>
      </c>
      <c r="G327" s="42" cm="1">
        <f t="array" ref="G32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66.713318907067205</v>
      </c>
      <c r="H327" s="81" cm="1">
        <f t="array" ref="H3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1.5899952311588341</v>
      </c>
      <c r="I327" s="81" cm="1">
        <f t="array" ref="I3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1.5927072323030205</v>
      </c>
      <c r="J327" s="81" cm="1">
        <f t="array" ref="J3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1.5948193892181886</v>
      </c>
      <c r="K327" s="81" cm="1">
        <f t="array" ref="K3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1.5988451511492108</v>
      </c>
      <c r="L327" s="81" cm="1">
        <f t="array" ref="L3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1.6035955135226063</v>
      </c>
      <c r="M327" s="37">
        <f t="shared" si="37"/>
        <v>8.8499199903766534E-3</v>
      </c>
      <c r="N327" s="43">
        <f t="shared" si="38"/>
        <v>2.712001144186349E-3</v>
      </c>
      <c r="O327" s="43">
        <f t="shared" si="39"/>
        <v>4.7503623733955447E-3</v>
      </c>
      <c r="P327" s="43">
        <f t="shared" si="40"/>
        <v>0.30644357769735336</v>
      </c>
      <c r="Q327" s="37">
        <f t="shared" si="41"/>
        <v>0.53676896272068653</v>
      </c>
      <c r="R327" s="37">
        <v>8.8999999999999999E-3</v>
      </c>
      <c r="S327" s="44" t="s">
        <v>1394</v>
      </c>
      <c r="T327" s="45">
        <v>2.5025436000000001</v>
      </c>
      <c r="U327" s="45">
        <v>-1.0321437000000001E-2</v>
      </c>
      <c r="V327" s="45">
        <v>1.2433636E-2</v>
      </c>
      <c r="W327" s="45">
        <v>2.1866534999999998E-4</v>
      </c>
      <c r="X327" s="45">
        <v>-5.5793977E-6</v>
      </c>
      <c r="Y327" s="45">
        <v>3.0188382999999997E-7</v>
      </c>
      <c r="Z327" s="36">
        <v>3.14</v>
      </c>
      <c r="AA327" s="38">
        <v>499</v>
      </c>
      <c r="AB327" s="38">
        <v>580</v>
      </c>
      <c r="AC327" s="39" t="s">
        <v>508</v>
      </c>
      <c r="AD327" s="39" t="s">
        <v>1371</v>
      </c>
      <c r="AE327" s="46" t="s">
        <v>869</v>
      </c>
    </row>
    <row r="328" spans="1:31" ht="15" thickBot="1">
      <c r="A328" s="34">
        <v>326</v>
      </c>
      <c r="B328" s="34" t="s">
        <v>252</v>
      </c>
      <c r="C328" s="41" t="s">
        <v>1366</v>
      </c>
      <c r="D328" s="34" t="s">
        <v>423</v>
      </c>
      <c r="E328" s="80">
        <f t="shared" si="35"/>
        <v>1.5927072323030205</v>
      </c>
      <c r="F328" s="35">
        <f t="shared" si="36"/>
        <v>66.973174101859286</v>
      </c>
      <c r="G328" s="42" cm="1">
        <f t="array" ref="G32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66.713318907067205</v>
      </c>
      <c r="H328" s="81" cm="1">
        <f t="array" ref="H3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1.5899952311588341</v>
      </c>
      <c r="I328" s="81" cm="1">
        <f t="array" ref="I3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1.5927072323030205</v>
      </c>
      <c r="J328" s="81" cm="1">
        <f t="array" ref="J3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1.5948193892181886</v>
      </c>
      <c r="K328" s="81" cm="1">
        <f t="array" ref="K3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1.5988451511492108</v>
      </c>
      <c r="L328" s="81" cm="1">
        <f t="array" ref="L3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1.6035955135226063</v>
      </c>
      <c r="M328" s="37">
        <f t="shared" si="37"/>
        <v>8.8499199903766534E-3</v>
      </c>
      <c r="N328" s="43">
        <f t="shared" si="38"/>
        <v>2.712001144186349E-3</v>
      </c>
      <c r="O328" s="43">
        <f t="shared" si="39"/>
        <v>4.7503623733955447E-3</v>
      </c>
      <c r="P328" s="43">
        <f t="shared" si="40"/>
        <v>0.30644357769735336</v>
      </c>
      <c r="Q328" s="37">
        <f t="shared" si="41"/>
        <v>0.53676896272068653</v>
      </c>
      <c r="R328" s="37">
        <v>8.8999999999999999E-3</v>
      </c>
      <c r="S328" s="44" t="s">
        <v>1394</v>
      </c>
      <c r="T328" s="45">
        <v>2.5025436000000001</v>
      </c>
      <c r="U328" s="45">
        <v>-1.0321437000000001E-2</v>
      </c>
      <c r="V328" s="45">
        <v>1.2433636E-2</v>
      </c>
      <c r="W328" s="45">
        <v>2.1866534999999998E-4</v>
      </c>
      <c r="X328" s="45">
        <v>-5.5793977E-6</v>
      </c>
      <c r="Y328" s="45">
        <v>3.0188382999999997E-7</v>
      </c>
      <c r="Z328" s="36">
        <v>3.14</v>
      </c>
      <c r="AA328" s="38">
        <v>499</v>
      </c>
      <c r="AB328" s="38">
        <v>580</v>
      </c>
      <c r="AC328" s="39" t="s">
        <v>508</v>
      </c>
      <c r="AD328" s="39" t="s">
        <v>1371</v>
      </c>
      <c r="AE328" s="46" t="s">
        <v>869</v>
      </c>
    </row>
    <row r="329" spans="1:31" ht="15" thickBot="1">
      <c r="A329" s="34">
        <v>327</v>
      </c>
      <c r="B329" s="34" t="s">
        <v>252</v>
      </c>
      <c r="C329" s="41" t="s">
        <v>1366</v>
      </c>
      <c r="D329" s="34" t="s">
        <v>424</v>
      </c>
      <c r="E329" s="80">
        <f t="shared" si="35"/>
        <v>1.6385776621330164</v>
      </c>
      <c r="F329" s="35">
        <f t="shared" si="36"/>
        <v>55.18033440000309</v>
      </c>
      <c r="G329" s="42" cm="1">
        <f t="array" ref="G32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54.874663389778576</v>
      </c>
      <c r="H329" s="81" cm="1">
        <f t="array" ref="H3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1.6350898240799114</v>
      </c>
      <c r="I329" s="81" cm="1">
        <f t="array" ref="I3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1.6385776621330164</v>
      </c>
      <c r="J329" s="81" cm="1">
        <f t="array" ref="J3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1.6413336385769801</v>
      </c>
      <c r="K329" s="81" cm="1">
        <f t="array" ref="K3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1.6466623828379638</v>
      </c>
      <c r="L329" s="81" cm="1">
        <f t="array" ref="L3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1.6530645307354175</v>
      </c>
      <c r="M329" s="37">
        <f t="shared" si="37"/>
        <v>1.1572558758052409E-2</v>
      </c>
      <c r="N329" s="43">
        <f t="shared" si="38"/>
        <v>3.4878380531049302E-3</v>
      </c>
      <c r="O329" s="43">
        <f t="shared" si="39"/>
        <v>6.4021478974536361E-3</v>
      </c>
      <c r="P329" s="43">
        <f t="shared" si="40"/>
        <v>0.30138866658836583</v>
      </c>
      <c r="Q329" s="37">
        <f t="shared" si="41"/>
        <v>0.55321800746951477</v>
      </c>
      <c r="R329" s="37">
        <v>4.1999999999999997E-3</v>
      </c>
      <c r="S329" s="44" t="s">
        <v>1394</v>
      </c>
      <c r="T329" s="45">
        <v>2.6366261</v>
      </c>
      <c r="U329" s="45">
        <v>-9.2645801999999989E-3</v>
      </c>
      <c r="V329" s="45">
        <v>1.6956609000000001E-2</v>
      </c>
      <c r="W329" s="45">
        <v>2.6444551E-4</v>
      </c>
      <c r="X329" s="45">
        <v>6.1366527999999999E-6</v>
      </c>
      <c r="Y329" s="45">
        <v>3.4208340999999999E-7</v>
      </c>
      <c r="Z329" s="36">
        <v>3.57</v>
      </c>
      <c r="AA329" s="38">
        <v>518</v>
      </c>
      <c r="AB329" s="38">
        <v>587.20000000000005</v>
      </c>
      <c r="AC329" s="39" t="s">
        <v>508</v>
      </c>
      <c r="AD329" s="49" t="s">
        <v>506</v>
      </c>
      <c r="AE329" s="46" t="s">
        <v>869</v>
      </c>
    </row>
    <row r="330" spans="1:31" ht="15" thickBot="1">
      <c r="A330" s="34">
        <v>328</v>
      </c>
      <c r="B330" s="34" t="s">
        <v>252</v>
      </c>
      <c r="C330" s="41" t="s">
        <v>1366</v>
      </c>
      <c r="D330" s="34" t="s">
        <v>425</v>
      </c>
      <c r="E330" s="80">
        <f t="shared" si="35"/>
        <v>1.6385776621330164</v>
      </c>
      <c r="F330" s="35">
        <f t="shared" si="36"/>
        <v>55.18033440000309</v>
      </c>
      <c r="G330" s="42" cm="1">
        <f t="array" ref="G33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54.874663389778576</v>
      </c>
      <c r="H330" s="81" cm="1">
        <f t="array" ref="H3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1.6350898240799114</v>
      </c>
      <c r="I330" s="81" cm="1">
        <f t="array" ref="I3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1.6385776621330164</v>
      </c>
      <c r="J330" s="81" cm="1">
        <f t="array" ref="J3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1.6413336385769801</v>
      </c>
      <c r="K330" s="81" cm="1">
        <f t="array" ref="K3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1.6466623828379638</v>
      </c>
      <c r="L330" s="81" cm="1">
        <f t="array" ref="L3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1.6530645307354175</v>
      </c>
      <c r="M330" s="37">
        <f t="shared" si="37"/>
        <v>1.1572558758052409E-2</v>
      </c>
      <c r="N330" s="43">
        <f t="shared" si="38"/>
        <v>3.4878380531049302E-3</v>
      </c>
      <c r="O330" s="43">
        <f t="shared" si="39"/>
        <v>6.4021478974536361E-3</v>
      </c>
      <c r="P330" s="43">
        <f t="shared" si="40"/>
        <v>0.30138866658836583</v>
      </c>
      <c r="Q330" s="37">
        <f t="shared" si="41"/>
        <v>0.55321800746951477</v>
      </c>
      <c r="R330" s="37">
        <v>4.1999999999999997E-3</v>
      </c>
      <c r="S330" s="44" t="s">
        <v>1394</v>
      </c>
      <c r="T330" s="45">
        <v>2.6366261</v>
      </c>
      <c r="U330" s="45">
        <v>-9.2645801999999989E-3</v>
      </c>
      <c r="V330" s="45">
        <v>1.6956609000000001E-2</v>
      </c>
      <c r="W330" s="45">
        <v>2.6444551E-4</v>
      </c>
      <c r="X330" s="45">
        <v>6.1366527999999999E-6</v>
      </c>
      <c r="Y330" s="45">
        <v>3.4208340999999999E-7</v>
      </c>
      <c r="Z330" s="36">
        <v>3.57</v>
      </c>
      <c r="AA330" s="38">
        <v>518</v>
      </c>
      <c r="AB330" s="38">
        <v>587.20000000000005</v>
      </c>
      <c r="AC330" s="39" t="s">
        <v>508</v>
      </c>
      <c r="AD330" s="49" t="s">
        <v>506</v>
      </c>
      <c r="AE330" s="46" t="s">
        <v>869</v>
      </c>
    </row>
    <row r="331" spans="1:31" ht="15" thickBot="1">
      <c r="A331" s="34">
        <v>329</v>
      </c>
      <c r="B331" s="34" t="s">
        <v>252</v>
      </c>
      <c r="C331" s="41" t="s">
        <v>1355</v>
      </c>
      <c r="D331" s="34" t="s">
        <v>426</v>
      </c>
      <c r="E331" s="80">
        <f t="shared" si="35"/>
        <v>1.589129801463341</v>
      </c>
      <c r="F331" s="35">
        <f t="shared" si="36"/>
        <v>61.251609266363843</v>
      </c>
      <c r="G331" s="42" cm="1">
        <f t="array" ref="G33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61.034700291057412</v>
      </c>
      <c r="H331" s="81" cm="1">
        <f t="array" ref="H3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1.586181744430184</v>
      </c>
      <c r="I331" s="81" cm="1">
        <f t="array" ref="I3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1.589129801463341</v>
      </c>
      <c r="J331" s="81" cm="1">
        <f t="array" ref="J3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1.5914245411825121</v>
      </c>
      <c r="K331" s="81" cm="1">
        <f t="array" ref="K3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1.5957999374624912</v>
      </c>
      <c r="L331" s="81" cm="1">
        <f t="array" ref="L3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1.6009690205559521</v>
      </c>
      <c r="M331" s="37">
        <f t="shared" si="37"/>
        <v>9.6181930323071541E-3</v>
      </c>
      <c r="N331" s="43">
        <f t="shared" si="38"/>
        <v>2.9480570331570366E-3</v>
      </c>
      <c r="O331" s="43">
        <f t="shared" si="39"/>
        <v>5.1690830934609799E-3</v>
      </c>
      <c r="P331" s="43">
        <f t="shared" si="40"/>
        <v>0.30650840789477007</v>
      </c>
      <c r="Q331" s="37">
        <f t="shared" si="41"/>
        <v>0.5374276723390996</v>
      </c>
      <c r="R331" s="37">
        <v>-6.9999999999999999E-4</v>
      </c>
      <c r="S331" s="44" t="s">
        <v>1394</v>
      </c>
      <c r="T331" s="45">
        <v>2.4895100000000001</v>
      </c>
      <c r="U331" s="45">
        <v>-1.2244960000000001E-2</v>
      </c>
      <c r="V331" s="45">
        <v>1.294262E-2</v>
      </c>
      <c r="W331" s="45">
        <v>3.490449E-4</v>
      </c>
      <c r="X331" s="45">
        <v>-1.7772280000000001E-5</v>
      </c>
      <c r="Y331" s="45">
        <v>9.1137189999999989E-7</v>
      </c>
      <c r="Z331" s="36">
        <v>2.82</v>
      </c>
      <c r="AA331" s="38">
        <v>521</v>
      </c>
      <c r="AB331" s="38">
        <v>604</v>
      </c>
      <c r="AC331" s="39" t="s">
        <v>508</v>
      </c>
      <c r="AD331" s="39" t="s">
        <v>1371</v>
      </c>
      <c r="AE331" s="46"/>
    </row>
    <row r="332" spans="1:31" ht="15" thickBot="1">
      <c r="A332" s="34">
        <v>330</v>
      </c>
      <c r="B332" s="34" t="s">
        <v>252</v>
      </c>
      <c r="C332" s="41" t="s">
        <v>1355</v>
      </c>
      <c r="D332" s="34" t="s">
        <v>427</v>
      </c>
      <c r="E332" s="80">
        <f t="shared" si="35"/>
        <v>1.589129801463341</v>
      </c>
      <c r="F332" s="35">
        <f t="shared" si="36"/>
        <v>61.251609266363843</v>
      </c>
      <c r="G332" s="42" cm="1">
        <f t="array" ref="G33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61.034700291057412</v>
      </c>
      <c r="H332" s="81" cm="1">
        <f t="array" ref="H3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1.586181744430184</v>
      </c>
      <c r="I332" s="81" cm="1">
        <f t="array" ref="I3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1.589129801463341</v>
      </c>
      <c r="J332" s="81" cm="1">
        <f t="array" ref="J3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1.5914245411825121</v>
      </c>
      <c r="K332" s="81" cm="1">
        <f t="array" ref="K3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1.5957999374624912</v>
      </c>
      <c r="L332" s="81" cm="1">
        <f t="array" ref="L3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1.6009690205559521</v>
      </c>
      <c r="M332" s="37">
        <f t="shared" si="37"/>
        <v>9.6181930323071541E-3</v>
      </c>
      <c r="N332" s="43">
        <f t="shared" si="38"/>
        <v>2.9480570331570366E-3</v>
      </c>
      <c r="O332" s="43">
        <f t="shared" si="39"/>
        <v>5.1690830934609799E-3</v>
      </c>
      <c r="P332" s="43">
        <f t="shared" si="40"/>
        <v>0.30650840789477007</v>
      </c>
      <c r="Q332" s="37">
        <f t="shared" si="41"/>
        <v>0.5374276723390996</v>
      </c>
      <c r="R332" s="37">
        <v>-6.9999999999999999E-4</v>
      </c>
      <c r="S332" s="44" t="s">
        <v>1394</v>
      </c>
      <c r="T332" s="45">
        <v>2.4895100000000001</v>
      </c>
      <c r="U332" s="45">
        <v>-1.2244960000000001E-2</v>
      </c>
      <c r="V332" s="45">
        <v>1.294262E-2</v>
      </c>
      <c r="W332" s="45">
        <v>3.490449E-4</v>
      </c>
      <c r="X332" s="45">
        <v>-1.7772280000000001E-5</v>
      </c>
      <c r="Y332" s="45">
        <v>9.1137189999999989E-7</v>
      </c>
      <c r="Z332" s="36">
        <v>2.82</v>
      </c>
      <c r="AA332" s="38">
        <v>521</v>
      </c>
      <c r="AB332" s="38">
        <v>604</v>
      </c>
      <c r="AC332" s="39" t="s">
        <v>508</v>
      </c>
      <c r="AD332" s="39" t="s">
        <v>1371</v>
      </c>
      <c r="AE332" s="46" t="s">
        <v>869</v>
      </c>
    </row>
    <row r="333" spans="1:31" ht="15" thickBot="1">
      <c r="A333" s="34">
        <v>331</v>
      </c>
      <c r="B333" s="34" t="s">
        <v>252</v>
      </c>
      <c r="C333" s="41" t="s">
        <v>1355</v>
      </c>
      <c r="D333" s="34" t="s">
        <v>428</v>
      </c>
      <c r="E333" s="80">
        <f t="shared" si="35"/>
        <v>1.589129801463341</v>
      </c>
      <c r="F333" s="35">
        <f t="shared" si="36"/>
        <v>61.251609266363843</v>
      </c>
      <c r="G333" s="42" cm="1">
        <f t="array" ref="G33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61.034700291057412</v>
      </c>
      <c r="H333" s="81" cm="1">
        <f t="array" ref="H3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1.586181744430184</v>
      </c>
      <c r="I333" s="81" cm="1">
        <f t="array" ref="I3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1.589129801463341</v>
      </c>
      <c r="J333" s="81" cm="1">
        <f t="array" ref="J3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1.5914245411825121</v>
      </c>
      <c r="K333" s="81" cm="1">
        <f t="array" ref="K3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1.5957999374624912</v>
      </c>
      <c r="L333" s="81" cm="1">
        <f t="array" ref="L3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1.6009690205559521</v>
      </c>
      <c r="M333" s="37">
        <f t="shared" si="37"/>
        <v>9.6181930323071541E-3</v>
      </c>
      <c r="N333" s="43">
        <f t="shared" si="38"/>
        <v>2.9480570331570366E-3</v>
      </c>
      <c r="O333" s="43">
        <f t="shared" si="39"/>
        <v>5.1690830934609799E-3</v>
      </c>
      <c r="P333" s="43">
        <f t="shared" si="40"/>
        <v>0.30650840789477007</v>
      </c>
      <c r="Q333" s="37">
        <f t="shared" si="41"/>
        <v>0.5374276723390996</v>
      </c>
      <c r="R333" s="37">
        <v>-6.9999999999999999E-4</v>
      </c>
      <c r="S333" s="44" t="s">
        <v>1394</v>
      </c>
      <c r="T333" s="45">
        <v>2.4895100000000001</v>
      </c>
      <c r="U333" s="45">
        <v>-1.2244960000000001E-2</v>
      </c>
      <c r="V333" s="45">
        <v>1.294262E-2</v>
      </c>
      <c r="W333" s="45">
        <v>3.490449E-4</v>
      </c>
      <c r="X333" s="45">
        <v>-1.7772280000000001E-5</v>
      </c>
      <c r="Y333" s="45">
        <v>9.1137189999999989E-7</v>
      </c>
      <c r="Z333" s="36">
        <v>2.82</v>
      </c>
      <c r="AA333" s="38">
        <v>521</v>
      </c>
      <c r="AB333" s="38">
        <v>604</v>
      </c>
      <c r="AC333" s="39" t="s">
        <v>508</v>
      </c>
      <c r="AD333" s="39" t="s">
        <v>1371</v>
      </c>
      <c r="AE333" s="46" t="s">
        <v>869</v>
      </c>
    </row>
    <row r="334" spans="1:31" ht="15" thickBot="1">
      <c r="A334" s="34">
        <v>332</v>
      </c>
      <c r="B334" s="34" t="s">
        <v>252</v>
      </c>
      <c r="C334" s="41" t="s">
        <v>1355</v>
      </c>
      <c r="D334" s="34" t="s">
        <v>429</v>
      </c>
      <c r="E334" s="80">
        <f t="shared" si="35"/>
        <v>1.5831300156073027</v>
      </c>
      <c r="F334" s="35">
        <f t="shared" si="36"/>
        <v>59.461605010955168</v>
      </c>
      <c r="G334" s="42" cm="1">
        <f t="array" ref="G33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59.220525831067278</v>
      </c>
      <c r="H334" s="81" cm="1">
        <f t="array" ref="H3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1.5801380234785871</v>
      </c>
      <c r="I334" s="81" cm="1">
        <f t="array" ref="I3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1.5831300156073027</v>
      </c>
      <c r="J334" s="81" cm="1">
        <f t="array" ref="J3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1.5854697773912658</v>
      </c>
      <c r="K334" s="81" cm="1">
        <f t="array" ref="K3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1.5899448562322585</v>
      </c>
      <c r="L334" s="81" cm="1">
        <f t="array" ref="L3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1.5952461368381978</v>
      </c>
      <c r="M334" s="37">
        <f t="shared" si="37"/>
        <v>9.8068327536713351E-3</v>
      </c>
      <c r="N334" s="43">
        <f t="shared" si="38"/>
        <v>2.9919921287155926E-3</v>
      </c>
      <c r="O334" s="43">
        <f t="shared" si="39"/>
        <v>5.3012806059393736E-3</v>
      </c>
      <c r="P334" s="43">
        <f t="shared" si="40"/>
        <v>0.30509260266475896</v>
      </c>
      <c r="Q334" s="37">
        <f t="shared" si="41"/>
        <v>0.54057010444628617</v>
      </c>
      <c r="R334" s="37">
        <v>-8.0000000000000004E-4</v>
      </c>
      <c r="S334" s="44" t="s">
        <v>1394</v>
      </c>
      <c r="T334" s="45">
        <v>2.4687809999999999</v>
      </c>
      <c r="U334" s="45">
        <v>-1.0626389999999999E-2</v>
      </c>
      <c r="V334" s="45">
        <v>1.3251839999999999E-2</v>
      </c>
      <c r="W334" s="45">
        <v>4.0486120000000003E-4</v>
      </c>
      <c r="X334" s="45">
        <v>-2.9747990000000003E-5</v>
      </c>
      <c r="Y334" s="45">
        <v>1.8258839999999999E-6</v>
      </c>
      <c r="Z334" s="36">
        <v>3.01</v>
      </c>
      <c r="AA334" s="38">
        <v>500</v>
      </c>
      <c r="AB334" s="38">
        <v>596</v>
      </c>
      <c r="AC334" s="39" t="s">
        <v>508</v>
      </c>
      <c r="AD334" s="39" t="s">
        <v>1371</v>
      </c>
      <c r="AE334" s="46"/>
    </row>
    <row r="335" spans="1:31" ht="15" thickBot="1">
      <c r="A335" s="34">
        <v>333</v>
      </c>
      <c r="B335" s="34" t="s">
        <v>252</v>
      </c>
      <c r="C335" s="41" t="s">
        <v>1355</v>
      </c>
      <c r="D335" s="34" t="s">
        <v>430</v>
      </c>
      <c r="E335" s="80">
        <f t="shared" si="35"/>
        <v>1.5831300156073027</v>
      </c>
      <c r="F335" s="35">
        <f t="shared" si="36"/>
        <v>59.461605010955168</v>
      </c>
      <c r="G335" s="42" cm="1">
        <f t="array" ref="G33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59.220525831067278</v>
      </c>
      <c r="H335" s="81" cm="1">
        <f t="array" ref="H3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1.5801380234785871</v>
      </c>
      <c r="I335" s="81" cm="1">
        <f t="array" ref="I3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1.5831300156073027</v>
      </c>
      <c r="J335" s="81" cm="1">
        <f t="array" ref="J3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1.5854697773912658</v>
      </c>
      <c r="K335" s="81" cm="1">
        <f t="array" ref="K3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1.5899448562322585</v>
      </c>
      <c r="L335" s="81" cm="1">
        <f t="array" ref="L3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1.5952461368381978</v>
      </c>
      <c r="M335" s="37">
        <f t="shared" si="37"/>
        <v>9.8068327536713351E-3</v>
      </c>
      <c r="N335" s="43">
        <f t="shared" si="38"/>
        <v>2.9919921287155926E-3</v>
      </c>
      <c r="O335" s="43">
        <f t="shared" si="39"/>
        <v>5.3012806059393736E-3</v>
      </c>
      <c r="P335" s="43">
        <f t="shared" si="40"/>
        <v>0.30509260266475896</v>
      </c>
      <c r="Q335" s="37">
        <f t="shared" si="41"/>
        <v>0.54057010444628617</v>
      </c>
      <c r="R335" s="37">
        <v>-8.0000000000000004E-4</v>
      </c>
      <c r="S335" s="44" t="s">
        <v>1394</v>
      </c>
      <c r="T335" s="45">
        <v>2.4687809999999999</v>
      </c>
      <c r="U335" s="45">
        <v>-1.0626389999999999E-2</v>
      </c>
      <c r="V335" s="45">
        <v>1.3251839999999999E-2</v>
      </c>
      <c r="W335" s="45">
        <v>4.0486120000000003E-4</v>
      </c>
      <c r="X335" s="45">
        <v>-2.9747990000000003E-5</v>
      </c>
      <c r="Y335" s="45">
        <v>1.8258839999999999E-6</v>
      </c>
      <c r="Z335" s="36">
        <v>3.01</v>
      </c>
      <c r="AA335" s="38">
        <v>500</v>
      </c>
      <c r="AB335" s="38">
        <v>596</v>
      </c>
      <c r="AC335" s="39" t="s">
        <v>508</v>
      </c>
      <c r="AD335" s="39" t="s">
        <v>1371</v>
      </c>
      <c r="AE335" s="46" t="s">
        <v>869</v>
      </c>
    </row>
    <row r="336" spans="1:31" ht="15" thickBot="1">
      <c r="A336" s="34">
        <v>334</v>
      </c>
      <c r="B336" s="34" t="s">
        <v>252</v>
      </c>
      <c r="C336" s="41" t="s">
        <v>1355</v>
      </c>
      <c r="D336" s="34" t="s">
        <v>431</v>
      </c>
      <c r="E336" s="80">
        <f t="shared" si="35"/>
        <v>1.5831300156073027</v>
      </c>
      <c r="F336" s="35">
        <f t="shared" si="36"/>
        <v>59.461605010955168</v>
      </c>
      <c r="G336" s="42" cm="1">
        <f t="array" ref="G33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59.220525831067278</v>
      </c>
      <c r="H336" s="81" cm="1">
        <f t="array" ref="H3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1.5801380234785871</v>
      </c>
      <c r="I336" s="81" cm="1">
        <f t="array" ref="I3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1.5831300156073027</v>
      </c>
      <c r="J336" s="81" cm="1">
        <f t="array" ref="J3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1.5854697773912658</v>
      </c>
      <c r="K336" s="81" cm="1">
        <f t="array" ref="K3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1.5899448562322585</v>
      </c>
      <c r="L336" s="81" cm="1">
        <f t="array" ref="L3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1.5952461368381978</v>
      </c>
      <c r="M336" s="37">
        <f t="shared" si="37"/>
        <v>9.8068327536713351E-3</v>
      </c>
      <c r="N336" s="43">
        <f t="shared" si="38"/>
        <v>2.9919921287155926E-3</v>
      </c>
      <c r="O336" s="43">
        <f t="shared" si="39"/>
        <v>5.3012806059393736E-3</v>
      </c>
      <c r="P336" s="43">
        <f t="shared" si="40"/>
        <v>0.30509260266475896</v>
      </c>
      <c r="Q336" s="37">
        <f t="shared" si="41"/>
        <v>0.54057010444628617</v>
      </c>
      <c r="R336" s="37">
        <v>-8.0000000000000004E-4</v>
      </c>
      <c r="S336" s="44" t="s">
        <v>1394</v>
      </c>
      <c r="T336" s="45">
        <v>2.4687809999999999</v>
      </c>
      <c r="U336" s="45">
        <v>-1.0626389999999999E-2</v>
      </c>
      <c r="V336" s="45">
        <v>1.3251839999999999E-2</v>
      </c>
      <c r="W336" s="45">
        <v>4.0486120000000003E-4</v>
      </c>
      <c r="X336" s="45">
        <v>-2.9747990000000003E-5</v>
      </c>
      <c r="Y336" s="45">
        <v>1.8258839999999999E-6</v>
      </c>
      <c r="Z336" s="36">
        <v>3.01</v>
      </c>
      <c r="AA336" s="38">
        <v>500</v>
      </c>
      <c r="AB336" s="38">
        <v>596</v>
      </c>
      <c r="AC336" s="39" t="s">
        <v>508</v>
      </c>
      <c r="AD336" s="39" t="s">
        <v>1371</v>
      </c>
      <c r="AE336" s="46" t="s">
        <v>869</v>
      </c>
    </row>
    <row r="337" spans="1:31" ht="15" thickBot="1">
      <c r="A337" s="34">
        <v>335</v>
      </c>
      <c r="B337" s="34" t="s">
        <v>252</v>
      </c>
      <c r="C337" s="41" t="s">
        <v>1355</v>
      </c>
      <c r="D337" s="34" t="s">
        <v>432</v>
      </c>
      <c r="E337" s="80">
        <f t="shared" si="35"/>
        <v>1.6226250904839576</v>
      </c>
      <c r="F337" s="35">
        <f t="shared" si="36"/>
        <v>58.164697401951031</v>
      </c>
      <c r="G337" s="42" cm="1">
        <f t="array" ref="G33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57.955766984912763</v>
      </c>
      <c r="H337" s="81" cm="1">
        <f t="array" ref="H3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1.6193496922926569</v>
      </c>
      <c r="I337" s="81" cm="1">
        <f t="array" ref="I3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1.6226250904839576</v>
      </c>
      <c r="J337" s="81" cm="1">
        <f t="array" ref="J3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1.625178824122669</v>
      </c>
      <c r="K337" s="81" cm="1">
        <f t="array" ref="K3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1.6300542109834577</v>
      </c>
      <c r="L337" s="81" cm="1">
        <f t="array" ref="L3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1.6358255125663437</v>
      </c>
      <c r="M337" s="37">
        <f t="shared" si="37"/>
        <v>1.0704518690800802E-2</v>
      </c>
      <c r="N337" s="43">
        <f t="shared" si="38"/>
        <v>3.2753981913007379E-3</v>
      </c>
      <c r="O337" s="43">
        <f t="shared" si="39"/>
        <v>5.7713015828859682E-3</v>
      </c>
      <c r="P337" s="43">
        <f t="shared" si="40"/>
        <v>0.30598276166452343</v>
      </c>
      <c r="Q337" s="37">
        <f t="shared" si="41"/>
        <v>0.53914629415759552</v>
      </c>
      <c r="R337" s="37">
        <v>-4.4999999999999997E-3</v>
      </c>
      <c r="S337" s="44" t="s">
        <v>1394</v>
      </c>
      <c r="T337" s="45">
        <v>2.590919</v>
      </c>
      <c r="U337" s="45">
        <v>-1.259476E-2</v>
      </c>
      <c r="V337" s="45">
        <v>1.520205E-2</v>
      </c>
      <c r="W337" s="45">
        <v>2.99998E-4</v>
      </c>
      <c r="X337" s="45">
        <v>-1.1315470000000002E-5</v>
      </c>
      <c r="Y337" s="45">
        <v>9.1546400000000002E-7</v>
      </c>
      <c r="Z337" s="36">
        <v>3.02</v>
      </c>
      <c r="AA337" s="38">
        <v>528</v>
      </c>
      <c r="AB337" s="38">
        <v>612</v>
      </c>
      <c r="AC337" s="39" t="s">
        <v>508</v>
      </c>
      <c r="AD337" s="49" t="s">
        <v>506</v>
      </c>
      <c r="AE337" s="46"/>
    </row>
    <row r="338" spans="1:31" ht="15" thickBot="1">
      <c r="A338" s="34">
        <v>336</v>
      </c>
      <c r="B338" s="34" t="s">
        <v>252</v>
      </c>
      <c r="C338" s="41" t="s">
        <v>1355</v>
      </c>
      <c r="D338" s="34" t="s">
        <v>433</v>
      </c>
      <c r="E338" s="80">
        <f t="shared" si="35"/>
        <v>1.6226250904839576</v>
      </c>
      <c r="F338" s="35">
        <f t="shared" si="36"/>
        <v>58.164697401951031</v>
      </c>
      <c r="G338" s="42" cm="1">
        <f t="array" ref="G33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57.955766984912763</v>
      </c>
      <c r="H338" s="81" cm="1">
        <f t="array" ref="H3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1.6193496922926569</v>
      </c>
      <c r="I338" s="81" cm="1">
        <f t="array" ref="I3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1.6226250904839576</v>
      </c>
      <c r="J338" s="81" cm="1">
        <f t="array" ref="J3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1.625178824122669</v>
      </c>
      <c r="K338" s="81" cm="1">
        <f t="array" ref="K3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1.6300542109834577</v>
      </c>
      <c r="L338" s="81" cm="1">
        <f t="array" ref="L3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1.6358255125663437</v>
      </c>
      <c r="M338" s="37">
        <f t="shared" si="37"/>
        <v>1.0704518690800802E-2</v>
      </c>
      <c r="N338" s="43">
        <f t="shared" si="38"/>
        <v>3.2753981913007379E-3</v>
      </c>
      <c r="O338" s="43">
        <f t="shared" si="39"/>
        <v>5.7713015828859682E-3</v>
      </c>
      <c r="P338" s="43">
        <f t="shared" si="40"/>
        <v>0.30598276166452343</v>
      </c>
      <c r="Q338" s="37">
        <f t="shared" si="41"/>
        <v>0.53914629415759552</v>
      </c>
      <c r="R338" s="37">
        <v>-4.4999999999999997E-3</v>
      </c>
      <c r="S338" s="44" t="s">
        <v>1394</v>
      </c>
      <c r="T338" s="45">
        <v>2.590919</v>
      </c>
      <c r="U338" s="45">
        <v>-1.259476E-2</v>
      </c>
      <c r="V338" s="45">
        <v>1.520205E-2</v>
      </c>
      <c r="W338" s="45">
        <v>2.99998E-4</v>
      </c>
      <c r="X338" s="45">
        <v>-1.1315470000000002E-5</v>
      </c>
      <c r="Y338" s="45">
        <v>9.1546400000000002E-7</v>
      </c>
      <c r="Z338" s="36">
        <v>3.02</v>
      </c>
      <c r="AA338" s="38">
        <v>528</v>
      </c>
      <c r="AB338" s="38">
        <v>612</v>
      </c>
      <c r="AC338" s="39" t="s">
        <v>508</v>
      </c>
      <c r="AD338" s="49" t="s">
        <v>506</v>
      </c>
      <c r="AE338" s="46" t="s">
        <v>869</v>
      </c>
    </row>
    <row r="339" spans="1:31" ht="15" thickBot="1">
      <c r="A339" s="34">
        <v>337</v>
      </c>
      <c r="B339" s="34" t="s">
        <v>252</v>
      </c>
      <c r="C339" s="41" t="s">
        <v>1358</v>
      </c>
      <c r="D339" s="34" t="s">
        <v>434</v>
      </c>
      <c r="E339" s="80">
        <f t="shared" si="35"/>
        <v>1.6934998834771005</v>
      </c>
      <c r="F339" s="35">
        <f t="shared" si="36"/>
        <v>53.201410359880455</v>
      </c>
      <c r="G339" s="42" cm="1">
        <f t="array" ref="G33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52.966458800324894</v>
      </c>
      <c r="H339" s="81" cm="1">
        <f t="array" ref="H3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1.6895449391969248</v>
      </c>
      <c r="I339" s="81" cm="1">
        <f t="array" ref="I3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1.6934998834771005</v>
      </c>
      <c r="J339" s="81" cm="1">
        <f t="array" ref="J3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1.6966068622503248</v>
      </c>
      <c r="K339" s="81" cm="1">
        <f t="array" ref="K3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1.7025803057179612</v>
      </c>
      <c r="L339" s="81" cm="1">
        <f t="array" ref="L3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1.7097058089458432</v>
      </c>
      <c r="M339" s="37">
        <f t="shared" si="37"/>
        <v>1.3035366521036318E-2</v>
      </c>
      <c r="N339" s="43">
        <f t="shared" si="38"/>
        <v>3.9549442801756207E-3</v>
      </c>
      <c r="O339" s="43">
        <f t="shared" si="39"/>
        <v>7.1255032278820796E-3</v>
      </c>
      <c r="P339" s="43">
        <f t="shared" si="40"/>
        <v>0.30340107996144022</v>
      </c>
      <c r="Q339" s="37">
        <f t="shared" si="41"/>
        <v>0.54662852911600357</v>
      </c>
      <c r="R339" s="37">
        <v>-5.8999999999999999E-3</v>
      </c>
      <c r="S339" s="44" t="s">
        <v>1394</v>
      </c>
      <c r="T339" s="45">
        <v>2.813412</v>
      </c>
      <c r="U339" s="45">
        <v>-1.3324480000000001E-2</v>
      </c>
      <c r="V339" s="45">
        <v>1.9278650000000001E-2</v>
      </c>
      <c r="W339" s="45">
        <v>4.1244520000000001E-4</v>
      </c>
      <c r="X339" s="45">
        <v>-9.9404319999999998E-6</v>
      </c>
      <c r="Y339" s="45">
        <v>9.6220239999999989E-7</v>
      </c>
      <c r="Z339" s="36">
        <v>3.52</v>
      </c>
      <c r="AA339" s="38">
        <v>525</v>
      </c>
      <c r="AB339" s="38">
        <v>610</v>
      </c>
      <c r="AC339" s="39" t="s">
        <v>508</v>
      </c>
      <c r="AD339" s="39" t="s">
        <v>1371</v>
      </c>
      <c r="AE339" s="46"/>
    </row>
    <row r="340" spans="1:31" ht="15" thickBot="1">
      <c r="A340" s="34">
        <v>338</v>
      </c>
      <c r="B340" s="34" t="s">
        <v>252</v>
      </c>
      <c r="C340" s="41" t="s">
        <v>1358</v>
      </c>
      <c r="D340" s="34" t="s">
        <v>435</v>
      </c>
      <c r="E340" s="80">
        <f t="shared" si="35"/>
        <v>1.6934998834771005</v>
      </c>
      <c r="F340" s="35">
        <f t="shared" si="36"/>
        <v>53.201410359880455</v>
      </c>
      <c r="G340" s="42" cm="1">
        <f t="array" ref="G34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52.966458800324894</v>
      </c>
      <c r="H340" s="81" cm="1">
        <f t="array" ref="H3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1.6895449391969248</v>
      </c>
      <c r="I340" s="81" cm="1">
        <f t="array" ref="I3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1.6934998834771005</v>
      </c>
      <c r="J340" s="81" cm="1">
        <f t="array" ref="J3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1.6966068622503248</v>
      </c>
      <c r="K340" s="81" cm="1">
        <f t="array" ref="K3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1.7025803057179612</v>
      </c>
      <c r="L340" s="81" cm="1">
        <f t="array" ref="L3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1.7097058089458432</v>
      </c>
      <c r="M340" s="37">
        <f t="shared" si="37"/>
        <v>1.3035366521036318E-2</v>
      </c>
      <c r="N340" s="43">
        <f t="shared" si="38"/>
        <v>3.9549442801756207E-3</v>
      </c>
      <c r="O340" s="43">
        <f t="shared" si="39"/>
        <v>7.1255032278820796E-3</v>
      </c>
      <c r="P340" s="43">
        <f t="shared" si="40"/>
        <v>0.30340107996144022</v>
      </c>
      <c r="Q340" s="37">
        <f t="shared" si="41"/>
        <v>0.54662852911600357</v>
      </c>
      <c r="R340" s="37">
        <v>-5.8999999999999999E-3</v>
      </c>
      <c r="S340" s="44" t="s">
        <v>1394</v>
      </c>
      <c r="T340" s="45">
        <v>2.813412</v>
      </c>
      <c r="U340" s="45">
        <v>-1.3324480000000001E-2</v>
      </c>
      <c r="V340" s="45">
        <v>1.9278650000000001E-2</v>
      </c>
      <c r="W340" s="45">
        <v>4.1244520000000001E-4</v>
      </c>
      <c r="X340" s="45">
        <v>-9.9404319999999998E-6</v>
      </c>
      <c r="Y340" s="45">
        <v>9.6220239999999989E-7</v>
      </c>
      <c r="Z340" s="36">
        <v>3.52</v>
      </c>
      <c r="AA340" s="38">
        <v>525</v>
      </c>
      <c r="AB340" s="38">
        <v>610</v>
      </c>
      <c r="AC340" s="39" t="s">
        <v>508</v>
      </c>
      <c r="AD340" s="39" t="s">
        <v>1371</v>
      </c>
      <c r="AE340" s="46" t="s">
        <v>869</v>
      </c>
    </row>
    <row r="341" spans="1:31" ht="15" thickBot="1">
      <c r="A341" s="34">
        <v>339</v>
      </c>
      <c r="B341" s="34" t="s">
        <v>252</v>
      </c>
      <c r="C341" s="41" t="s">
        <v>1358</v>
      </c>
      <c r="D341" s="34" t="s">
        <v>436</v>
      </c>
      <c r="E341" s="80">
        <f t="shared" si="35"/>
        <v>1.6934998834771005</v>
      </c>
      <c r="F341" s="35">
        <f t="shared" si="36"/>
        <v>53.201410359880455</v>
      </c>
      <c r="G341" s="42" cm="1">
        <f t="array" ref="G34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52.966458800324894</v>
      </c>
      <c r="H341" s="81" cm="1">
        <f t="array" ref="H3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1.6895449391969248</v>
      </c>
      <c r="I341" s="81" cm="1">
        <f t="array" ref="I3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1.6934998834771005</v>
      </c>
      <c r="J341" s="81" cm="1">
        <f t="array" ref="J3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1.6966068622503248</v>
      </c>
      <c r="K341" s="81" cm="1">
        <f t="array" ref="K3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1.7025803057179612</v>
      </c>
      <c r="L341" s="81" cm="1">
        <f t="array" ref="L3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1.7097058089458432</v>
      </c>
      <c r="M341" s="37">
        <f t="shared" si="37"/>
        <v>1.3035366521036318E-2</v>
      </c>
      <c r="N341" s="43">
        <f t="shared" si="38"/>
        <v>3.9549442801756207E-3</v>
      </c>
      <c r="O341" s="43">
        <f t="shared" si="39"/>
        <v>7.1255032278820796E-3</v>
      </c>
      <c r="P341" s="43">
        <f t="shared" si="40"/>
        <v>0.30340107996144022</v>
      </c>
      <c r="Q341" s="37">
        <f t="shared" si="41"/>
        <v>0.54662852911600357</v>
      </c>
      <c r="R341" s="37">
        <v>-5.8999999999999999E-3</v>
      </c>
      <c r="S341" s="44" t="s">
        <v>1394</v>
      </c>
      <c r="T341" s="45">
        <v>2.813412</v>
      </c>
      <c r="U341" s="45">
        <v>-1.3324480000000001E-2</v>
      </c>
      <c r="V341" s="45">
        <v>1.9278650000000001E-2</v>
      </c>
      <c r="W341" s="45">
        <v>4.1244520000000001E-4</v>
      </c>
      <c r="X341" s="45">
        <v>-9.9404319999999998E-6</v>
      </c>
      <c r="Y341" s="45">
        <v>9.6220239999999989E-7</v>
      </c>
      <c r="Z341" s="36">
        <v>3.52</v>
      </c>
      <c r="AA341" s="38">
        <v>525</v>
      </c>
      <c r="AB341" s="38">
        <v>610</v>
      </c>
      <c r="AC341" s="39" t="s">
        <v>508</v>
      </c>
      <c r="AD341" s="39" t="s">
        <v>1371</v>
      </c>
      <c r="AE341" s="46" t="s">
        <v>869</v>
      </c>
    </row>
    <row r="342" spans="1:31" ht="15" thickBot="1">
      <c r="A342" s="34">
        <v>340</v>
      </c>
      <c r="B342" s="34" t="s">
        <v>252</v>
      </c>
      <c r="C342" s="41" t="s">
        <v>1358</v>
      </c>
      <c r="D342" s="34" t="s">
        <v>437</v>
      </c>
      <c r="E342" s="80">
        <f t="shared" si="35"/>
        <v>1.696799090139157</v>
      </c>
      <c r="F342" s="35">
        <f t="shared" si="36"/>
        <v>55.461845677303771</v>
      </c>
      <c r="G342" s="42" cm="1">
        <f t="array" ref="G34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55.242151559279094</v>
      </c>
      <c r="H342" s="81" cm="1">
        <f t="array" ref="H3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1.6929702853526927</v>
      </c>
      <c r="I342" s="81" cm="1">
        <f t="array" ref="I3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1.696799090139157</v>
      </c>
      <c r="J342" s="81" cm="1">
        <f t="array" ref="J3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1.6997949851158471</v>
      </c>
      <c r="K342" s="81" cm="1">
        <f t="array" ref="K3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1.7055338609356867</v>
      </c>
      <c r="L342" s="81" cm="1">
        <f t="array" ref="L3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1.712351303830135</v>
      </c>
      <c r="M342" s="37">
        <f t="shared" si="37"/>
        <v>1.2563575582994035E-2</v>
      </c>
      <c r="N342" s="43">
        <f t="shared" si="38"/>
        <v>3.8288047864643016E-3</v>
      </c>
      <c r="O342" s="43">
        <f t="shared" si="39"/>
        <v>6.8174428944483001E-3</v>
      </c>
      <c r="P342" s="43">
        <f t="shared" si="40"/>
        <v>0.30475438788675285</v>
      </c>
      <c r="Q342" s="37">
        <f t="shared" si="41"/>
        <v>0.5426355617803853</v>
      </c>
      <c r="R342" s="37">
        <v>-6.0000000000000001E-3</v>
      </c>
      <c r="S342" s="44" t="s">
        <v>1394</v>
      </c>
      <c r="T342" s="45">
        <v>2.8278386000000002</v>
      </c>
      <c r="U342" s="45">
        <v>-1.4773939E-2</v>
      </c>
      <c r="V342" s="45">
        <v>1.8211733000000001E-2</v>
      </c>
      <c r="W342" s="45">
        <v>4.9311964000000002E-4</v>
      </c>
      <c r="X342" s="45">
        <v>-2.5486886000000003E-5</v>
      </c>
      <c r="Y342" s="45">
        <v>1.6795487E-6</v>
      </c>
      <c r="Z342" s="36">
        <v>3.7</v>
      </c>
      <c r="AA342" s="38">
        <v>588</v>
      </c>
      <c r="AB342" s="38">
        <v>672</v>
      </c>
      <c r="AC342" s="39" t="s">
        <v>508</v>
      </c>
      <c r="AD342" s="49" t="s">
        <v>506</v>
      </c>
      <c r="AE342" s="46"/>
    </row>
    <row r="343" spans="1:31" ht="15" thickBot="1">
      <c r="A343" s="34">
        <v>341</v>
      </c>
      <c r="B343" s="34" t="s">
        <v>252</v>
      </c>
      <c r="C343" s="41" t="s">
        <v>1358</v>
      </c>
      <c r="D343" s="34" t="s">
        <v>438</v>
      </c>
      <c r="E343" s="80">
        <f t="shared" si="35"/>
        <v>1.697599216216658</v>
      </c>
      <c r="F343" s="35">
        <f t="shared" si="36"/>
        <v>55.507305150265296</v>
      </c>
      <c r="G343" s="42" cm="1">
        <f t="array" ref="G34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55.287472323321673</v>
      </c>
      <c r="H343" s="81" cm="1">
        <f t="array" ref="H3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1.6937691774671795</v>
      </c>
      <c r="I343" s="81" cm="1">
        <f t="array" ref="I3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1.697599216216658</v>
      </c>
      <c r="J343" s="81" cm="1">
        <f t="array" ref="J3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1.7005962326224278</v>
      </c>
      <c r="K343" s="81" cm="1">
        <f t="array" ref="K3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1.7063368784991098</v>
      </c>
      <c r="L343" s="81" cm="1">
        <f t="array" ref="L3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1.71315506025461</v>
      </c>
      <c r="M343" s="37">
        <f t="shared" si="37"/>
        <v>1.2567701031930278E-2</v>
      </c>
      <c r="N343" s="43">
        <f t="shared" si="38"/>
        <v>3.8300387494785149E-3</v>
      </c>
      <c r="O343" s="43">
        <f t="shared" si="39"/>
        <v>6.8181817555001967E-3</v>
      </c>
      <c r="P343" s="43">
        <f t="shared" si="40"/>
        <v>0.30475253506967437</v>
      </c>
      <c r="Q343" s="37">
        <f t="shared" si="41"/>
        <v>0.54251622776333575</v>
      </c>
      <c r="R343" s="37">
        <v>-6.0000000000000001E-3</v>
      </c>
      <c r="S343" s="44" t="s">
        <v>1394</v>
      </c>
      <c r="T343" s="45">
        <v>2.8306732999999999</v>
      </c>
      <c r="U343" s="45">
        <v>-1.4855863E-2</v>
      </c>
      <c r="V343" s="45">
        <v>1.8103472000000002E-2</v>
      </c>
      <c r="W343" s="45">
        <v>5.3539970999999997E-4</v>
      </c>
      <c r="X343" s="45">
        <v>-3.1929778E-5</v>
      </c>
      <c r="Y343" s="45">
        <v>2.0340982999999999E-6</v>
      </c>
      <c r="Z343" s="36">
        <v>3.7</v>
      </c>
      <c r="AA343" s="38">
        <v>588</v>
      </c>
      <c r="AB343" s="38">
        <v>672</v>
      </c>
      <c r="AC343" s="39" t="s">
        <v>508</v>
      </c>
      <c r="AD343" s="49" t="s">
        <v>506</v>
      </c>
      <c r="AE343" s="46" t="s">
        <v>869</v>
      </c>
    </row>
    <row r="344" spans="1:31" ht="15" thickBot="1">
      <c r="A344" s="34">
        <v>342</v>
      </c>
      <c r="B344" s="34" t="s">
        <v>252</v>
      </c>
      <c r="C344" s="41" t="s">
        <v>1358</v>
      </c>
      <c r="D344" s="34" t="s">
        <v>441</v>
      </c>
      <c r="E344" s="80">
        <f t="shared" si="35"/>
        <v>1.7290300382530184</v>
      </c>
      <c r="F344" s="35">
        <f t="shared" si="36"/>
        <v>54.041935462135221</v>
      </c>
      <c r="G344" s="42" cm="1">
        <f t="array" ref="G34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53.806261164395323</v>
      </c>
      <c r="H344" s="81" cm="1">
        <f t="array" ref="H3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1.7249353481982947</v>
      </c>
      <c r="I344" s="81" cm="1">
        <f t="array" ref="I3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1.7290300382530184</v>
      </c>
      <c r="J344" s="81" cm="1">
        <f t="array" ref="J3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1.7322466526570228</v>
      </c>
      <c r="K344" s="81" cm="1">
        <f t="array" ref="K3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1.7384254283003262</v>
      </c>
      <c r="L344" s="81" cm="1">
        <f t="array" ref="L3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1.7457742007734345</v>
      </c>
      <c r="M344" s="37">
        <f t="shared" si="37"/>
        <v>1.3490080102031454E-2</v>
      </c>
      <c r="N344" s="43">
        <f t="shared" si="38"/>
        <v>4.0946900547236265E-3</v>
      </c>
      <c r="O344" s="43">
        <f t="shared" si="39"/>
        <v>7.3487724731082782E-3</v>
      </c>
      <c r="P344" s="43">
        <f t="shared" si="40"/>
        <v>0.30353341297854947</v>
      </c>
      <c r="Q344" s="37">
        <f t="shared" si="41"/>
        <v>0.5447538055761163</v>
      </c>
      <c r="R344" s="37">
        <v>-6.4000000000000003E-3</v>
      </c>
      <c r="S344" s="44" t="s">
        <v>1394</v>
      </c>
      <c r="T344" s="45">
        <v>2.9351948000000001</v>
      </c>
      <c r="U344" s="45">
        <v>-1.6193458000000001E-2</v>
      </c>
      <c r="V344" s="45">
        <v>1.8392287E-2</v>
      </c>
      <c r="W344" s="45">
        <v>1.0086167E-3</v>
      </c>
      <c r="X344" s="45">
        <v>-8.7565474000000009E-5</v>
      </c>
      <c r="Y344" s="45">
        <v>4.6921332999999996E-6</v>
      </c>
      <c r="Z344" s="36">
        <v>4.28</v>
      </c>
      <c r="AA344" s="38">
        <v>619</v>
      </c>
      <c r="AB344" s="38">
        <v>691</v>
      </c>
      <c r="AC344" s="39" t="s">
        <v>508</v>
      </c>
      <c r="AD344" s="49" t="s">
        <v>506</v>
      </c>
      <c r="AE344" s="46"/>
    </row>
    <row r="345" spans="1:31" ht="15" thickBot="1">
      <c r="A345" s="34">
        <v>343</v>
      </c>
      <c r="B345" s="34" t="s">
        <v>252</v>
      </c>
      <c r="C345" s="41" t="s">
        <v>1358</v>
      </c>
      <c r="D345" s="34" t="s">
        <v>442</v>
      </c>
      <c r="E345" s="80">
        <f t="shared" si="35"/>
        <v>1.7296337710523151</v>
      </c>
      <c r="F345" s="35">
        <f t="shared" si="36"/>
        <v>54.071746235485833</v>
      </c>
      <c r="G345" s="42" cm="1">
        <f t="array" ref="G34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53.838152765582791</v>
      </c>
      <c r="H345" s="81" cm="1">
        <f t="array" ref="H3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1.7255367378449131</v>
      </c>
      <c r="I345" s="81" cm="1">
        <f t="array" ref="I3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1.7296337710523151</v>
      </c>
      <c r="J345" s="81" cm="1">
        <f t="array" ref="J3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1.7328515369905535</v>
      </c>
      <c r="K345" s="81" cm="1">
        <f t="array" ref="K3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1.7390305460136879</v>
      </c>
      <c r="L345" s="81" cm="1">
        <f t="array" ref="L3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1.7463773322882408</v>
      </c>
      <c r="M345" s="37">
        <f t="shared" si="37"/>
        <v>1.3493808168774768E-2</v>
      </c>
      <c r="N345" s="43">
        <f t="shared" si="38"/>
        <v>4.0970332074019566E-3</v>
      </c>
      <c r="O345" s="43">
        <f t="shared" si="39"/>
        <v>7.3467862745528745E-3</v>
      </c>
      <c r="P345" s="43">
        <f t="shared" si="40"/>
        <v>0.30362319933394794</v>
      </c>
      <c r="Q345" s="37">
        <f t="shared" si="41"/>
        <v>0.54445610776901676</v>
      </c>
      <c r="R345" s="37">
        <v>-6.7000000000000002E-3</v>
      </c>
      <c r="S345" s="44" t="s">
        <v>1394</v>
      </c>
      <c r="T345" s="45">
        <v>2.9372128000000002</v>
      </c>
      <c r="U345" s="45">
        <v>-1.6185788999999999E-2</v>
      </c>
      <c r="V345" s="45">
        <v>1.8395140000000001E-2</v>
      </c>
      <c r="W345" s="45">
        <v>1.0266071000000002E-3</v>
      </c>
      <c r="X345" s="45">
        <v>-9.2379872000000003E-5</v>
      </c>
      <c r="Y345" s="45">
        <v>5.0509237000000002E-6</v>
      </c>
      <c r="Z345" s="36">
        <v>4.28</v>
      </c>
      <c r="AA345" s="38">
        <v>619</v>
      </c>
      <c r="AB345" s="38">
        <v>691</v>
      </c>
      <c r="AC345" s="39" t="s">
        <v>508</v>
      </c>
      <c r="AD345" s="49" t="s">
        <v>506</v>
      </c>
      <c r="AE345" s="46" t="s">
        <v>869</v>
      </c>
    </row>
    <row r="346" spans="1:31" ht="15" thickBot="1">
      <c r="A346" s="34">
        <v>344</v>
      </c>
      <c r="B346" s="34" t="s">
        <v>252</v>
      </c>
      <c r="C346" s="41" t="s">
        <v>1356</v>
      </c>
      <c r="D346" s="34" t="s">
        <v>443</v>
      </c>
      <c r="E346" s="80">
        <f t="shared" si="35"/>
        <v>1.6889298828564048</v>
      </c>
      <c r="F346" s="35">
        <f t="shared" si="36"/>
        <v>31.160934793979141</v>
      </c>
      <c r="G346" s="42" cm="1">
        <f t="array" ref="G34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30.907849409355418</v>
      </c>
      <c r="H346" s="81" cm="1">
        <f t="array" ref="H3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1.6825195120103387</v>
      </c>
      <c r="I346" s="81" cm="1">
        <f t="array" ref="I3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1.6889298828564048</v>
      </c>
      <c r="J346" s="81" cm="1">
        <f t="array" ref="J3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1.6941489768263396</v>
      </c>
      <c r="K346" s="81" cm="1">
        <f t="array" ref="K3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1.7046282801654429</v>
      </c>
      <c r="L346" s="81" cm="1">
        <f t="array" ref="L3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1.7179784026695681</v>
      </c>
      <c r="M346" s="37">
        <f t="shared" si="37"/>
        <v>2.2108768155104208E-2</v>
      </c>
      <c r="N346" s="43">
        <f t="shared" si="38"/>
        <v>6.4103708460661046E-3</v>
      </c>
      <c r="O346" s="43">
        <f t="shared" si="39"/>
        <v>1.3350122504125261E-2</v>
      </c>
      <c r="P346" s="43">
        <f t="shared" si="40"/>
        <v>0.28994699302530585</v>
      </c>
      <c r="Q346" s="37">
        <f t="shared" si="41"/>
        <v>0.60383836903383259</v>
      </c>
      <c r="R346" s="37">
        <v>1.1599999999999999E-2</v>
      </c>
      <c r="S346" s="44" t="s">
        <v>1394</v>
      </c>
      <c r="T346" s="45">
        <v>2.761638</v>
      </c>
      <c r="U346" s="45">
        <v>-1.1326330000000001E-2</v>
      </c>
      <c r="V346" s="45">
        <v>2.8653460000000002E-2</v>
      </c>
      <c r="W346" s="45">
        <v>1.5290379999999999E-3</v>
      </c>
      <c r="X346" s="45">
        <v>-8.7435770000000005E-5</v>
      </c>
      <c r="Y346" s="45">
        <v>1.4965790000000003E-5</v>
      </c>
      <c r="Z346" s="36">
        <v>3.26</v>
      </c>
      <c r="AA346" s="38">
        <v>454</v>
      </c>
      <c r="AB346" s="38">
        <v>545</v>
      </c>
      <c r="AC346" s="39" t="s">
        <v>508</v>
      </c>
      <c r="AD346" s="49" t="s">
        <v>506</v>
      </c>
      <c r="AE346" s="46"/>
    </row>
    <row r="347" spans="1:31" ht="15" thickBot="1">
      <c r="A347" s="34">
        <v>345</v>
      </c>
      <c r="B347" s="34" t="s">
        <v>252</v>
      </c>
      <c r="C347" s="41" t="s">
        <v>1356</v>
      </c>
      <c r="D347" s="34" t="s">
        <v>444</v>
      </c>
      <c r="E347" s="80">
        <f t="shared" si="35"/>
        <v>1.6889298828564048</v>
      </c>
      <c r="F347" s="35">
        <f t="shared" si="36"/>
        <v>31.160934793979141</v>
      </c>
      <c r="G347" s="42" cm="1">
        <f t="array" ref="G34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30.907849409355418</v>
      </c>
      <c r="H347" s="81" cm="1">
        <f t="array" ref="H3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1.6825195120103387</v>
      </c>
      <c r="I347" s="81" cm="1">
        <f t="array" ref="I3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1.6889298828564048</v>
      </c>
      <c r="J347" s="81" cm="1">
        <f t="array" ref="J3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1.6941489768263396</v>
      </c>
      <c r="K347" s="81" cm="1">
        <f t="array" ref="K3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1.7046282801654429</v>
      </c>
      <c r="L347" s="81" cm="1">
        <f t="array" ref="L3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1.7179784026695681</v>
      </c>
      <c r="M347" s="37">
        <f t="shared" si="37"/>
        <v>2.2108768155104208E-2</v>
      </c>
      <c r="N347" s="43">
        <f t="shared" si="38"/>
        <v>6.4103708460661046E-3</v>
      </c>
      <c r="O347" s="43">
        <f t="shared" si="39"/>
        <v>1.3350122504125261E-2</v>
      </c>
      <c r="P347" s="43">
        <f t="shared" si="40"/>
        <v>0.28994699302530585</v>
      </c>
      <c r="Q347" s="37">
        <f t="shared" si="41"/>
        <v>0.60383836903383259</v>
      </c>
      <c r="R347" s="37">
        <v>1.1599999999999999E-2</v>
      </c>
      <c r="S347" s="44" t="s">
        <v>1394</v>
      </c>
      <c r="T347" s="45">
        <v>2.761638</v>
      </c>
      <c r="U347" s="45">
        <v>-1.1326330000000001E-2</v>
      </c>
      <c r="V347" s="45">
        <v>2.8653460000000002E-2</v>
      </c>
      <c r="W347" s="45">
        <v>1.5290379999999999E-3</v>
      </c>
      <c r="X347" s="45">
        <v>-8.7435770000000005E-5</v>
      </c>
      <c r="Y347" s="45">
        <v>1.4965790000000003E-5</v>
      </c>
      <c r="Z347" s="36">
        <v>3.26</v>
      </c>
      <c r="AA347" s="38">
        <v>454</v>
      </c>
      <c r="AB347" s="38">
        <v>545</v>
      </c>
      <c r="AC347" s="39" t="s">
        <v>508</v>
      </c>
      <c r="AD347" s="49" t="s">
        <v>506</v>
      </c>
      <c r="AE347" s="46" t="s">
        <v>869</v>
      </c>
    </row>
    <row r="348" spans="1:31" ht="15" thickBot="1">
      <c r="A348" s="34">
        <v>346</v>
      </c>
      <c r="B348" s="34" t="s">
        <v>252</v>
      </c>
      <c r="C348" s="41" t="s">
        <v>1356</v>
      </c>
      <c r="D348" s="34" t="s">
        <v>445</v>
      </c>
      <c r="E348" s="80">
        <f t="shared" si="35"/>
        <v>1.6889298828564048</v>
      </c>
      <c r="F348" s="35">
        <f t="shared" si="36"/>
        <v>31.160934793979141</v>
      </c>
      <c r="G348" s="42" cm="1">
        <f t="array" ref="G34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30.907849409355418</v>
      </c>
      <c r="H348" s="81" cm="1">
        <f t="array" ref="H3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1.6825195120103387</v>
      </c>
      <c r="I348" s="81" cm="1">
        <f t="array" ref="I3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1.6889298828564048</v>
      </c>
      <c r="J348" s="81" cm="1">
        <f t="array" ref="J3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1.6941489768263396</v>
      </c>
      <c r="K348" s="81" cm="1">
        <f t="array" ref="K3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1.7046282801654429</v>
      </c>
      <c r="L348" s="81" cm="1">
        <f t="array" ref="L3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1.7179784026695681</v>
      </c>
      <c r="M348" s="37">
        <f t="shared" si="37"/>
        <v>2.2108768155104208E-2</v>
      </c>
      <c r="N348" s="43">
        <f t="shared" si="38"/>
        <v>6.4103708460661046E-3</v>
      </c>
      <c r="O348" s="43">
        <f t="shared" si="39"/>
        <v>1.3350122504125261E-2</v>
      </c>
      <c r="P348" s="43">
        <f t="shared" si="40"/>
        <v>0.28994699302530585</v>
      </c>
      <c r="Q348" s="37">
        <f t="shared" si="41"/>
        <v>0.60383836903383259</v>
      </c>
      <c r="R348" s="37">
        <v>1.1599999999999999E-2</v>
      </c>
      <c r="S348" s="44" t="s">
        <v>1394</v>
      </c>
      <c r="T348" s="45">
        <v>2.761638</v>
      </c>
      <c r="U348" s="45">
        <v>-1.1326330000000001E-2</v>
      </c>
      <c r="V348" s="45">
        <v>2.8653460000000002E-2</v>
      </c>
      <c r="W348" s="45">
        <v>1.5290379999999999E-3</v>
      </c>
      <c r="X348" s="45">
        <v>-8.7435770000000005E-5</v>
      </c>
      <c r="Y348" s="45">
        <v>1.4965790000000003E-5</v>
      </c>
      <c r="Z348" s="36">
        <v>3.26</v>
      </c>
      <c r="AA348" s="38">
        <v>454</v>
      </c>
      <c r="AB348" s="38">
        <v>545</v>
      </c>
      <c r="AC348" s="39" t="s">
        <v>508</v>
      </c>
      <c r="AD348" s="39" t="s">
        <v>1371</v>
      </c>
      <c r="AE348" s="46" t="s">
        <v>869</v>
      </c>
    </row>
    <row r="349" spans="1:31" ht="15" thickBot="1">
      <c r="A349" s="34">
        <v>347</v>
      </c>
      <c r="B349" s="34" t="s">
        <v>252</v>
      </c>
      <c r="C349" s="41" t="s">
        <v>1357</v>
      </c>
      <c r="D349" s="34" t="s">
        <v>446</v>
      </c>
      <c r="E349" s="80">
        <f t="shared" si="35"/>
        <v>2.0017838948747451</v>
      </c>
      <c r="F349" s="35">
        <f t="shared" si="36"/>
        <v>19.325232389505132</v>
      </c>
      <c r="G349" s="42" cm="1">
        <f t="array" ref="G34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19.168094525295274</v>
      </c>
      <c r="H349" s="81" cm="1">
        <f t="array" ref="H3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1.9872085591290489</v>
      </c>
      <c r="I349" s="81" cm="1">
        <f t="array" ref="I3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2.0017838948747451</v>
      </c>
      <c r="J349" s="81" cm="1">
        <f t="array" ref="J3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2.0139350884923934</v>
      </c>
      <c r="K349" s="81" cm="1">
        <f t="array" ref="K3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2.0390466884039538</v>
      </c>
      <c r="L349" s="81" cm="1">
        <f t="array" ref="L3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2.0724729428803146</v>
      </c>
      <c r="M349" s="37">
        <f t="shared" si="37"/>
        <v>5.1838129274904832E-2</v>
      </c>
      <c r="N349" s="43">
        <f t="shared" si="38"/>
        <v>1.4575335745696139E-2</v>
      </c>
      <c r="O349" s="43">
        <f t="shared" si="39"/>
        <v>3.3426254476360828E-2</v>
      </c>
      <c r="P349" s="43">
        <f t="shared" si="40"/>
        <v>0.28117017241114356</v>
      </c>
      <c r="Q349" s="37">
        <f t="shared" si="41"/>
        <v>0.64481984485004729</v>
      </c>
      <c r="R349" s="37">
        <v>3.1300000000000001E-2</v>
      </c>
      <c r="S349" s="44" t="s">
        <v>1394</v>
      </c>
      <c r="T349" s="45">
        <v>3.7715809999999999</v>
      </c>
      <c r="U349" s="45">
        <v>-2.0445364000000001E-2</v>
      </c>
      <c r="V349" s="45">
        <v>6.3942578999999999E-2</v>
      </c>
      <c r="W349" s="45">
        <v>8.3545470000000004E-3</v>
      </c>
      <c r="X349" s="45">
        <v>-8.2031984000000002E-4</v>
      </c>
      <c r="Y349" s="45">
        <v>1.0279507000000001E-4</v>
      </c>
      <c r="Z349" s="36">
        <v>5.09</v>
      </c>
      <c r="AA349" s="38">
        <v>483</v>
      </c>
      <c r="AB349" s="38">
        <v>565</v>
      </c>
      <c r="AC349" s="39" t="s">
        <v>508</v>
      </c>
      <c r="AD349" s="49" t="s">
        <v>506</v>
      </c>
      <c r="AE349" s="46"/>
    </row>
    <row r="350" spans="1:31" ht="15" thickBot="1">
      <c r="A350" s="34">
        <v>348</v>
      </c>
      <c r="B350" s="34" t="s">
        <v>252</v>
      </c>
      <c r="C350" s="41" t="s">
        <v>1357</v>
      </c>
      <c r="D350" s="34" t="s">
        <v>447</v>
      </c>
      <c r="E350" s="80">
        <f t="shared" si="35"/>
        <v>2.0017838948747451</v>
      </c>
      <c r="F350" s="35">
        <f t="shared" si="36"/>
        <v>19.325232389505132</v>
      </c>
      <c r="G350" s="42" cm="1">
        <f t="array" ref="G35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19.168094525295274</v>
      </c>
      <c r="H350" s="81" cm="1">
        <f t="array" ref="H3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1.9872085591290489</v>
      </c>
      <c r="I350" s="81" cm="1">
        <f t="array" ref="I3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2.0017838948747451</v>
      </c>
      <c r="J350" s="81" cm="1">
        <f t="array" ref="J3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2.0139350884923934</v>
      </c>
      <c r="K350" s="81" cm="1">
        <f t="array" ref="K3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2.0390466884039538</v>
      </c>
      <c r="L350" s="81" cm="1">
        <f t="array" ref="L3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2.0724729428803146</v>
      </c>
      <c r="M350" s="37">
        <f t="shared" si="37"/>
        <v>5.1838129274904832E-2</v>
      </c>
      <c r="N350" s="43">
        <f t="shared" si="38"/>
        <v>1.4575335745696139E-2</v>
      </c>
      <c r="O350" s="43">
        <f t="shared" si="39"/>
        <v>3.3426254476360828E-2</v>
      </c>
      <c r="P350" s="43">
        <f t="shared" si="40"/>
        <v>0.28117017241114356</v>
      </c>
      <c r="Q350" s="37">
        <f t="shared" si="41"/>
        <v>0.64481984485004729</v>
      </c>
      <c r="R350" s="37">
        <v>3.1300000000000001E-2</v>
      </c>
      <c r="S350" s="44" t="s">
        <v>1394</v>
      </c>
      <c r="T350" s="45">
        <v>3.7715809999999999</v>
      </c>
      <c r="U350" s="45">
        <v>-2.0445364000000001E-2</v>
      </c>
      <c r="V350" s="45">
        <v>6.3942578999999999E-2</v>
      </c>
      <c r="W350" s="45">
        <v>8.3545470000000004E-3</v>
      </c>
      <c r="X350" s="45">
        <v>-8.2031984000000002E-4</v>
      </c>
      <c r="Y350" s="45">
        <v>1.0279507000000001E-4</v>
      </c>
      <c r="Z350" s="36">
        <v>5.09</v>
      </c>
      <c r="AA350" s="38">
        <v>483</v>
      </c>
      <c r="AB350" s="38">
        <v>565</v>
      </c>
      <c r="AC350" s="39" t="s">
        <v>508</v>
      </c>
      <c r="AD350" s="49" t="s">
        <v>506</v>
      </c>
      <c r="AE350" s="46" t="s">
        <v>869</v>
      </c>
    </row>
    <row r="351" spans="1:31" ht="15" thickBot="1">
      <c r="A351" s="34">
        <v>349</v>
      </c>
      <c r="B351" s="34" t="s">
        <v>252</v>
      </c>
      <c r="C351" s="41" t="s">
        <v>1357</v>
      </c>
      <c r="D351" s="34" t="s">
        <v>448</v>
      </c>
      <c r="E351" s="80">
        <f t="shared" si="35"/>
        <v>2.0017838948747451</v>
      </c>
      <c r="F351" s="35">
        <f t="shared" si="36"/>
        <v>19.325232389505132</v>
      </c>
      <c r="G351" s="42" cm="1">
        <f t="array" ref="G35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19.168094525295274</v>
      </c>
      <c r="H351" s="81" cm="1">
        <f t="array" ref="H3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1.9872085591290489</v>
      </c>
      <c r="I351" s="81" cm="1">
        <f t="array" ref="I3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2.0017838948747451</v>
      </c>
      <c r="J351" s="81" cm="1">
        <f t="array" ref="J3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2.0139350884923934</v>
      </c>
      <c r="K351" s="81" cm="1">
        <f t="array" ref="K3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2.0390466884039538</v>
      </c>
      <c r="L351" s="81" cm="1">
        <f t="array" ref="L3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2.0724729428803146</v>
      </c>
      <c r="M351" s="37">
        <f t="shared" si="37"/>
        <v>5.1838129274904832E-2</v>
      </c>
      <c r="N351" s="43">
        <f t="shared" si="38"/>
        <v>1.4575335745696139E-2</v>
      </c>
      <c r="O351" s="43">
        <f t="shared" si="39"/>
        <v>3.3426254476360828E-2</v>
      </c>
      <c r="P351" s="43">
        <f t="shared" si="40"/>
        <v>0.28117017241114356</v>
      </c>
      <c r="Q351" s="37">
        <f t="shared" si="41"/>
        <v>0.64481984485004729</v>
      </c>
      <c r="R351" s="37">
        <v>3.1300000000000001E-2</v>
      </c>
      <c r="S351" s="44" t="s">
        <v>1394</v>
      </c>
      <c r="T351" s="45">
        <v>3.7715809999999999</v>
      </c>
      <c r="U351" s="45">
        <v>-2.0445364000000001E-2</v>
      </c>
      <c r="V351" s="45">
        <v>6.3942578999999999E-2</v>
      </c>
      <c r="W351" s="45">
        <v>8.3545470000000004E-3</v>
      </c>
      <c r="X351" s="45">
        <v>-8.2031984000000002E-4</v>
      </c>
      <c r="Y351" s="45">
        <v>1.0279507000000001E-4</v>
      </c>
      <c r="Z351" s="36">
        <v>5.09</v>
      </c>
      <c r="AA351" s="38">
        <v>483</v>
      </c>
      <c r="AB351" s="38">
        <v>565</v>
      </c>
      <c r="AC351" s="39" t="s">
        <v>508</v>
      </c>
      <c r="AD351" s="39" t="s">
        <v>1371</v>
      </c>
      <c r="AE351" s="46" t="s">
        <v>869</v>
      </c>
    </row>
    <row r="352" spans="1:31" ht="15" thickBot="1">
      <c r="A352" s="34">
        <v>350</v>
      </c>
      <c r="B352" s="34" t="s">
        <v>252</v>
      </c>
      <c r="C352" s="41" t="s">
        <v>1356</v>
      </c>
      <c r="D352" s="34" t="s">
        <v>449</v>
      </c>
      <c r="E352" s="80">
        <f t="shared" si="35"/>
        <v>1.8211454564129403</v>
      </c>
      <c r="F352" s="35">
        <f t="shared" si="36"/>
        <v>24.058615964091189</v>
      </c>
      <c r="G352" s="42" cm="1">
        <f t="array" ref="G35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23.86117416277321</v>
      </c>
      <c r="H352" s="81" cm="1">
        <f t="array" ref="H3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1.811400309740359</v>
      </c>
      <c r="I352" s="81" cm="1">
        <f t="array" ref="I3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1.8211454564129403</v>
      </c>
      <c r="J352" s="81" cm="1">
        <f t="array" ref="J3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1.8291730413967329</v>
      </c>
      <c r="K352" s="81" cm="1">
        <f t="array" ref="K3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1.8455313444448718</v>
      </c>
      <c r="L352" s="81" cm="1">
        <f t="array" ref="L3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1.8668210387448849</v>
      </c>
      <c r="M352" s="37">
        <f t="shared" si="37"/>
        <v>3.413103470451273E-2</v>
      </c>
      <c r="N352" s="43">
        <f t="shared" si="38"/>
        <v>9.7451466725813063E-3</v>
      </c>
      <c r="O352" s="43">
        <f t="shared" si="39"/>
        <v>2.1289694300013151E-2</v>
      </c>
      <c r="P352" s="43">
        <f t="shared" si="40"/>
        <v>0.28552157170004649</v>
      </c>
      <c r="Q352" s="37">
        <f t="shared" si="41"/>
        <v>0.62376351857854095</v>
      </c>
      <c r="R352" s="37">
        <v>1.8700000000000001E-2</v>
      </c>
      <c r="S352" s="44" t="s">
        <v>1394</v>
      </c>
      <c r="T352" s="45">
        <v>3.1659869999999999</v>
      </c>
      <c r="U352" s="45">
        <v>-1.3491960000000001E-2</v>
      </c>
      <c r="V352" s="45">
        <v>4.6499180000000008E-2</v>
      </c>
      <c r="W352" s="45">
        <v>2.471413E-3</v>
      </c>
      <c r="X352" s="45">
        <v>-8.6595960000000006E-5</v>
      </c>
      <c r="Y352" s="45">
        <v>2.7259270000000003E-5</v>
      </c>
      <c r="Z352" s="36">
        <v>3.69</v>
      </c>
      <c r="AA352" s="38">
        <v>454</v>
      </c>
      <c r="AB352" s="38">
        <v>553</v>
      </c>
      <c r="AC352" s="39" t="s">
        <v>508</v>
      </c>
      <c r="AD352" s="49" t="s">
        <v>506</v>
      </c>
      <c r="AE352" s="46"/>
    </row>
    <row r="353" spans="1:31" ht="15" thickBot="1">
      <c r="A353" s="34">
        <v>351</v>
      </c>
      <c r="B353" s="34" t="s">
        <v>252</v>
      </c>
      <c r="C353" s="41" t="s">
        <v>1356</v>
      </c>
      <c r="D353" s="34" t="s">
        <v>450</v>
      </c>
      <c r="E353" s="80">
        <f t="shared" si="35"/>
        <v>1.8216542734363836</v>
      </c>
      <c r="F353" s="35">
        <f t="shared" si="36"/>
        <v>24.040166129574931</v>
      </c>
      <c r="G353" s="42" cm="1">
        <f t="array" ref="G35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23.84304393783772</v>
      </c>
      <c r="H353" s="81" cm="1">
        <f t="array" ref="H3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1.811895306430535</v>
      </c>
      <c r="I353" s="81" cm="1">
        <f t="array" ref="I3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1.8216542734363836</v>
      </c>
      <c r="J353" s="81" cm="1">
        <f t="array" ref="J3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1.8296926168520662</v>
      </c>
      <c r="K353" s="81" cm="1">
        <f t="array" ref="K3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1.8460737005817118</v>
      </c>
      <c r="L353" s="81" cm="1">
        <f t="array" ref="L3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1.8673945967100323</v>
      </c>
      <c r="M353" s="37">
        <f t="shared" si="37"/>
        <v>3.417839415117685E-2</v>
      </c>
      <c r="N353" s="43">
        <f t="shared" si="38"/>
        <v>9.7589670058486622E-3</v>
      </c>
      <c r="O353" s="43">
        <f t="shared" si="39"/>
        <v>2.1320896128320443E-2</v>
      </c>
      <c r="P353" s="43">
        <f t="shared" si="40"/>
        <v>0.28553029620651843</v>
      </c>
      <c r="Q353" s="37">
        <f t="shared" si="41"/>
        <v>0.62381210872618809</v>
      </c>
      <c r="R353" s="37">
        <v>1.8700000000000001E-2</v>
      </c>
      <c r="S353" s="44" t="s">
        <v>1394</v>
      </c>
      <c r="T353" s="45">
        <v>3.1667901999999999</v>
      </c>
      <c r="U353" s="45">
        <v>-1.3141416E-2</v>
      </c>
      <c r="V353" s="45">
        <v>4.7178655999999999E-2</v>
      </c>
      <c r="W353" s="45">
        <v>2.2684284E-3</v>
      </c>
      <c r="X353" s="45">
        <v>-5.3672387000000002E-5</v>
      </c>
      <c r="Y353" s="45">
        <v>2.5328422000000003E-5</v>
      </c>
      <c r="Z353" s="36">
        <v>3.69</v>
      </c>
      <c r="AA353" s="38">
        <v>454</v>
      </c>
      <c r="AB353" s="38">
        <v>553</v>
      </c>
      <c r="AC353" s="39" t="s">
        <v>508</v>
      </c>
      <c r="AD353" s="49" t="s">
        <v>506</v>
      </c>
      <c r="AE353" s="46" t="s">
        <v>869</v>
      </c>
    </row>
    <row r="354" spans="1:31" ht="15" thickBot="1">
      <c r="A354" s="34">
        <v>352</v>
      </c>
      <c r="B354" s="34" t="s">
        <v>252</v>
      </c>
      <c r="C354" s="41" t="s">
        <v>1356</v>
      </c>
      <c r="D354" s="34" t="s">
        <v>451</v>
      </c>
      <c r="E354" s="80">
        <f t="shared" si="35"/>
        <v>1.8216542734363836</v>
      </c>
      <c r="F354" s="35">
        <f t="shared" si="36"/>
        <v>24.040166129574931</v>
      </c>
      <c r="G354" s="42" cm="1">
        <f t="array" ref="G35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23.84304393783772</v>
      </c>
      <c r="H354" s="81" cm="1">
        <f t="array" ref="H3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1.811895306430535</v>
      </c>
      <c r="I354" s="81" cm="1">
        <f t="array" ref="I3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1.8216542734363836</v>
      </c>
      <c r="J354" s="81" cm="1">
        <f t="array" ref="J3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1.8296926168520662</v>
      </c>
      <c r="K354" s="81" cm="1">
        <f t="array" ref="K3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1.8460737005817118</v>
      </c>
      <c r="L354" s="81" cm="1">
        <f t="array" ref="L3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1.8673945967100323</v>
      </c>
      <c r="M354" s="37">
        <f t="shared" si="37"/>
        <v>3.417839415117685E-2</v>
      </c>
      <c r="N354" s="43">
        <f t="shared" si="38"/>
        <v>9.7589670058486622E-3</v>
      </c>
      <c r="O354" s="43">
        <f t="shared" si="39"/>
        <v>2.1320896128320443E-2</v>
      </c>
      <c r="P354" s="43">
        <f t="shared" si="40"/>
        <v>0.28553029620651843</v>
      </c>
      <c r="Q354" s="37">
        <f t="shared" si="41"/>
        <v>0.62381210872618809</v>
      </c>
      <c r="R354" s="37">
        <v>1.8700000000000001E-2</v>
      </c>
      <c r="S354" s="44" t="s">
        <v>1394</v>
      </c>
      <c r="T354" s="45">
        <v>3.1667901999999999</v>
      </c>
      <c r="U354" s="45">
        <v>-1.3141416E-2</v>
      </c>
      <c r="V354" s="45">
        <v>4.7178655999999999E-2</v>
      </c>
      <c r="W354" s="45">
        <v>2.2684284E-3</v>
      </c>
      <c r="X354" s="45">
        <v>-5.3672387000000002E-5</v>
      </c>
      <c r="Y354" s="45">
        <v>2.5328422000000003E-5</v>
      </c>
      <c r="Z354" s="36">
        <v>3.69</v>
      </c>
      <c r="AA354" s="38">
        <v>454</v>
      </c>
      <c r="AB354" s="38">
        <v>553</v>
      </c>
      <c r="AC354" s="39" t="s">
        <v>508</v>
      </c>
      <c r="AD354" s="39" t="s">
        <v>1371</v>
      </c>
      <c r="AE354" s="46" t="s">
        <v>869</v>
      </c>
    </row>
    <row r="355" spans="1:31" ht="15" thickBot="1">
      <c r="A355" s="34">
        <v>353</v>
      </c>
      <c r="B355" s="34" t="s">
        <v>252</v>
      </c>
      <c r="C355" s="41" t="s">
        <v>1358</v>
      </c>
      <c r="D355" s="34" t="s">
        <v>452</v>
      </c>
      <c r="E355" s="80">
        <f t="shared" si="35"/>
        <v>1.8344102928163049</v>
      </c>
      <c r="F355" s="35">
        <f t="shared" si="36"/>
        <v>37.285595020873046</v>
      </c>
      <c r="G355" s="42" cm="1">
        <f t="array" ref="G35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37.039605098289812</v>
      </c>
      <c r="H355" s="81" cm="1">
        <f t="array" ref="H3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1.8278067663253099</v>
      </c>
      <c r="I355" s="81" cm="1">
        <f t="array" ref="I3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1.8344102928163049</v>
      </c>
      <c r="J355" s="81" cm="1">
        <f t="array" ref="J3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1.8397192651426999</v>
      </c>
      <c r="K355" s="81" cm="1">
        <f t="array" ref="K3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1.850185658021934</v>
      </c>
      <c r="L355" s="81" cm="1">
        <f t="array" ref="L3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1.8631058288720743</v>
      </c>
      <c r="M355" s="37">
        <f t="shared" si="37"/>
        <v>2.2378891696624104E-2</v>
      </c>
      <c r="N355" s="43">
        <f t="shared" si="38"/>
        <v>6.6035264909949376E-3</v>
      </c>
      <c r="O355" s="43">
        <f t="shared" si="39"/>
        <v>1.29201708501403E-2</v>
      </c>
      <c r="P355" s="43">
        <f t="shared" si="40"/>
        <v>0.29507835242757313</v>
      </c>
      <c r="Q355" s="37">
        <f t="shared" si="41"/>
        <v>0.57733738673436319</v>
      </c>
      <c r="R355" s="37">
        <v>-3.8999999999999998E-3</v>
      </c>
      <c r="S355" s="44" t="s">
        <v>1394</v>
      </c>
      <c r="T355" s="45">
        <v>3.2646229999999998</v>
      </c>
      <c r="U355" s="45">
        <v>-1.581977E-2</v>
      </c>
      <c r="V355" s="45">
        <v>3.225894E-2</v>
      </c>
      <c r="W355" s="45">
        <v>1.7093119999999999E-3</v>
      </c>
      <c r="X355" s="45">
        <v>-1.0819570000000001E-4</v>
      </c>
      <c r="Y355" s="45">
        <v>1.0583229999999999E-5</v>
      </c>
      <c r="Z355" s="36">
        <v>4.3899999999999997</v>
      </c>
      <c r="AA355" s="38">
        <v>567</v>
      </c>
      <c r="AB355" s="38">
        <v>641</v>
      </c>
      <c r="AC355" s="39" t="s">
        <v>508</v>
      </c>
      <c r="AD355" s="39" t="s">
        <v>1371</v>
      </c>
      <c r="AE355" s="46"/>
    </row>
    <row r="356" spans="1:31" ht="15" thickBot="1">
      <c r="A356" s="34">
        <v>354</v>
      </c>
      <c r="B356" s="34" t="s">
        <v>252</v>
      </c>
      <c r="C356" s="41" t="s">
        <v>1358</v>
      </c>
      <c r="D356" s="34" t="s">
        <v>453</v>
      </c>
      <c r="E356" s="80">
        <f t="shared" si="35"/>
        <v>1.8346120681485101</v>
      </c>
      <c r="F356" s="35">
        <f t="shared" si="36"/>
        <v>37.289234300538908</v>
      </c>
      <c r="G356" s="42" cm="1">
        <f t="array" ref="G35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37.037498169666819</v>
      </c>
      <c r="H356" s="81" cm="1">
        <f t="array" ref="H3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1.8280200199124153</v>
      </c>
      <c r="I356" s="81" cm="1">
        <f t="array" ref="I3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1.8346120681485101</v>
      </c>
      <c r="J356" s="81" cm="1">
        <f t="array" ref="J3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1.839924758822262</v>
      </c>
      <c r="K356" s="81" cm="1">
        <f t="array" ref="K3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1.8504021386070983</v>
      </c>
      <c r="L356" s="81" cm="1">
        <f t="array" ref="L3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1.8633033222965656</v>
      </c>
      <c r="M356" s="37">
        <f t="shared" si="37"/>
        <v>2.2382118694683095E-2</v>
      </c>
      <c r="N356" s="43">
        <f t="shared" si="38"/>
        <v>6.5920482360948274E-3</v>
      </c>
      <c r="O356" s="43">
        <f t="shared" si="39"/>
        <v>1.2901183689467244E-2</v>
      </c>
      <c r="P356" s="43">
        <f t="shared" si="40"/>
        <v>0.29452297729351146</v>
      </c>
      <c r="Q356" s="37">
        <f t="shared" si="41"/>
        <v>0.5764058293789649</v>
      </c>
      <c r="R356" s="37">
        <v>-4.7999999999999996E-3</v>
      </c>
      <c r="S356" s="44" t="s">
        <v>1394</v>
      </c>
      <c r="T356" s="45">
        <v>3.2722585999999998</v>
      </c>
      <c r="U356" s="45">
        <v>-1.8817211E-2</v>
      </c>
      <c r="V356" s="45">
        <v>2.7264508E-2</v>
      </c>
      <c r="W356" s="45">
        <v>3.2789193E-3</v>
      </c>
      <c r="X356" s="45">
        <v>-3.2827672000000001E-4</v>
      </c>
      <c r="Y356" s="45">
        <v>2.1743362000000002E-5</v>
      </c>
      <c r="Z356" s="36">
        <v>4.3899999999999997</v>
      </c>
      <c r="AA356" s="38">
        <v>567</v>
      </c>
      <c r="AB356" s="38">
        <v>641</v>
      </c>
      <c r="AC356" s="39" t="s">
        <v>508</v>
      </c>
      <c r="AD356" s="39" t="s">
        <v>1371</v>
      </c>
      <c r="AE356" s="46" t="s">
        <v>869</v>
      </c>
    </row>
    <row r="357" spans="1:31" ht="15" thickBot="1">
      <c r="A357" s="34">
        <v>355</v>
      </c>
      <c r="B357" s="34" t="s">
        <v>252</v>
      </c>
      <c r="C357" s="41" t="s">
        <v>1358</v>
      </c>
      <c r="D357" s="34" t="s">
        <v>454</v>
      </c>
      <c r="E357" s="80">
        <f t="shared" si="35"/>
        <v>1.8060997642277172</v>
      </c>
      <c r="F357" s="35">
        <f t="shared" si="36"/>
        <v>40.731136811483211</v>
      </c>
      <c r="G357" s="42" cm="1">
        <f t="array" ref="G35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40.478245126951336</v>
      </c>
      <c r="H357" s="81" cm="1">
        <f t="array" ref="H3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1.8002242035144689</v>
      </c>
      <c r="I357" s="81" cm="1">
        <f t="array" ref="I3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1.8060997642277172</v>
      </c>
      <c r="J357" s="81" cm="1">
        <f t="array" ref="J3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1.8108007160428403</v>
      </c>
      <c r="K357" s="81" cm="1">
        <f t="array" ref="K3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1.820014953965619</v>
      </c>
      <c r="L357" s="81" cm="1">
        <f t="array" ref="L3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1.8312841161362121</v>
      </c>
      <c r="M357" s="37">
        <f t="shared" si="37"/>
        <v>1.9790750451150085E-2</v>
      </c>
      <c r="N357" s="43">
        <f t="shared" si="38"/>
        <v>5.8755607132483512E-3</v>
      </c>
      <c r="O357" s="43">
        <f t="shared" si="39"/>
        <v>1.126916217059315E-2</v>
      </c>
      <c r="P357" s="43">
        <f t="shared" si="40"/>
        <v>0.29688417969551573</v>
      </c>
      <c r="Q357" s="37">
        <f t="shared" si="41"/>
        <v>0.56941560646773115</v>
      </c>
      <c r="R357" s="37">
        <v>-5.5999999999999999E-3</v>
      </c>
      <c r="S357" s="44" t="s">
        <v>1394</v>
      </c>
      <c r="T357" s="45">
        <v>3.173794</v>
      </c>
      <c r="U357" s="45">
        <v>-1.4986580000000001E-2</v>
      </c>
      <c r="V357" s="45">
        <v>2.9067409999999998E-2</v>
      </c>
      <c r="W357" s="45">
        <v>1.2048289999999999E-3</v>
      </c>
      <c r="X357" s="45">
        <v>-5.3551580000000009E-5</v>
      </c>
      <c r="Y357" s="45">
        <v>5.2713499999999999E-6</v>
      </c>
      <c r="Z357" s="36">
        <v>4.5599999999999996</v>
      </c>
      <c r="AA357" s="38">
        <v>567</v>
      </c>
      <c r="AB357" s="38">
        <v>647</v>
      </c>
      <c r="AC357" s="39" t="s">
        <v>508</v>
      </c>
      <c r="AD357" s="39" t="s">
        <v>1371</v>
      </c>
      <c r="AE357" s="46"/>
    </row>
    <row r="358" spans="1:31" ht="15" thickBot="1">
      <c r="A358" s="34">
        <v>356</v>
      </c>
      <c r="B358" s="34" t="s">
        <v>252</v>
      </c>
      <c r="C358" s="41" t="s">
        <v>1358</v>
      </c>
      <c r="D358" s="34" t="s">
        <v>455</v>
      </c>
      <c r="E358" s="80">
        <f t="shared" si="35"/>
        <v>1.8060997642277172</v>
      </c>
      <c r="F358" s="35">
        <f t="shared" si="36"/>
        <v>40.731136811483211</v>
      </c>
      <c r="G358" s="42" cm="1">
        <f t="array" ref="G35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40.478245126951336</v>
      </c>
      <c r="H358" s="81" cm="1">
        <f t="array" ref="H3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1.8002242035144689</v>
      </c>
      <c r="I358" s="81" cm="1">
        <f t="array" ref="I3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1.8060997642277172</v>
      </c>
      <c r="J358" s="81" cm="1">
        <f t="array" ref="J3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1.8108007160428403</v>
      </c>
      <c r="K358" s="81" cm="1">
        <f t="array" ref="K3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1.820014953965619</v>
      </c>
      <c r="L358" s="81" cm="1">
        <f t="array" ref="L3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1.8312841161362121</v>
      </c>
      <c r="M358" s="37">
        <f t="shared" si="37"/>
        <v>1.9790750451150085E-2</v>
      </c>
      <c r="N358" s="43">
        <f t="shared" si="38"/>
        <v>5.8755607132483512E-3</v>
      </c>
      <c r="O358" s="43">
        <f t="shared" si="39"/>
        <v>1.126916217059315E-2</v>
      </c>
      <c r="P358" s="43">
        <f t="shared" si="40"/>
        <v>0.29688417969551573</v>
      </c>
      <c r="Q358" s="37">
        <f t="shared" si="41"/>
        <v>0.56941560646773115</v>
      </c>
      <c r="R358" s="37">
        <v>-5.5999999999999999E-3</v>
      </c>
      <c r="S358" s="44" t="s">
        <v>1394</v>
      </c>
      <c r="T358" s="45">
        <v>3.173794</v>
      </c>
      <c r="U358" s="45">
        <v>-1.4986580000000001E-2</v>
      </c>
      <c r="V358" s="45">
        <v>2.9067409999999998E-2</v>
      </c>
      <c r="W358" s="45">
        <v>1.2048289999999999E-3</v>
      </c>
      <c r="X358" s="45">
        <v>-5.3551580000000009E-5</v>
      </c>
      <c r="Y358" s="45">
        <v>5.2713499999999999E-6</v>
      </c>
      <c r="Z358" s="36">
        <v>4.5599999999999996</v>
      </c>
      <c r="AA358" s="38">
        <v>567</v>
      </c>
      <c r="AB358" s="38">
        <v>647</v>
      </c>
      <c r="AC358" s="39" t="s">
        <v>508</v>
      </c>
      <c r="AD358" s="39" t="s">
        <v>1371</v>
      </c>
      <c r="AE358" s="46" t="s">
        <v>869</v>
      </c>
    </row>
    <row r="359" spans="1:31" ht="15" thickBot="1">
      <c r="A359" s="34">
        <v>357</v>
      </c>
      <c r="B359" s="34" t="s">
        <v>252</v>
      </c>
      <c r="C359" s="41" t="s">
        <v>1358</v>
      </c>
      <c r="D359" s="34" t="s">
        <v>456</v>
      </c>
      <c r="E359" s="80">
        <f t="shared" si="35"/>
        <v>1.8060997642277172</v>
      </c>
      <c r="F359" s="35">
        <f t="shared" si="36"/>
        <v>40.731136811483211</v>
      </c>
      <c r="G359" s="42" cm="1">
        <f t="array" ref="G35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40.478245126951336</v>
      </c>
      <c r="H359" s="81" cm="1">
        <f t="array" ref="H3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1.8002242035144689</v>
      </c>
      <c r="I359" s="81" cm="1">
        <f t="array" ref="I3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1.8060997642277172</v>
      </c>
      <c r="J359" s="81" cm="1">
        <f t="array" ref="J3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1.8108007160428403</v>
      </c>
      <c r="K359" s="81" cm="1">
        <f t="array" ref="K3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1.820014953965619</v>
      </c>
      <c r="L359" s="81" cm="1">
        <f t="array" ref="L3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1.8312841161362121</v>
      </c>
      <c r="M359" s="37">
        <f t="shared" si="37"/>
        <v>1.9790750451150085E-2</v>
      </c>
      <c r="N359" s="43">
        <f t="shared" si="38"/>
        <v>5.8755607132483512E-3</v>
      </c>
      <c r="O359" s="43">
        <f t="shared" si="39"/>
        <v>1.126916217059315E-2</v>
      </c>
      <c r="P359" s="43">
        <f t="shared" si="40"/>
        <v>0.29688417969551573</v>
      </c>
      <c r="Q359" s="37">
        <f t="shared" si="41"/>
        <v>0.56941560646773115</v>
      </c>
      <c r="R359" s="37">
        <v>-5.5999999999999999E-3</v>
      </c>
      <c r="S359" s="44" t="s">
        <v>1394</v>
      </c>
      <c r="T359" s="45">
        <v>3.173794</v>
      </c>
      <c r="U359" s="45">
        <v>-1.4986580000000001E-2</v>
      </c>
      <c r="V359" s="45">
        <v>2.9067409999999998E-2</v>
      </c>
      <c r="W359" s="45">
        <v>1.2048289999999999E-3</v>
      </c>
      <c r="X359" s="45">
        <v>-5.3551580000000009E-5</v>
      </c>
      <c r="Y359" s="45">
        <v>5.2713499999999999E-6</v>
      </c>
      <c r="Z359" s="36">
        <v>4.5599999999999996</v>
      </c>
      <c r="AA359" s="38">
        <v>567</v>
      </c>
      <c r="AB359" s="38">
        <v>647</v>
      </c>
      <c r="AC359" s="39" t="s">
        <v>508</v>
      </c>
      <c r="AD359" s="39" t="s">
        <v>1371</v>
      </c>
      <c r="AE359" s="46" t="s">
        <v>869</v>
      </c>
    </row>
    <row r="360" spans="1:31" ht="15" thickBot="1">
      <c r="A360" s="34">
        <v>358</v>
      </c>
      <c r="B360" s="34" t="s">
        <v>252</v>
      </c>
      <c r="C360" s="41" t="s">
        <v>1358</v>
      </c>
      <c r="D360" s="34" t="s">
        <v>1125</v>
      </c>
      <c r="E360" s="80">
        <f t="shared" si="35"/>
        <v>1.8060977654476285</v>
      </c>
      <c r="F360" s="35">
        <f t="shared" si="36"/>
        <v>40.727617763026629</v>
      </c>
      <c r="G360" s="42" cm="1">
        <f t="array" ref="G36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40.47526585323746</v>
      </c>
      <c r="H360" s="81" cm="1">
        <f t="array" ref="H3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1.8002205046908426</v>
      </c>
      <c r="I360" s="81" cm="1">
        <f t="array" ref="I3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1.8060977654476285</v>
      </c>
      <c r="J360" s="81" cm="1">
        <f t="array" ref="J3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1.8107991254913403</v>
      </c>
      <c r="K360" s="81" cm="1">
        <f t="array" ref="K3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1.8200129160746339</v>
      </c>
      <c r="L360" s="81" cm="1">
        <f t="array" ref="L3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1.8312861959753211</v>
      </c>
      <c r="M360" s="37">
        <f t="shared" si="37"/>
        <v>1.9792411383791286E-2</v>
      </c>
      <c r="N360" s="43">
        <f t="shared" si="38"/>
        <v>5.8772607567858515E-3</v>
      </c>
      <c r="O360" s="43">
        <f t="shared" si="39"/>
        <v>1.1273279900687161E-2</v>
      </c>
      <c r="P360" s="43">
        <f t="shared" si="40"/>
        <v>0.2969451595776223</v>
      </c>
      <c r="Q360" s="37">
        <f t="shared" si="41"/>
        <v>0.56957586835120322</v>
      </c>
      <c r="R360" s="37">
        <v>-5.4999999999999997E-3</v>
      </c>
      <c r="S360" s="44" t="s">
        <v>1394</v>
      </c>
      <c r="T360" s="45">
        <v>3.1717399999999998</v>
      </c>
      <c r="U360" s="45">
        <v>-1.3626628999999999E-2</v>
      </c>
      <c r="V360" s="45">
        <v>3.0211370000000001E-2</v>
      </c>
      <c r="W360" s="45">
        <v>9.0767852999999992E-4</v>
      </c>
      <c r="X360" s="45">
        <v>-1.7987143000000004E-5</v>
      </c>
      <c r="Y360" s="45">
        <v>3.7447427000000002E-6</v>
      </c>
      <c r="Z360" s="36">
        <v>4.46</v>
      </c>
      <c r="AA360" s="38">
        <v>545</v>
      </c>
      <c r="AB360" s="38">
        <v>619</v>
      </c>
      <c r="AC360" s="39" t="s">
        <v>508</v>
      </c>
      <c r="AD360" s="39" t="s">
        <v>1371</v>
      </c>
      <c r="AE360" s="46" t="s">
        <v>869</v>
      </c>
    </row>
    <row r="361" spans="1:31" ht="15" thickBot="1">
      <c r="A361" s="34">
        <v>359</v>
      </c>
      <c r="B361" s="34" t="s">
        <v>252</v>
      </c>
      <c r="C361" s="41" t="s">
        <v>1358</v>
      </c>
      <c r="D361" s="34" t="s">
        <v>458</v>
      </c>
      <c r="E361" s="80">
        <f t="shared" si="35"/>
        <v>1.8013872189379647</v>
      </c>
      <c r="F361" s="35">
        <f t="shared" si="36"/>
        <v>45.450272368680935</v>
      </c>
      <c r="G361" s="42" cm="1">
        <f t="array" ref="G36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45.206112165561535</v>
      </c>
      <c r="H361" s="81" cm="1">
        <f t="array" ref="H3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1.7961011361140771</v>
      </c>
      <c r="I361" s="81" cm="1">
        <f t="array" ref="I3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1.8013872189379647</v>
      </c>
      <c r="J361" s="81" cm="1">
        <f t="array" ref="J3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1.8055834581622545</v>
      </c>
      <c r="K361" s="81" cm="1">
        <f t="array" ref="K3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1.8137333124943926</v>
      </c>
      <c r="L361" s="81" cm="1">
        <f t="array" ref="L3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1.8235747405564346</v>
      </c>
      <c r="M361" s="37">
        <f t="shared" si="37"/>
        <v>1.7632176380315556E-2</v>
      </c>
      <c r="N361" s="43">
        <f t="shared" si="38"/>
        <v>5.2860828238876501E-3</v>
      </c>
      <c r="O361" s="43">
        <f t="shared" si="39"/>
        <v>9.8414280620420236E-3</v>
      </c>
      <c r="P361" s="43">
        <f t="shared" si="40"/>
        <v>0.29979752413258509</v>
      </c>
      <c r="Q361" s="37">
        <f t="shared" si="41"/>
        <v>0.55815163424912928</v>
      </c>
      <c r="R361" s="37">
        <v>-8.3999999999999995E-3</v>
      </c>
      <c r="S361" s="44" t="s">
        <v>1394</v>
      </c>
      <c r="T361" s="45">
        <v>3.164358</v>
      </c>
      <c r="U361" s="45">
        <v>-1.4033210000000001E-2</v>
      </c>
      <c r="V361" s="45">
        <v>2.7670340000000002E-2</v>
      </c>
      <c r="W361" s="45">
        <v>6.403025000000001E-4</v>
      </c>
      <c r="X361" s="45">
        <v>-6.3492339999999998E-6</v>
      </c>
      <c r="Y361" s="45">
        <v>1.615744E-6</v>
      </c>
      <c r="Z361" s="36">
        <v>4.84</v>
      </c>
      <c r="AA361" s="38">
        <v>594</v>
      </c>
      <c r="AB361" s="38">
        <v>675</v>
      </c>
      <c r="AC361" s="39" t="s">
        <v>508</v>
      </c>
      <c r="AD361" s="49" t="s">
        <v>506</v>
      </c>
      <c r="AE361" s="46"/>
    </row>
    <row r="362" spans="1:31" ht="15" thickBot="1">
      <c r="A362" s="34">
        <v>360</v>
      </c>
      <c r="B362" s="34" t="s">
        <v>252</v>
      </c>
      <c r="C362" s="41" t="s">
        <v>1358</v>
      </c>
      <c r="D362" s="34" t="s">
        <v>459</v>
      </c>
      <c r="E362" s="80">
        <f t="shared" si="35"/>
        <v>1.8015371848555064</v>
      </c>
      <c r="F362" s="35">
        <f t="shared" si="36"/>
        <v>45.466613919817135</v>
      </c>
      <c r="G362" s="42" cm="1">
        <f t="array" ref="G36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45.223654505105202</v>
      </c>
      <c r="H362" s="81" cm="1">
        <f t="array" ref="H3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1.7962506962359928</v>
      </c>
      <c r="I362" s="81" cm="1">
        <f t="array" ref="I3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1.8015371848555064</v>
      </c>
      <c r="J362" s="81" cm="1">
        <f t="array" ref="J3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1.805732793156992</v>
      </c>
      <c r="K362" s="81" cm="1">
        <f t="array" ref="K3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1.8138798336568938</v>
      </c>
      <c r="L362" s="81" cm="1">
        <f t="array" ref="L3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1.823717502191333</v>
      </c>
      <c r="M362" s="37">
        <f t="shared" si="37"/>
        <v>1.7629137420900998E-2</v>
      </c>
      <c r="N362" s="43">
        <f t="shared" si="38"/>
        <v>5.2864886195136407E-3</v>
      </c>
      <c r="O362" s="43">
        <f t="shared" si="39"/>
        <v>9.8376685344392367E-3</v>
      </c>
      <c r="P362" s="43">
        <f t="shared" si="40"/>
        <v>0.29987222251986145</v>
      </c>
      <c r="Q362" s="37">
        <f t="shared" si="41"/>
        <v>0.55803459350063023</v>
      </c>
      <c r="R362" s="37">
        <v>-8.5000000000000006E-3</v>
      </c>
      <c r="S362" s="44" t="s">
        <v>1394</v>
      </c>
      <c r="T362" s="45">
        <v>3.1644749999999999</v>
      </c>
      <c r="U362" s="45">
        <v>-1.3801295E-2</v>
      </c>
      <c r="V362" s="45">
        <v>2.7926276E-2</v>
      </c>
      <c r="W362" s="45">
        <v>5.7403000000000011E-4</v>
      </c>
      <c r="X362" s="45">
        <v>9.8223772999999996E-7</v>
      </c>
      <c r="Y362" s="45">
        <v>1.3284244000000001E-6</v>
      </c>
      <c r="Z362" s="36">
        <v>4.84</v>
      </c>
      <c r="AA362" s="38">
        <v>594</v>
      </c>
      <c r="AB362" s="38">
        <v>675</v>
      </c>
      <c r="AC362" s="39" t="s">
        <v>508</v>
      </c>
      <c r="AD362" s="49" t="s">
        <v>506</v>
      </c>
      <c r="AE362" s="46" t="s">
        <v>869</v>
      </c>
    </row>
    <row r="363" spans="1:31" ht="15" thickBot="1">
      <c r="A363" s="34">
        <v>361</v>
      </c>
      <c r="B363" s="34" t="s">
        <v>252</v>
      </c>
      <c r="C363" s="41" t="s">
        <v>1358</v>
      </c>
      <c r="D363" s="34" t="s">
        <v>460</v>
      </c>
      <c r="E363" s="80">
        <f t="shared" si="35"/>
        <v>1.8015371848555064</v>
      </c>
      <c r="F363" s="35">
        <f t="shared" si="36"/>
        <v>45.466613919817135</v>
      </c>
      <c r="G363" s="42" cm="1">
        <f t="array" ref="G36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45.223654505105202</v>
      </c>
      <c r="H363" s="81" cm="1">
        <f t="array" ref="H3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1.7962506962359928</v>
      </c>
      <c r="I363" s="81" cm="1">
        <f t="array" ref="I3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1.8015371848555064</v>
      </c>
      <c r="J363" s="81" cm="1">
        <f t="array" ref="J3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1.805732793156992</v>
      </c>
      <c r="K363" s="81" cm="1">
        <f t="array" ref="K3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1.8138798336568938</v>
      </c>
      <c r="L363" s="81" cm="1">
        <f t="array" ref="L3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1.823717502191333</v>
      </c>
      <c r="M363" s="37">
        <f t="shared" si="37"/>
        <v>1.7629137420900998E-2</v>
      </c>
      <c r="N363" s="43">
        <f t="shared" si="38"/>
        <v>5.2864886195136407E-3</v>
      </c>
      <c r="O363" s="43">
        <f t="shared" si="39"/>
        <v>9.8376685344392367E-3</v>
      </c>
      <c r="P363" s="43">
        <f t="shared" si="40"/>
        <v>0.29987222251986145</v>
      </c>
      <c r="Q363" s="37">
        <f t="shared" si="41"/>
        <v>0.55803459350063023</v>
      </c>
      <c r="R363" s="37">
        <v>-8.5000000000000006E-3</v>
      </c>
      <c r="S363" s="44" t="s">
        <v>1394</v>
      </c>
      <c r="T363" s="45">
        <v>3.1644749999999999</v>
      </c>
      <c r="U363" s="45">
        <v>-1.3801295E-2</v>
      </c>
      <c r="V363" s="45">
        <v>2.7926276E-2</v>
      </c>
      <c r="W363" s="45">
        <v>5.7403000000000011E-4</v>
      </c>
      <c r="X363" s="45">
        <v>9.8223772999999996E-7</v>
      </c>
      <c r="Y363" s="45">
        <v>1.3284244000000001E-6</v>
      </c>
      <c r="Z363" s="36">
        <v>4.84</v>
      </c>
      <c r="AA363" s="38">
        <v>594</v>
      </c>
      <c r="AB363" s="38">
        <v>675</v>
      </c>
      <c r="AC363" s="39" t="s">
        <v>508</v>
      </c>
      <c r="AD363" s="49" t="s">
        <v>506</v>
      </c>
      <c r="AE363" s="46" t="s">
        <v>869</v>
      </c>
    </row>
    <row r="364" spans="1:31" ht="15" thickBot="1">
      <c r="A364" s="34">
        <v>362</v>
      </c>
      <c r="B364" s="34" t="s">
        <v>252</v>
      </c>
      <c r="C364" s="41" t="s">
        <v>1358</v>
      </c>
      <c r="D364" s="34" t="s">
        <v>461</v>
      </c>
      <c r="E364" s="80">
        <f t="shared" si="35"/>
        <v>1.7680153303784691</v>
      </c>
      <c r="F364" s="35">
        <f t="shared" si="36"/>
        <v>49.242016036366849</v>
      </c>
      <c r="G364" s="42" cm="1">
        <f t="array" ref="G36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49.0026993398169</v>
      </c>
      <c r="H364" s="81" cm="1">
        <f t="array" ref="H3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1.7633099682546347</v>
      </c>
      <c r="I364" s="81" cm="1">
        <f t="array" ref="I3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1.7680153303784691</v>
      </c>
      <c r="J364" s="81" cm="1">
        <f t="array" ref="J3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1.7717308229676338</v>
      </c>
      <c r="K364" s="81" cm="1">
        <f t="array" ref="K3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1.7789067165642747</v>
      </c>
      <c r="L364" s="81" cm="1">
        <f t="array" ref="L3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1.7875107097757921</v>
      </c>
      <c r="M364" s="37">
        <f t="shared" si="37"/>
        <v>1.5596748309639974E-2</v>
      </c>
      <c r="N364" s="43">
        <f t="shared" si="38"/>
        <v>4.7053621238344334E-3</v>
      </c>
      <c r="O364" s="43">
        <f t="shared" si="39"/>
        <v>8.6039932115173912E-3</v>
      </c>
      <c r="P364" s="43">
        <f t="shared" si="40"/>
        <v>0.301688661663288</v>
      </c>
      <c r="Q364" s="37">
        <f t="shared" si="41"/>
        <v>0.55165301386568322</v>
      </c>
      <c r="R364" s="37">
        <v>-8.2000000000000007E-3</v>
      </c>
      <c r="S364" s="44" t="s">
        <v>1394</v>
      </c>
      <c r="T364" s="45">
        <v>3.0561500000000001</v>
      </c>
      <c r="U364" s="45">
        <v>-1.3847100000000001E-2</v>
      </c>
      <c r="V364" s="45">
        <v>2.4311260000000001E-2</v>
      </c>
      <c r="W364" s="45">
        <v>4.9800270000000002E-4</v>
      </c>
      <c r="X364" s="45">
        <v>-7.3186759999999992E-6</v>
      </c>
      <c r="Y364" s="45">
        <v>1.2404099999999999E-6</v>
      </c>
      <c r="Z364" s="36">
        <v>4.5599999999999996</v>
      </c>
      <c r="AA364" s="38">
        <v>607</v>
      </c>
      <c r="AB364" s="38">
        <v>681</v>
      </c>
      <c r="AC364" s="39" t="s">
        <v>508</v>
      </c>
      <c r="AD364" s="39" t="s">
        <v>1371</v>
      </c>
      <c r="AE364" s="46"/>
    </row>
    <row r="365" spans="1:31" ht="15" thickBot="1">
      <c r="A365" s="34">
        <v>363</v>
      </c>
      <c r="B365" s="34" t="s">
        <v>252</v>
      </c>
      <c r="C365" s="41" t="s">
        <v>1358</v>
      </c>
      <c r="D365" s="34" t="s">
        <v>462</v>
      </c>
      <c r="E365" s="80">
        <f t="shared" si="35"/>
        <v>1.7690153403023861</v>
      </c>
      <c r="F365" s="35">
        <f t="shared" si="36"/>
        <v>49.290626347308994</v>
      </c>
      <c r="G365" s="42" cm="1">
        <f t="array" ref="G36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49.052005552295959</v>
      </c>
      <c r="H365" s="81" cm="1">
        <f t="array" ref="H3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1.764307485698722</v>
      </c>
      <c r="I365" s="81" cm="1">
        <f t="array" ref="I3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1.7690153403023861</v>
      </c>
      <c r="J365" s="81" cm="1">
        <f t="array" ref="J3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1.7727320023646429</v>
      </c>
      <c r="K365" s="81" cm="1">
        <f t="array" ref="K3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1.7799091405627481</v>
      </c>
      <c r="L365" s="81" cm="1">
        <f t="array" ref="L3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1.7885152203821004</v>
      </c>
      <c r="M365" s="37">
        <f t="shared" si="37"/>
        <v>1.5601654864026093E-2</v>
      </c>
      <c r="N365" s="43">
        <f t="shared" si="38"/>
        <v>4.7078546036640745E-3</v>
      </c>
      <c r="O365" s="43">
        <f t="shared" si="39"/>
        <v>8.6060798193523524E-3</v>
      </c>
      <c r="P365" s="43">
        <f t="shared" si="40"/>
        <v>0.30175354119128273</v>
      </c>
      <c r="Q365" s="37">
        <f t="shared" si="41"/>
        <v>0.55161326758971174</v>
      </c>
      <c r="R365" s="37">
        <v>-8.0000000000000002E-3</v>
      </c>
      <c r="S365" s="44" t="s">
        <v>1394</v>
      </c>
      <c r="T365" s="45">
        <v>3.0591566000000001</v>
      </c>
      <c r="U365" s="45">
        <v>-1.3604717000000001E-2</v>
      </c>
      <c r="V365" s="45">
        <v>2.4624272000000003E-2</v>
      </c>
      <c r="W365" s="45">
        <v>4.1834242000000004E-4</v>
      </c>
      <c r="X365" s="45">
        <v>2.5361908E-6</v>
      </c>
      <c r="Y365" s="45">
        <v>7.9980819999999994E-7</v>
      </c>
      <c r="Z365" s="36">
        <v>4.5599999999999996</v>
      </c>
      <c r="AA365" s="38">
        <v>607</v>
      </c>
      <c r="AB365" s="38">
        <v>681</v>
      </c>
      <c r="AC365" s="39" t="s">
        <v>508</v>
      </c>
      <c r="AD365" s="39" t="s">
        <v>1371</v>
      </c>
      <c r="AE365" s="46" t="s">
        <v>869</v>
      </c>
    </row>
    <row r="366" spans="1:31" ht="15" thickBot="1">
      <c r="A366" s="34">
        <v>364</v>
      </c>
      <c r="B366" s="34" t="s">
        <v>252</v>
      </c>
      <c r="C366" s="41" t="s">
        <v>1358</v>
      </c>
      <c r="D366" s="34" t="s">
        <v>463</v>
      </c>
      <c r="E366" s="80">
        <f t="shared" si="35"/>
        <v>1.7690153403023861</v>
      </c>
      <c r="F366" s="35">
        <f t="shared" si="36"/>
        <v>49.290626347308994</v>
      </c>
      <c r="G366" s="42" cm="1">
        <f t="array" ref="G36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49.052005552295959</v>
      </c>
      <c r="H366" s="81" cm="1">
        <f t="array" ref="H3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1.764307485698722</v>
      </c>
      <c r="I366" s="81" cm="1">
        <f t="array" ref="I3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1.7690153403023861</v>
      </c>
      <c r="J366" s="81" cm="1">
        <f t="array" ref="J3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1.7727320023646429</v>
      </c>
      <c r="K366" s="81" cm="1">
        <f t="array" ref="K3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1.7799091405627481</v>
      </c>
      <c r="L366" s="81" cm="1">
        <f t="array" ref="L3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1.7885152203821004</v>
      </c>
      <c r="M366" s="37">
        <f t="shared" si="37"/>
        <v>1.5601654864026093E-2</v>
      </c>
      <c r="N366" s="43">
        <f t="shared" si="38"/>
        <v>4.7078546036640745E-3</v>
      </c>
      <c r="O366" s="43">
        <f t="shared" si="39"/>
        <v>8.6060798193523524E-3</v>
      </c>
      <c r="P366" s="43">
        <f t="shared" si="40"/>
        <v>0.30175354119128273</v>
      </c>
      <c r="Q366" s="37">
        <f t="shared" si="41"/>
        <v>0.55161326758971174</v>
      </c>
      <c r="R366" s="37">
        <v>-8.0000000000000002E-3</v>
      </c>
      <c r="S366" s="44" t="s">
        <v>1394</v>
      </c>
      <c r="T366" s="45">
        <v>3.0591566000000001</v>
      </c>
      <c r="U366" s="45">
        <v>-1.3604717000000001E-2</v>
      </c>
      <c r="V366" s="45">
        <v>2.4624272000000003E-2</v>
      </c>
      <c r="W366" s="45">
        <v>4.1834242000000004E-4</v>
      </c>
      <c r="X366" s="45">
        <v>2.5361908E-6</v>
      </c>
      <c r="Y366" s="45">
        <v>7.9980819999999994E-7</v>
      </c>
      <c r="Z366" s="36">
        <v>4.5599999999999996</v>
      </c>
      <c r="AA366" s="38">
        <v>607</v>
      </c>
      <c r="AB366" s="38">
        <v>681</v>
      </c>
      <c r="AC366" s="39" t="s">
        <v>508</v>
      </c>
      <c r="AD366" s="39" t="s">
        <v>1371</v>
      </c>
      <c r="AE366" s="46" t="s">
        <v>869</v>
      </c>
    </row>
    <row r="367" spans="1:31" ht="15" thickBot="1">
      <c r="A367" s="34">
        <v>365</v>
      </c>
      <c r="B367" s="34" t="s">
        <v>252</v>
      </c>
      <c r="C367" s="41" t="s">
        <v>1358</v>
      </c>
      <c r="D367" s="34" t="s">
        <v>464</v>
      </c>
      <c r="E367" s="80">
        <f t="shared" si="35"/>
        <v>1.7725016499947635</v>
      </c>
      <c r="F367" s="35">
        <f t="shared" si="36"/>
        <v>49.503515152424733</v>
      </c>
      <c r="G367" s="42" cm="1">
        <f t="array" ref="G36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49.262999415147384</v>
      </c>
      <c r="H367" s="81" cm="1">
        <f t="array" ref="H3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1.767792032831101</v>
      </c>
      <c r="I367" s="81" cm="1">
        <f t="array" ref="I3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1.7725016499947635</v>
      </c>
      <c r="J367" s="81" cm="1">
        <f t="array" ref="J3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1.7762185479324519</v>
      </c>
      <c r="K367" s="81" cm="1">
        <f t="array" ref="K3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1.7833970186107204</v>
      </c>
      <c r="L367" s="81" cm="1">
        <f t="array" ref="L3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1.7920101899593459</v>
      </c>
      <c r="M367" s="37">
        <f t="shared" si="37"/>
        <v>1.560498577961944E-2</v>
      </c>
      <c r="N367" s="43">
        <f t="shared" si="38"/>
        <v>4.7096171636624717E-3</v>
      </c>
      <c r="O367" s="43">
        <f t="shared" si="39"/>
        <v>8.6131713486254924E-3</v>
      </c>
      <c r="P367" s="43">
        <f t="shared" si="40"/>
        <v>0.30180207980793977</v>
      </c>
      <c r="Q367" s="37">
        <f t="shared" si="41"/>
        <v>0.55194996459878498</v>
      </c>
      <c r="R367" s="37">
        <v>-7.3000000000000001E-3</v>
      </c>
      <c r="S367" s="44" t="s">
        <v>1394</v>
      </c>
      <c r="T367" s="45">
        <v>3.0705638</v>
      </c>
      <c r="U367" s="45">
        <v>-1.3310234000000001E-2</v>
      </c>
      <c r="V367" s="45">
        <v>2.5280355000000001E-2</v>
      </c>
      <c r="W367" s="45">
        <v>2.1829234E-4</v>
      </c>
      <c r="X367" s="45">
        <v>3.2555293000000004E-5</v>
      </c>
      <c r="Y367" s="45">
        <v>-8.1300421000000001E-7</v>
      </c>
      <c r="Z367" s="36">
        <v>4.62</v>
      </c>
      <c r="AA367" s="38">
        <v>619</v>
      </c>
      <c r="AB367" s="38">
        <v>689</v>
      </c>
      <c r="AC367" s="39" t="s">
        <v>508</v>
      </c>
      <c r="AD367" s="49" t="s">
        <v>506</v>
      </c>
      <c r="AE367" s="46"/>
    </row>
    <row r="368" spans="1:31" ht="15" thickBot="1">
      <c r="A368" s="34">
        <v>366</v>
      </c>
      <c r="B368" s="34" t="s">
        <v>252</v>
      </c>
      <c r="C368" s="41" t="s">
        <v>1358</v>
      </c>
      <c r="D368" s="34" t="s">
        <v>465</v>
      </c>
      <c r="E368" s="80">
        <f t="shared" si="35"/>
        <v>1.7725016499947635</v>
      </c>
      <c r="F368" s="35">
        <f t="shared" si="36"/>
        <v>49.503515152424733</v>
      </c>
      <c r="G368" s="42" cm="1">
        <f t="array" ref="G36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49.262999415147384</v>
      </c>
      <c r="H368" s="81" cm="1">
        <f t="array" ref="H3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1.767792032831101</v>
      </c>
      <c r="I368" s="81" cm="1">
        <f t="array" ref="I3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1.7725016499947635</v>
      </c>
      <c r="J368" s="81" cm="1">
        <f t="array" ref="J3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1.7762185479324519</v>
      </c>
      <c r="K368" s="81" cm="1">
        <f t="array" ref="K3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1.7833970186107204</v>
      </c>
      <c r="L368" s="81" cm="1">
        <f t="array" ref="L3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1.7920101899593459</v>
      </c>
      <c r="M368" s="37">
        <f t="shared" si="37"/>
        <v>1.560498577961944E-2</v>
      </c>
      <c r="N368" s="43">
        <f t="shared" si="38"/>
        <v>4.7096171636624717E-3</v>
      </c>
      <c r="O368" s="43">
        <f t="shared" si="39"/>
        <v>8.6131713486254924E-3</v>
      </c>
      <c r="P368" s="43">
        <f t="shared" si="40"/>
        <v>0.30180207980793977</v>
      </c>
      <c r="Q368" s="37">
        <f t="shared" si="41"/>
        <v>0.55194996459878498</v>
      </c>
      <c r="R368" s="37">
        <v>-7.3000000000000001E-3</v>
      </c>
      <c r="S368" s="44" t="s">
        <v>1394</v>
      </c>
      <c r="T368" s="45">
        <v>3.0705638</v>
      </c>
      <c r="U368" s="45">
        <v>-1.3310234000000001E-2</v>
      </c>
      <c r="V368" s="45">
        <v>2.5280355000000001E-2</v>
      </c>
      <c r="W368" s="45">
        <v>2.1829234E-4</v>
      </c>
      <c r="X368" s="45">
        <v>3.2555293000000004E-5</v>
      </c>
      <c r="Y368" s="45">
        <v>-8.1300421000000001E-7</v>
      </c>
      <c r="Z368" s="36">
        <v>4.62</v>
      </c>
      <c r="AA368" s="38">
        <v>619</v>
      </c>
      <c r="AB368" s="38">
        <v>689</v>
      </c>
      <c r="AC368" s="39" t="s">
        <v>508</v>
      </c>
      <c r="AD368" s="49" t="s">
        <v>506</v>
      </c>
      <c r="AE368" s="46" t="s">
        <v>869</v>
      </c>
    </row>
    <row r="369" spans="1:31" ht="15" thickBot="1">
      <c r="A369" s="34">
        <v>367</v>
      </c>
      <c r="B369" s="34" t="s">
        <v>252</v>
      </c>
      <c r="C369" s="41" t="s">
        <v>1358</v>
      </c>
      <c r="D369" s="34" t="s">
        <v>466</v>
      </c>
      <c r="E369" s="80">
        <f t="shared" si="35"/>
        <v>1.7725016499947635</v>
      </c>
      <c r="F369" s="35">
        <f t="shared" si="36"/>
        <v>49.503515152424733</v>
      </c>
      <c r="G369" s="42" cm="1">
        <f t="array" ref="G36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49.262999415147384</v>
      </c>
      <c r="H369" s="81" cm="1">
        <f t="array" ref="H3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1.767792032831101</v>
      </c>
      <c r="I369" s="81" cm="1">
        <f t="array" ref="I3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1.7725016499947635</v>
      </c>
      <c r="J369" s="81" cm="1">
        <f t="array" ref="J3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1.7762185479324519</v>
      </c>
      <c r="K369" s="81" cm="1">
        <f t="array" ref="K3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1.7833970186107204</v>
      </c>
      <c r="L369" s="81" cm="1">
        <f t="array" ref="L3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1.7920101899593459</v>
      </c>
      <c r="M369" s="37">
        <f t="shared" si="37"/>
        <v>1.560498577961944E-2</v>
      </c>
      <c r="N369" s="43">
        <f t="shared" si="38"/>
        <v>4.7096171636624717E-3</v>
      </c>
      <c r="O369" s="43">
        <f t="shared" si="39"/>
        <v>8.6131713486254924E-3</v>
      </c>
      <c r="P369" s="43">
        <f t="shared" si="40"/>
        <v>0.30180207980793977</v>
      </c>
      <c r="Q369" s="37">
        <f t="shared" si="41"/>
        <v>0.55194996459878498</v>
      </c>
      <c r="R369" s="37">
        <v>-7.3000000000000001E-3</v>
      </c>
      <c r="S369" s="44" t="s">
        <v>1394</v>
      </c>
      <c r="T369" s="45">
        <v>3.0705638</v>
      </c>
      <c r="U369" s="45">
        <v>-1.3310234000000001E-2</v>
      </c>
      <c r="V369" s="45">
        <v>2.5280355000000001E-2</v>
      </c>
      <c r="W369" s="45">
        <v>2.1829234E-4</v>
      </c>
      <c r="X369" s="45">
        <v>3.2555293000000004E-5</v>
      </c>
      <c r="Y369" s="45">
        <v>-8.1300421000000001E-7</v>
      </c>
      <c r="Z369" s="36">
        <v>4.62</v>
      </c>
      <c r="AA369" s="38">
        <v>619</v>
      </c>
      <c r="AB369" s="38">
        <v>689</v>
      </c>
      <c r="AC369" s="39" t="s">
        <v>508</v>
      </c>
      <c r="AD369" s="49" t="s">
        <v>506</v>
      </c>
      <c r="AE369" s="46" t="s">
        <v>869</v>
      </c>
    </row>
    <row r="370" spans="1:31" ht="15" thickBot="1">
      <c r="A370" s="34">
        <v>368</v>
      </c>
      <c r="B370" s="34" t="s">
        <v>252</v>
      </c>
      <c r="C370" s="41" t="s">
        <v>1358</v>
      </c>
      <c r="D370" s="34" t="s">
        <v>1126</v>
      </c>
      <c r="E370" s="80">
        <f t="shared" si="35"/>
        <v>1.7704730847376942</v>
      </c>
      <c r="F370" s="35">
        <f t="shared" si="36"/>
        <v>49.462432957898137</v>
      </c>
      <c r="G370" s="42" cm="1">
        <f t="array" ref="G37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49.218713983398729</v>
      </c>
      <c r="H370" s="81" cm="1">
        <f t="array" ref="H3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1.7657750061505131</v>
      </c>
      <c r="I370" s="81" cm="1">
        <f t="array" ref="I3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1.7704730847376942</v>
      </c>
      <c r="J370" s="81" cm="1">
        <f t="array" ref="J3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1.7741833803912941</v>
      </c>
      <c r="K370" s="81" cm="1">
        <f t="array" ref="K3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1.781351940778729</v>
      </c>
      <c r="L370" s="81" cm="1">
        <f t="array" ref="L3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1.7899512204327215</v>
      </c>
      <c r="M370" s="37">
        <f t="shared" si="37"/>
        <v>1.5576934628215966E-2</v>
      </c>
      <c r="N370" s="43">
        <f t="shared" si="38"/>
        <v>4.698078587181076E-3</v>
      </c>
      <c r="O370" s="43">
        <f t="shared" si="39"/>
        <v>8.599279653992431E-3</v>
      </c>
      <c r="P370" s="43">
        <f t="shared" si="40"/>
        <v>0.30160482144355955</v>
      </c>
      <c r="Q370" s="37">
        <f t="shared" si="41"/>
        <v>0.55205211161480694</v>
      </c>
      <c r="R370" s="37">
        <v>-7.3000000000000001E-3</v>
      </c>
      <c r="S370" s="44" t="s">
        <v>1394</v>
      </c>
      <c r="T370" s="45">
        <v>3.0645313000000001</v>
      </c>
      <c r="U370" s="45">
        <v>-1.3693839999999999E-2</v>
      </c>
      <c r="V370" s="45">
        <v>2.4574301E-2</v>
      </c>
      <c r="W370" s="45">
        <v>3.9557144000000003E-4</v>
      </c>
      <c r="X370" s="45">
        <v>1.0739241000000001E-5</v>
      </c>
      <c r="Y370" s="45">
        <v>1.2049528E-7</v>
      </c>
      <c r="Z370" s="36">
        <v>4.28</v>
      </c>
      <c r="AA370" s="38">
        <v>595</v>
      </c>
      <c r="AB370" s="38">
        <v>667</v>
      </c>
      <c r="AC370" s="39" t="s">
        <v>508</v>
      </c>
      <c r="AD370" s="39" t="s">
        <v>1371</v>
      </c>
      <c r="AE370" s="46" t="s">
        <v>869</v>
      </c>
    </row>
    <row r="371" spans="1:31" ht="15" thickBot="1">
      <c r="A371" s="34">
        <v>369</v>
      </c>
      <c r="B371" s="34" t="s">
        <v>252</v>
      </c>
      <c r="C371" s="41" t="s">
        <v>1358</v>
      </c>
      <c r="D371" s="34" t="s">
        <v>467</v>
      </c>
      <c r="E371" s="80">
        <f t="shared" si="35"/>
        <v>1.7737663381741959</v>
      </c>
      <c r="F371" s="35">
        <f t="shared" si="36"/>
        <v>47.167580956518833</v>
      </c>
      <c r="G371" s="42" cm="1">
        <f t="array" ref="G37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46.920080953892025</v>
      </c>
      <c r="H371" s="81" cm="1">
        <f t="array" ref="H3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1.7688378665827869</v>
      </c>
      <c r="I371" s="81" cm="1">
        <f t="array" ref="I3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1.7737663381741959</v>
      </c>
      <c r="J371" s="81" cm="1">
        <f t="array" ref="J3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1.7776718602121799</v>
      </c>
      <c r="K371" s="81" cm="1">
        <f t="array" ref="K3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1.7852424886236646</v>
      </c>
      <c r="L371" s="81" cm="1">
        <f t="array" ref="L3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1.7943595111292512</v>
      </c>
      <c r="M371" s="37">
        <f t="shared" si="37"/>
        <v>1.6404622040877781E-2</v>
      </c>
      <c r="N371" s="43">
        <f t="shared" si="38"/>
        <v>4.9284715914090782E-3</v>
      </c>
      <c r="O371" s="43">
        <f t="shared" si="39"/>
        <v>9.1170225055865473E-3</v>
      </c>
      <c r="P371" s="43">
        <f t="shared" si="40"/>
        <v>0.30043188920342628</v>
      </c>
      <c r="Q371" s="37">
        <f t="shared" si="41"/>
        <v>0.55575937579472034</v>
      </c>
      <c r="R371" s="37">
        <v>-7.7999999999999996E-3</v>
      </c>
      <c r="S371" s="44" t="s">
        <v>1394</v>
      </c>
      <c r="T371" s="45">
        <v>3.0727899999999999</v>
      </c>
      <c r="U371" s="45">
        <v>-1.366385E-2</v>
      </c>
      <c r="V371" s="45">
        <v>2.5273460000000001E-2</v>
      </c>
      <c r="W371" s="45">
        <v>6.1218199999999996E-4</v>
      </c>
      <c r="X371" s="45">
        <v>-1.1470450000000001E-5</v>
      </c>
      <c r="Y371" s="45">
        <v>1.5429999999999999E-6</v>
      </c>
      <c r="Z371" s="36">
        <v>4.62</v>
      </c>
      <c r="AA371" s="38">
        <v>569</v>
      </c>
      <c r="AB371" s="38">
        <v>653</v>
      </c>
      <c r="AC371" s="39" t="s">
        <v>508</v>
      </c>
      <c r="AD371" s="49" t="s">
        <v>506</v>
      </c>
      <c r="AE371" s="46"/>
    </row>
    <row r="372" spans="1:31" ht="15" thickBot="1">
      <c r="A372" s="34">
        <v>370</v>
      </c>
      <c r="B372" s="34" t="s">
        <v>252</v>
      </c>
      <c r="C372" s="41" t="s">
        <v>1358</v>
      </c>
      <c r="D372" s="34" t="s">
        <v>468</v>
      </c>
      <c r="E372" s="80">
        <f t="shared" si="35"/>
        <v>1.7737663381741959</v>
      </c>
      <c r="F372" s="35">
        <f t="shared" si="36"/>
        <v>47.167580956518833</v>
      </c>
      <c r="G372" s="42" cm="1">
        <f t="array" ref="G37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46.920080953892025</v>
      </c>
      <c r="H372" s="81" cm="1">
        <f t="array" ref="H3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1.7688378665827869</v>
      </c>
      <c r="I372" s="81" cm="1">
        <f t="array" ref="I3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1.7737663381741959</v>
      </c>
      <c r="J372" s="81" cm="1">
        <f t="array" ref="J3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1.7776718602121799</v>
      </c>
      <c r="K372" s="81" cm="1">
        <f t="array" ref="K3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1.7852424886236646</v>
      </c>
      <c r="L372" s="81" cm="1">
        <f t="array" ref="L3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1.7943595111292512</v>
      </c>
      <c r="M372" s="37">
        <f t="shared" si="37"/>
        <v>1.6404622040877781E-2</v>
      </c>
      <c r="N372" s="43">
        <f t="shared" si="38"/>
        <v>4.9284715914090782E-3</v>
      </c>
      <c r="O372" s="43">
        <f t="shared" si="39"/>
        <v>9.1170225055865473E-3</v>
      </c>
      <c r="P372" s="43">
        <f t="shared" si="40"/>
        <v>0.30043188920342628</v>
      </c>
      <c r="Q372" s="37">
        <f t="shared" si="41"/>
        <v>0.55575937579472034</v>
      </c>
      <c r="R372" s="37">
        <v>-7.7999999999999996E-3</v>
      </c>
      <c r="S372" s="44" t="s">
        <v>1394</v>
      </c>
      <c r="T372" s="45">
        <v>3.0727899999999999</v>
      </c>
      <c r="U372" s="45">
        <v>-1.366385E-2</v>
      </c>
      <c r="V372" s="45">
        <v>2.5273460000000001E-2</v>
      </c>
      <c r="W372" s="45">
        <v>6.1218199999999996E-4</v>
      </c>
      <c r="X372" s="45">
        <v>-1.1470450000000001E-5</v>
      </c>
      <c r="Y372" s="45">
        <v>1.5429999999999999E-6</v>
      </c>
      <c r="Z372" s="36">
        <v>4.62</v>
      </c>
      <c r="AA372" s="38">
        <v>569</v>
      </c>
      <c r="AB372" s="38">
        <v>653</v>
      </c>
      <c r="AC372" s="39" t="s">
        <v>508</v>
      </c>
      <c r="AD372" s="49" t="s">
        <v>506</v>
      </c>
      <c r="AE372" s="46" t="s">
        <v>869</v>
      </c>
    </row>
    <row r="373" spans="1:31" ht="15" thickBot="1">
      <c r="A373" s="34">
        <v>371</v>
      </c>
      <c r="B373" s="34" t="s">
        <v>252</v>
      </c>
      <c r="C373" s="41" t="s">
        <v>1358</v>
      </c>
      <c r="D373" s="34" t="s">
        <v>469</v>
      </c>
      <c r="E373" s="80">
        <f t="shared" si="35"/>
        <v>1.7737663381741959</v>
      </c>
      <c r="F373" s="35">
        <f t="shared" si="36"/>
        <v>47.167580956518833</v>
      </c>
      <c r="G373" s="42" cm="1">
        <f t="array" ref="G37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46.920080953892025</v>
      </c>
      <c r="H373" s="81" cm="1">
        <f t="array" ref="H3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1.7688378665827869</v>
      </c>
      <c r="I373" s="81" cm="1">
        <f t="array" ref="I3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1.7737663381741959</v>
      </c>
      <c r="J373" s="81" cm="1">
        <f t="array" ref="J3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1.7776718602121799</v>
      </c>
      <c r="K373" s="81" cm="1">
        <f t="array" ref="K3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1.7852424886236646</v>
      </c>
      <c r="L373" s="81" cm="1">
        <f t="array" ref="L3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1.7943595111292512</v>
      </c>
      <c r="M373" s="37">
        <f t="shared" si="37"/>
        <v>1.6404622040877781E-2</v>
      </c>
      <c r="N373" s="43">
        <f t="shared" si="38"/>
        <v>4.9284715914090782E-3</v>
      </c>
      <c r="O373" s="43">
        <f t="shared" si="39"/>
        <v>9.1170225055865473E-3</v>
      </c>
      <c r="P373" s="43">
        <f t="shared" si="40"/>
        <v>0.30043188920342628</v>
      </c>
      <c r="Q373" s="37">
        <f t="shared" si="41"/>
        <v>0.55575937579472034</v>
      </c>
      <c r="R373" s="37">
        <v>-7.7999999999999996E-3</v>
      </c>
      <c r="S373" s="44" t="s">
        <v>1394</v>
      </c>
      <c r="T373" s="45">
        <v>3.0727899999999999</v>
      </c>
      <c r="U373" s="45">
        <v>-1.366385E-2</v>
      </c>
      <c r="V373" s="45">
        <v>2.5273460000000001E-2</v>
      </c>
      <c r="W373" s="45">
        <v>6.1218199999999996E-4</v>
      </c>
      <c r="X373" s="45">
        <v>-1.1470450000000001E-5</v>
      </c>
      <c r="Y373" s="45">
        <v>1.5429999999999999E-6</v>
      </c>
      <c r="Z373" s="36">
        <v>4.62</v>
      </c>
      <c r="AA373" s="38">
        <v>569</v>
      </c>
      <c r="AB373" s="38">
        <v>653</v>
      </c>
      <c r="AC373" s="39" t="s">
        <v>508</v>
      </c>
      <c r="AD373" s="39" t="s">
        <v>1371</v>
      </c>
      <c r="AE373" s="46" t="s">
        <v>869</v>
      </c>
    </row>
    <row r="374" spans="1:31" ht="15" thickBot="1">
      <c r="A374" s="34">
        <v>372</v>
      </c>
      <c r="B374" s="34" t="s">
        <v>252</v>
      </c>
      <c r="C374" s="41" t="s">
        <v>1358</v>
      </c>
      <c r="D374" s="34" t="s">
        <v>470</v>
      </c>
      <c r="E374" s="80">
        <f t="shared" si="35"/>
        <v>1.8207982366921067</v>
      </c>
      <c r="F374" s="35">
        <f t="shared" si="36"/>
        <v>42.706886338489689</v>
      </c>
      <c r="G374" s="42" cm="1">
        <f t="array" ref="G37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42.455920649795168</v>
      </c>
      <c r="H374" s="81" cm="1">
        <f t="array" ref="H3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1.8150696961963197</v>
      </c>
      <c r="I374" s="81" cm="1">
        <f t="array" ref="I3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1.8207982366921067</v>
      </c>
      <c r="J374" s="81" cm="1">
        <f t="array" ref="J3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1.8253679847422313</v>
      </c>
      <c r="K374" s="81" cm="1">
        <f t="array" ref="K3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1.8342890377841508</v>
      </c>
      <c r="L374" s="81" cm="1">
        <f t="array" ref="L3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1.8451344720729383</v>
      </c>
      <c r="M374" s="37">
        <f t="shared" si="37"/>
        <v>1.9219341587831007E-2</v>
      </c>
      <c r="N374" s="43">
        <f t="shared" si="38"/>
        <v>5.7285404957869712E-3</v>
      </c>
      <c r="O374" s="43">
        <f t="shared" si="39"/>
        <v>1.0845434288787592E-2</v>
      </c>
      <c r="P374" s="43">
        <f t="shared" si="40"/>
        <v>0.29806122491803133</v>
      </c>
      <c r="Q374" s="37">
        <f t="shared" si="41"/>
        <v>0.56429790995829587</v>
      </c>
      <c r="R374" s="37">
        <v>-7.1999999999999998E-3</v>
      </c>
      <c r="S374" s="44" t="s">
        <v>1394</v>
      </c>
      <c r="T374" s="45">
        <v>3.2276820000000002</v>
      </c>
      <c r="U374" s="45">
        <v>-1.453816E-2</v>
      </c>
      <c r="V374" s="45">
        <v>2.9212099999999998E-2</v>
      </c>
      <c r="W374" s="45">
        <v>1.0570619999999999E-3</v>
      </c>
      <c r="X374" s="45">
        <v>-4.7871620000000006E-5</v>
      </c>
      <c r="Y374" s="45">
        <v>4.5572390000000002E-6</v>
      </c>
      <c r="Z374" s="36">
        <v>5.01</v>
      </c>
      <c r="AA374" s="38">
        <v>600</v>
      </c>
      <c r="AB374" s="38">
        <v>681</v>
      </c>
      <c r="AC374" s="39" t="s">
        <v>508</v>
      </c>
      <c r="AD374" s="49" t="s">
        <v>506</v>
      </c>
      <c r="AE374" s="46"/>
    </row>
    <row r="375" spans="1:31" ht="15" thickBot="1">
      <c r="A375" s="34">
        <v>373</v>
      </c>
      <c r="B375" s="34" t="s">
        <v>252</v>
      </c>
      <c r="C375" s="41" t="s">
        <v>1358</v>
      </c>
      <c r="D375" s="34" t="s">
        <v>471</v>
      </c>
      <c r="E375" s="80">
        <f t="shared" si="35"/>
        <v>1.8212994883369249</v>
      </c>
      <c r="F375" s="35">
        <f t="shared" si="36"/>
        <v>42.725769827675379</v>
      </c>
      <c r="G375" s="42" cm="1">
        <f t="array" ref="G37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42.474123086643999</v>
      </c>
      <c r="H375" s="81" cm="1">
        <f t="array" ref="H3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1.8155693632527334</v>
      </c>
      <c r="I375" s="81" cm="1">
        <f t="array" ref="I3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1.8212994883369249</v>
      </c>
      <c r="J375" s="81" cm="1">
        <f t="array" ref="J3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1.8258689324976909</v>
      </c>
      <c r="K375" s="81" cm="1">
        <f t="array" ref="K3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1.8347919423109798</v>
      </c>
      <c r="L375" s="81" cm="1">
        <f t="array" ref="L3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1.8456506047580328</v>
      </c>
      <c r="M375" s="37">
        <f t="shared" si="37"/>
        <v>1.9222579058246314E-2</v>
      </c>
      <c r="N375" s="43">
        <f t="shared" si="38"/>
        <v>5.7301250841914619E-3</v>
      </c>
      <c r="O375" s="43">
        <f t="shared" si="39"/>
        <v>1.0858662447053025E-2</v>
      </c>
      <c r="P375" s="43">
        <f t="shared" si="40"/>
        <v>0.29809345909456875</v>
      </c>
      <c r="Q375" s="37">
        <f t="shared" si="41"/>
        <v>0.56489102810555258</v>
      </c>
      <c r="R375" s="37">
        <v>-6.6E-3</v>
      </c>
      <c r="S375" s="44" t="s">
        <v>1394</v>
      </c>
      <c r="T375" s="45">
        <v>3.2288052</v>
      </c>
      <c r="U375" s="45">
        <v>-1.4433046000000001E-2</v>
      </c>
      <c r="V375" s="45">
        <v>2.9863488000000001E-2</v>
      </c>
      <c r="W375" s="45">
        <v>8.2119281999999997E-4</v>
      </c>
      <c r="X375" s="45">
        <v>-1.0943491999999999E-5</v>
      </c>
      <c r="Y375" s="45">
        <v>2.5804939E-6</v>
      </c>
      <c r="Z375" s="36">
        <v>5.01</v>
      </c>
      <c r="AA375" s="38">
        <v>600</v>
      </c>
      <c r="AB375" s="38">
        <v>681</v>
      </c>
      <c r="AC375" s="39" t="s">
        <v>508</v>
      </c>
      <c r="AD375" s="49" t="s">
        <v>506</v>
      </c>
      <c r="AE375" s="46" t="s">
        <v>869</v>
      </c>
    </row>
    <row r="376" spans="1:31" ht="15" thickBot="1">
      <c r="A376" s="34">
        <v>374</v>
      </c>
      <c r="B376" s="34" t="s">
        <v>252</v>
      </c>
      <c r="C376" s="41" t="s">
        <v>1358</v>
      </c>
      <c r="D376" s="34" t="s">
        <v>472</v>
      </c>
      <c r="E376" s="80">
        <f t="shared" si="35"/>
        <v>1.8212994883369249</v>
      </c>
      <c r="F376" s="35">
        <f t="shared" si="36"/>
        <v>42.725769827675379</v>
      </c>
      <c r="G376" s="42" cm="1">
        <f t="array" ref="G37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42.474123086643999</v>
      </c>
      <c r="H376" s="81" cm="1">
        <f t="array" ref="H3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1.8155693632527334</v>
      </c>
      <c r="I376" s="81" cm="1">
        <f t="array" ref="I3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1.8212994883369249</v>
      </c>
      <c r="J376" s="81" cm="1">
        <f t="array" ref="J3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1.8258689324976909</v>
      </c>
      <c r="K376" s="81" cm="1">
        <f t="array" ref="K3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1.8347919423109798</v>
      </c>
      <c r="L376" s="81" cm="1">
        <f t="array" ref="L3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1.8456506047580328</v>
      </c>
      <c r="M376" s="37">
        <f t="shared" si="37"/>
        <v>1.9222579058246314E-2</v>
      </c>
      <c r="N376" s="43">
        <f t="shared" si="38"/>
        <v>5.7301250841914619E-3</v>
      </c>
      <c r="O376" s="43">
        <f t="shared" si="39"/>
        <v>1.0858662447053025E-2</v>
      </c>
      <c r="P376" s="43">
        <f t="shared" si="40"/>
        <v>0.29809345909456875</v>
      </c>
      <c r="Q376" s="37">
        <f t="shared" si="41"/>
        <v>0.56489102810555258</v>
      </c>
      <c r="R376" s="37">
        <v>-6.6E-3</v>
      </c>
      <c r="S376" s="44" t="s">
        <v>1394</v>
      </c>
      <c r="T376" s="45">
        <v>3.2288052</v>
      </c>
      <c r="U376" s="45">
        <v>-1.4433046000000001E-2</v>
      </c>
      <c r="V376" s="45">
        <v>2.9863488000000001E-2</v>
      </c>
      <c r="W376" s="45">
        <v>8.2119281999999997E-4</v>
      </c>
      <c r="X376" s="45">
        <v>-1.0943491999999999E-5</v>
      </c>
      <c r="Y376" s="45">
        <v>2.5804939E-6</v>
      </c>
      <c r="Z376" s="36">
        <v>5.01</v>
      </c>
      <c r="AA376" s="38">
        <v>600</v>
      </c>
      <c r="AB376" s="38">
        <v>681</v>
      </c>
      <c r="AC376" s="39" t="s">
        <v>508</v>
      </c>
      <c r="AD376" s="49" t="s">
        <v>506</v>
      </c>
      <c r="AE376" s="46" t="s">
        <v>869</v>
      </c>
    </row>
    <row r="377" spans="1:31" ht="15" thickBot="1">
      <c r="A377" s="34">
        <v>375</v>
      </c>
      <c r="B377" s="34" t="s">
        <v>252</v>
      </c>
      <c r="C377" s="41" t="s">
        <v>1358</v>
      </c>
      <c r="D377" s="34" t="s">
        <v>473</v>
      </c>
      <c r="E377" s="80">
        <f t="shared" si="35"/>
        <v>1.8513481224651451</v>
      </c>
      <c r="F377" s="35">
        <f t="shared" si="36"/>
        <v>40.104972806210633</v>
      </c>
      <c r="G377" s="42" cm="1">
        <f t="array" ref="G37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39.855253182444095</v>
      </c>
      <c r="H377" s="81" cm="1">
        <f t="array" ref="H3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1.8450514707548049</v>
      </c>
      <c r="I377" s="81" cm="1">
        <f t="array" ref="I3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1.8513481224651451</v>
      </c>
      <c r="J377" s="81" cm="1">
        <f t="array" ref="J3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1.8563914656152691</v>
      </c>
      <c r="K377" s="81" cm="1">
        <f t="array" ref="K3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1.8662794647638996</v>
      </c>
      <c r="L377" s="81" cm="1">
        <f t="array" ref="L3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1.8783700414584141</v>
      </c>
      <c r="M377" s="37">
        <f t="shared" si="37"/>
        <v>2.1227994009094697E-2</v>
      </c>
      <c r="N377" s="43">
        <f t="shared" si="38"/>
        <v>6.2966517103402175E-3</v>
      </c>
      <c r="O377" s="43">
        <f t="shared" si="39"/>
        <v>1.2090576694514521E-2</v>
      </c>
      <c r="P377" s="43">
        <f t="shared" si="40"/>
        <v>0.29662019443017301</v>
      </c>
      <c r="Q377" s="37">
        <f t="shared" si="41"/>
        <v>0.56955813579627745</v>
      </c>
      <c r="R377" s="37">
        <v>-6.7000000000000002E-3</v>
      </c>
      <c r="S377" s="44" t="s">
        <v>1394</v>
      </c>
      <c r="T377" s="45">
        <v>3.3271839999999999</v>
      </c>
      <c r="U377" s="45">
        <v>-1.343242E-2</v>
      </c>
      <c r="V377" s="45">
        <v>3.3397999999999997E-2</v>
      </c>
      <c r="W377" s="45">
        <v>1.0060469999999999E-3</v>
      </c>
      <c r="X377" s="45">
        <v>-2.136908E-5</v>
      </c>
      <c r="Y377" s="45">
        <v>3.9725609999999999E-6</v>
      </c>
      <c r="Z377" s="36">
        <v>5.25</v>
      </c>
      <c r="AA377" s="38">
        <v>612</v>
      </c>
      <c r="AB377" s="38">
        <v>693</v>
      </c>
      <c r="AC377" s="39" t="s">
        <v>508</v>
      </c>
      <c r="AD377" s="39" t="s">
        <v>1371</v>
      </c>
      <c r="AE377" s="46"/>
    </row>
    <row r="378" spans="1:31" ht="15" thickBot="1">
      <c r="A378" s="34">
        <v>376</v>
      </c>
      <c r="B378" s="34" t="s">
        <v>252</v>
      </c>
      <c r="C378" s="41" t="s">
        <v>1358</v>
      </c>
      <c r="D378" s="34" t="s">
        <v>474</v>
      </c>
      <c r="E378" s="80">
        <f t="shared" si="35"/>
        <v>1.8513481224651451</v>
      </c>
      <c r="F378" s="35">
        <f t="shared" si="36"/>
        <v>40.104972806210633</v>
      </c>
      <c r="G378" s="42" cm="1">
        <f t="array" ref="G37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39.855253182444095</v>
      </c>
      <c r="H378" s="81" cm="1">
        <f t="array" ref="H3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1.8450514707548049</v>
      </c>
      <c r="I378" s="81" cm="1">
        <f t="array" ref="I3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1.8513481224651451</v>
      </c>
      <c r="J378" s="81" cm="1">
        <f t="array" ref="J3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1.8563914656152691</v>
      </c>
      <c r="K378" s="81" cm="1">
        <f t="array" ref="K3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1.8662794647638996</v>
      </c>
      <c r="L378" s="81" cm="1">
        <f t="array" ref="L3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1.8783700414584141</v>
      </c>
      <c r="M378" s="37">
        <f t="shared" si="37"/>
        <v>2.1227994009094697E-2</v>
      </c>
      <c r="N378" s="43">
        <f t="shared" si="38"/>
        <v>6.2966517103402175E-3</v>
      </c>
      <c r="O378" s="43">
        <f t="shared" si="39"/>
        <v>1.2090576694514521E-2</v>
      </c>
      <c r="P378" s="43">
        <f t="shared" si="40"/>
        <v>0.29662019443017301</v>
      </c>
      <c r="Q378" s="37">
        <f t="shared" si="41"/>
        <v>0.56955813579627745</v>
      </c>
      <c r="R378" s="37">
        <v>-6.7000000000000002E-3</v>
      </c>
      <c r="S378" s="44" t="s">
        <v>1394</v>
      </c>
      <c r="T378" s="45">
        <v>3.3271839999999999</v>
      </c>
      <c r="U378" s="45">
        <v>-1.343242E-2</v>
      </c>
      <c r="V378" s="45">
        <v>3.3397999999999997E-2</v>
      </c>
      <c r="W378" s="45">
        <v>1.0060469999999999E-3</v>
      </c>
      <c r="X378" s="45">
        <v>-2.136908E-5</v>
      </c>
      <c r="Y378" s="45">
        <v>3.9725609999999999E-6</v>
      </c>
      <c r="Z378" s="36">
        <v>5.25</v>
      </c>
      <c r="AA378" s="38">
        <v>612</v>
      </c>
      <c r="AB378" s="38">
        <v>693</v>
      </c>
      <c r="AC378" s="39" t="s">
        <v>508</v>
      </c>
      <c r="AD378" s="39" t="s">
        <v>1371</v>
      </c>
      <c r="AE378" s="46" t="s">
        <v>869</v>
      </c>
    </row>
    <row r="379" spans="1:31" ht="15" thickBot="1">
      <c r="A379" s="34">
        <v>377</v>
      </c>
      <c r="B379" s="34" t="s">
        <v>252</v>
      </c>
      <c r="C379" s="41" t="s">
        <v>1358</v>
      </c>
      <c r="D379" s="34" t="s">
        <v>475</v>
      </c>
      <c r="E379" s="80">
        <f t="shared" si="35"/>
        <v>1.8513481224651451</v>
      </c>
      <c r="F379" s="35">
        <f t="shared" si="36"/>
        <v>40.104972806210633</v>
      </c>
      <c r="G379" s="42" cm="1">
        <f t="array" ref="G37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39.855253182444095</v>
      </c>
      <c r="H379" s="81" cm="1">
        <f t="array" ref="H3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1.8450514707548049</v>
      </c>
      <c r="I379" s="81" cm="1">
        <f t="array" ref="I3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1.8513481224651451</v>
      </c>
      <c r="J379" s="81" cm="1">
        <f t="array" ref="J3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1.8563914656152691</v>
      </c>
      <c r="K379" s="81" cm="1">
        <f t="array" ref="K3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1.8662794647638996</v>
      </c>
      <c r="L379" s="81" cm="1">
        <f t="array" ref="L3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1.8783700414584141</v>
      </c>
      <c r="M379" s="37">
        <f t="shared" si="37"/>
        <v>2.1227994009094697E-2</v>
      </c>
      <c r="N379" s="43">
        <f t="shared" si="38"/>
        <v>6.2966517103402175E-3</v>
      </c>
      <c r="O379" s="43">
        <f t="shared" si="39"/>
        <v>1.2090576694514521E-2</v>
      </c>
      <c r="P379" s="43">
        <f t="shared" si="40"/>
        <v>0.29662019443017301</v>
      </c>
      <c r="Q379" s="37">
        <f t="shared" si="41"/>
        <v>0.56955813579627745</v>
      </c>
      <c r="R379" s="37">
        <v>-6.7000000000000002E-3</v>
      </c>
      <c r="S379" s="44" t="s">
        <v>1394</v>
      </c>
      <c r="T379" s="45">
        <v>3.3271839999999999</v>
      </c>
      <c r="U379" s="45">
        <v>-1.343242E-2</v>
      </c>
      <c r="V379" s="45">
        <v>3.3397999999999997E-2</v>
      </c>
      <c r="W379" s="45">
        <v>1.0060469999999999E-3</v>
      </c>
      <c r="X379" s="45">
        <v>-2.136908E-5</v>
      </c>
      <c r="Y379" s="45">
        <v>3.9725609999999999E-6</v>
      </c>
      <c r="Z379" s="36">
        <v>5.25</v>
      </c>
      <c r="AA379" s="38">
        <v>612</v>
      </c>
      <c r="AB379" s="38">
        <v>693</v>
      </c>
      <c r="AC379" s="39" t="s">
        <v>508</v>
      </c>
      <c r="AD379" s="39" t="s">
        <v>1371</v>
      </c>
      <c r="AE379" s="46" t="s">
        <v>869</v>
      </c>
    </row>
    <row r="380" spans="1:31" ht="15" thickBot="1">
      <c r="A380" s="34">
        <v>378</v>
      </c>
      <c r="B380" s="34" t="s">
        <v>252</v>
      </c>
      <c r="C380" s="41" t="s">
        <v>1358</v>
      </c>
      <c r="D380" s="34" t="s">
        <v>1127</v>
      </c>
      <c r="E380" s="80">
        <f t="shared" si="35"/>
        <v>1.8513576789673354</v>
      </c>
      <c r="F380" s="35">
        <f t="shared" si="36"/>
        <v>40.069494253248585</v>
      </c>
      <c r="G380" s="42" cm="1">
        <f t="array" ref="G38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39.824661406626035</v>
      </c>
      <c r="H380" s="81" cm="1">
        <f t="array" ref="H3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1.8450501855305672</v>
      </c>
      <c r="I380" s="81" cm="1">
        <f t="array" ref="I3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1.8513576789673354</v>
      </c>
      <c r="J380" s="81" cm="1">
        <f t="array" ref="J3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1.8564059108012889</v>
      </c>
      <c r="K380" s="81" cm="1">
        <f t="array" ref="K3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1.866297213845588</v>
      </c>
      <c r="L380" s="81" cm="1">
        <f t="array" ref="L3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1.8783826748242622</v>
      </c>
      <c r="M380" s="37">
        <f t="shared" si="37"/>
        <v>2.1247028315020788E-2</v>
      </c>
      <c r="N380" s="43">
        <f t="shared" si="38"/>
        <v>6.3074934367681745E-3</v>
      </c>
      <c r="O380" s="43">
        <f t="shared" si="39"/>
        <v>1.2085460978674245E-2</v>
      </c>
      <c r="P380" s="43">
        <f t="shared" si="40"/>
        <v>0.29686473530555008</v>
      </c>
      <c r="Q380" s="37">
        <f t="shared" si="41"/>
        <v>0.5688071197293183</v>
      </c>
      <c r="R380" s="37">
        <v>-7.4000000000000003E-3</v>
      </c>
      <c r="S380" s="44" t="s">
        <v>1394</v>
      </c>
      <c r="T380" s="45">
        <v>3.3260687</v>
      </c>
      <c r="U380" s="45">
        <v>-1.3098860000000002E-2</v>
      </c>
      <c r="V380" s="45">
        <v>3.4217904E-2</v>
      </c>
      <c r="W380" s="45">
        <v>7.6102760000000005E-4</v>
      </c>
      <c r="X380" s="45">
        <v>1.4203244E-5</v>
      </c>
      <c r="Y380" s="45">
        <v>1.8681027999999999E-6</v>
      </c>
      <c r="Z380" s="36">
        <v>5.13</v>
      </c>
      <c r="AA380" s="38">
        <v>571</v>
      </c>
      <c r="AB380" s="38">
        <v>662</v>
      </c>
      <c r="AC380" s="39" t="s">
        <v>508</v>
      </c>
      <c r="AD380" s="39" t="s">
        <v>1371</v>
      </c>
      <c r="AE380" s="46"/>
    </row>
    <row r="381" spans="1:31" ht="15" thickBot="1">
      <c r="A381" s="34">
        <v>379</v>
      </c>
      <c r="B381" s="34" t="s">
        <v>252</v>
      </c>
      <c r="C381" s="41" t="s">
        <v>1358</v>
      </c>
      <c r="D381" s="34" t="s">
        <v>1128</v>
      </c>
      <c r="E381" s="80">
        <f t="shared" si="35"/>
        <v>1.8513576789673354</v>
      </c>
      <c r="F381" s="35">
        <f t="shared" si="36"/>
        <v>40.069494253248585</v>
      </c>
      <c r="G381" s="42" cm="1">
        <f t="array" ref="G38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39.824661406626035</v>
      </c>
      <c r="H381" s="81" cm="1">
        <f t="array" ref="H3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1.8450501855305672</v>
      </c>
      <c r="I381" s="81" cm="1">
        <f t="array" ref="I3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1.8513576789673354</v>
      </c>
      <c r="J381" s="81" cm="1">
        <f t="array" ref="J3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1.8564059108012889</v>
      </c>
      <c r="K381" s="81" cm="1">
        <f t="array" ref="K3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1.866297213845588</v>
      </c>
      <c r="L381" s="81" cm="1">
        <f t="array" ref="L3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1.8783826748242622</v>
      </c>
      <c r="M381" s="37">
        <f t="shared" si="37"/>
        <v>2.1247028315020788E-2</v>
      </c>
      <c r="N381" s="43">
        <f t="shared" si="38"/>
        <v>6.3074934367681745E-3</v>
      </c>
      <c r="O381" s="43">
        <f t="shared" si="39"/>
        <v>1.2085460978674245E-2</v>
      </c>
      <c r="P381" s="43">
        <f t="shared" si="40"/>
        <v>0.29686473530555008</v>
      </c>
      <c r="Q381" s="37">
        <f t="shared" si="41"/>
        <v>0.5688071197293183</v>
      </c>
      <c r="R381" s="37">
        <v>-7.4000000000000003E-3</v>
      </c>
      <c r="S381" s="44" t="s">
        <v>1394</v>
      </c>
      <c r="T381" s="45">
        <v>3.3260687</v>
      </c>
      <c r="U381" s="45">
        <v>-1.3098860000000002E-2</v>
      </c>
      <c r="V381" s="45">
        <v>3.4217904E-2</v>
      </c>
      <c r="W381" s="45">
        <v>7.6102760000000005E-4</v>
      </c>
      <c r="X381" s="45">
        <v>1.4203244E-5</v>
      </c>
      <c r="Y381" s="45">
        <v>1.8681027999999999E-6</v>
      </c>
      <c r="Z381" s="36">
        <v>5.13</v>
      </c>
      <c r="AA381" s="38">
        <v>571</v>
      </c>
      <c r="AB381" s="38">
        <v>662</v>
      </c>
      <c r="AC381" s="39" t="s">
        <v>508</v>
      </c>
      <c r="AD381" s="39" t="s">
        <v>1371</v>
      </c>
      <c r="AE381" s="46" t="s">
        <v>869</v>
      </c>
    </row>
    <row r="382" spans="1:31" ht="15" thickBot="1">
      <c r="A382" s="34">
        <v>380</v>
      </c>
      <c r="B382" s="34" t="s">
        <v>252</v>
      </c>
      <c r="C382" s="41" t="s">
        <v>1358</v>
      </c>
      <c r="D382" s="34" t="s">
        <v>476</v>
      </c>
      <c r="E382" s="80">
        <f t="shared" si="35"/>
        <v>1.882022777740886</v>
      </c>
      <c r="F382" s="35">
        <f t="shared" si="36"/>
        <v>37.221754899789175</v>
      </c>
      <c r="G382" s="42" cm="1">
        <f t="array" ref="G38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36.973953088061556</v>
      </c>
      <c r="H382" s="81" cm="1">
        <f t="array" ref="H3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1.8750351350993821</v>
      </c>
      <c r="I382" s="81" cm="1">
        <f t="array" ref="I3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1.882022777740886</v>
      </c>
      <c r="J382" s="81" cm="1">
        <f t="array" ref="J3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1.8876450706456394</v>
      </c>
      <c r="K382" s="81" cm="1">
        <f t="array" ref="K3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1.8987315669338167</v>
      </c>
      <c r="L382" s="81" cm="1">
        <f t="array" ref="L3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1.9124044673913583</v>
      </c>
      <c r="M382" s="37">
        <f t="shared" si="37"/>
        <v>2.3696431834434595E-2</v>
      </c>
      <c r="N382" s="43">
        <f t="shared" si="38"/>
        <v>6.9876426415038662E-3</v>
      </c>
      <c r="O382" s="43">
        <f t="shared" si="39"/>
        <v>1.3672900457541548E-2</v>
      </c>
      <c r="P382" s="43">
        <f t="shared" si="40"/>
        <v>0.29488163831272424</v>
      </c>
      <c r="Q382" s="37">
        <f t="shared" si="41"/>
        <v>0.57700250202533454</v>
      </c>
      <c r="R382" s="37">
        <v>-4.4000000000000003E-3</v>
      </c>
      <c r="S382" s="44" t="s">
        <v>1394</v>
      </c>
      <c r="T382" s="45">
        <v>3.4286061999999999</v>
      </c>
      <c r="U382" s="45">
        <v>-1.3845333E-2</v>
      </c>
      <c r="V382" s="45">
        <v>3.7363008999999996E-2</v>
      </c>
      <c r="W382" s="45">
        <v>1.1894554E-3</v>
      </c>
      <c r="X382" s="45">
        <v>-1.5979979000000002E-5</v>
      </c>
      <c r="Y382" s="45">
        <v>5.1827397999999999E-6</v>
      </c>
      <c r="Z382" s="36">
        <v>5.49</v>
      </c>
      <c r="AA382" s="38">
        <v>604</v>
      </c>
      <c r="AB382" s="38">
        <v>678</v>
      </c>
      <c r="AC382" s="39" t="s">
        <v>508</v>
      </c>
      <c r="AD382" s="49" t="s">
        <v>506</v>
      </c>
      <c r="AE382" s="46"/>
    </row>
    <row r="383" spans="1:31" ht="15" thickBot="1">
      <c r="A383" s="34">
        <v>381</v>
      </c>
      <c r="B383" s="34" t="s">
        <v>252</v>
      </c>
      <c r="C383" s="41" t="s">
        <v>1358</v>
      </c>
      <c r="D383" s="34" t="s">
        <v>477</v>
      </c>
      <c r="E383" s="80">
        <f t="shared" si="35"/>
        <v>1.882022777740886</v>
      </c>
      <c r="F383" s="35">
        <f t="shared" si="36"/>
        <v>37.221754899789175</v>
      </c>
      <c r="G383" s="42" cm="1">
        <f t="array" ref="G38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36.973953088061556</v>
      </c>
      <c r="H383" s="81" cm="1">
        <f t="array" ref="H3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1.8750351350993821</v>
      </c>
      <c r="I383" s="81" cm="1">
        <f t="array" ref="I3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1.882022777740886</v>
      </c>
      <c r="J383" s="81" cm="1">
        <f t="array" ref="J3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1.8876450706456394</v>
      </c>
      <c r="K383" s="81" cm="1">
        <f t="array" ref="K3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1.8987315669338167</v>
      </c>
      <c r="L383" s="81" cm="1">
        <f t="array" ref="L3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1.9124044673913583</v>
      </c>
      <c r="M383" s="37">
        <f t="shared" si="37"/>
        <v>2.3696431834434595E-2</v>
      </c>
      <c r="N383" s="43">
        <f t="shared" si="38"/>
        <v>6.9876426415038662E-3</v>
      </c>
      <c r="O383" s="43">
        <f t="shared" si="39"/>
        <v>1.3672900457541548E-2</v>
      </c>
      <c r="P383" s="43">
        <f t="shared" si="40"/>
        <v>0.29488163831272424</v>
      </c>
      <c r="Q383" s="37">
        <f t="shared" si="41"/>
        <v>0.57700250202533454</v>
      </c>
      <c r="R383" s="37">
        <v>-4.4000000000000003E-3</v>
      </c>
      <c r="S383" s="44" t="s">
        <v>1394</v>
      </c>
      <c r="T383" s="45">
        <v>3.4286061999999999</v>
      </c>
      <c r="U383" s="45">
        <v>-1.3845333E-2</v>
      </c>
      <c r="V383" s="45">
        <v>3.7363008999999996E-2</v>
      </c>
      <c r="W383" s="45">
        <v>1.1894554E-3</v>
      </c>
      <c r="X383" s="45">
        <v>-1.5979979000000002E-5</v>
      </c>
      <c r="Y383" s="45">
        <v>5.1827397999999999E-6</v>
      </c>
      <c r="Z383" s="36">
        <v>5.49</v>
      </c>
      <c r="AA383" s="38">
        <v>604</v>
      </c>
      <c r="AB383" s="38">
        <v>678</v>
      </c>
      <c r="AC383" s="39" t="s">
        <v>508</v>
      </c>
      <c r="AD383" s="49" t="s">
        <v>506</v>
      </c>
      <c r="AE383" s="46" t="s">
        <v>869</v>
      </c>
    </row>
    <row r="384" spans="1:31" ht="15" thickBot="1">
      <c r="A384" s="34">
        <v>382</v>
      </c>
      <c r="B384" s="34" t="s">
        <v>252</v>
      </c>
      <c r="C384" s="41" t="s">
        <v>1358</v>
      </c>
      <c r="D384" s="34" t="s">
        <v>478</v>
      </c>
      <c r="E384" s="80">
        <f t="shared" si="35"/>
        <v>1.882022777740886</v>
      </c>
      <c r="F384" s="35">
        <f t="shared" si="36"/>
        <v>37.221754899789175</v>
      </c>
      <c r="G384" s="42" cm="1">
        <f t="array" ref="G38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36.973953088061556</v>
      </c>
      <c r="H384" s="81" cm="1">
        <f t="array" ref="H3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1.8750351350993821</v>
      </c>
      <c r="I384" s="81" cm="1">
        <f t="array" ref="I3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1.882022777740886</v>
      </c>
      <c r="J384" s="81" cm="1">
        <f t="array" ref="J3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1.8876450706456394</v>
      </c>
      <c r="K384" s="81" cm="1">
        <f t="array" ref="K3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1.8987315669338167</v>
      </c>
      <c r="L384" s="81" cm="1">
        <f t="array" ref="L3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1.9124044673913583</v>
      </c>
      <c r="M384" s="37">
        <f t="shared" si="37"/>
        <v>2.3696431834434595E-2</v>
      </c>
      <c r="N384" s="43">
        <f t="shared" si="38"/>
        <v>6.9876426415038662E-3</v>
      </c>
      <c r="O384" s="43">
        <f t="shared" si="39"/>
        <v>1.3672900457541548E-2</v>
      </c>
      <c r="P384" s="43">
        <f t="shared" si="40"/>
        <v>0.29488163831272424</v>
      </c>
      <c r="Q384" s="37">
        <f t="shared" si="41"/>
        <v>0.57700250202533454</v>
      </c>
      <c r="R384" s="37">
        <v>-4.4000000000000003E-3</v>
      </c>
      <c r="S384" s="44" t="s">
        <v>1394</v>
      </c>
      <c r="T384" s="45">
        <v>3.4286061999999999</v>
      </c>
      <c r="U384" s="45">
        <v>-1.3845333E-2</v>
      </c>
      <c r="V384" s="45">
        <v>3.7363008999999996E-2</v>
      </c>
      <c r="W384" s="45">
        <v>1.1894554E-3</v>
      </c>
      <c r="X384" s="45">
        <v>-1.5979979000000002E-5</v>
      </c>
      <c r="Y384" s="45">
        <v>5.1827397999999999E-6</v>
      </c>
      <c r="Z384" s="36">
        <v>5.49</v>
      </c>
      <c r="AA384" s="38">
        <v>604</v>
      </c>
      <c r="AB384" s="38">
        <v>678</v>
      </c>
      <c r="AC384" s="39" t="s">
        <v>508</v>
      </c>
      <c r="AD384" s="39" t="s">
        <v>1371</v>
      </c>
      <c r="AE384" s="46" t="s">
        <v>869</v>
      </c>
    </row>
    <row r="385" spans="1:31" ht="15" thickBot="1">
      <c r="A385" s="34">
        <v>383</v>
      </c>
      <c r="B385" s="34" t="s">
        <v>252</v>
      </c>
      <c r="C385" s="41" t="s">
        <v>1358</v>
      </c>
      <c r="D385" s="34" t="s">
        <v>1129</v>
      </c>
      <c r="E385" s="80">
        <f t="shared" si="35"/>
        <v>1.8811999126270393</v>
      </c>
      <c r="F385" s="35">
        <f t="shared" si="36"/>
        <v>37.169712862015722</v>
      </c>
      <c r="G385" s="42" cm="1">
        <f t="array" ref="G38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36.922781277096426</v>
      </c>
      <c r="H385" s="81" cm="1">
        <f t="array" ref="H3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1.8742089486073741</v>
      </c>
      <c r="I385" s="81" cm="1">
        <f t="array" ref="I3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1.8811999126270393</v>
      </c>
      <c r="J385" s="81" cm="1">
        <f t="array" ref="J3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1.8868252474478944</v>
      </c>
      <c r="K385" s="81" cm="1">
        <f t="array" ref="K3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1.8979164202227266</v>
      </c>
      <c r="L385" s="81" cm="1">
        <f t="array" ref="L3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1.9115914224069133</v>
      </c>
      <c r="M385" s="37">
        <f t="shared" si="37"/>
        <v>2.3707471615352471E-2</v>
      </c>
      <c r="N385" s="43">
        <f t="shared" si="38"/>
        <v>6.9909640196652578E-3</v>
      </c>
      <c r="O385" s="43">
        <f t="shared" si="39"/>
        <v>1.3675002184186713E-2</v>
      </c>
      <c r="P385" s="43">
        <f t="shared" si="40"/>
        <v>0.29488442011412358</v>
      </c>
      <c r="Q385" s="37">
        <f t="shared" si="41"/>
        <v>0.57682246365449885</v>
      </c>
      <c r="R385" s="37">
        <v>-4.7000000000000002E-3</v>
      </c>
      <c r="S385" s="44" t="s">
        <v>1394</v>
      </c>
      <c r="T385" s="45">
        <v>3.4245277999999999</v>
      </c>
      <c r="U385" s="45">
        <v>-1.3070182E-2</v>
      </c>
      <c r="V385" s="45">
        <v>3.7836321999999999E-2</v>
      </c>
      <c r="W385" s="45">
        <v>1.0784822999999999E-3</v>
      </c>
      <c r="X385" s="45">
        <v>-2.6774385999999998E-6</v>
      </c>
      <c r="Y385" s="45">
        <v>4.4862659999999992E-6</v>
      </c>
      <c r="Z385" s="36">
        <v>5.34</v>
      </c>
      <c r="AA385" s="38">
        <v>583</v>
      </c>
      <c r="AB385" s="38">
        <v>671</v>
      </c>
      <c r="AC385" s="39" t="s">
        <v>508</v>
      </c>
      <c r="AD385" s="39" t="s">
        <v>1371</v>
      </c>
      <c r="AE385" s="46" t="s">
        <v>869</v>
      </c>
    </row>
    <row r="386" spans="1:31" ht="15" thickBot="1">
      <c r="A386" s="34">
        <v>384</v>
      </c>
      <c r="B386" s="34" t="s">
        <v>252</v>
      </c>
      <c r="C386" s="41" t="s">
        <v>1358</v>
      </c>
      <c r="D386" s="34" t="s">
        <v>481</v>
      </c>
      <c r="E386" s="80">
        <f t="shared" si="35"/>
        <v>1.7130012059374859</v>
      </c>
      <c r="F386" s="35">
        <f t="shared" si="36"/>
        <v>53.938907784907471</v>
      </c>
      <c r="G386" s="42" cm="1">
        <f t="array" ref="G38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53.704496612734197</v>
      </c>
      <c r="H386" s="81" cm="1">
        <f t="array" ref="H3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1.708988724449743</v>
      </c>
      <c r="I386" s="81" cm="1">
        <f t="array" ref="I3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1.7130012059374859</v>
      </c>
      <c r="J386" s="81" cm="1">
        <f t="array" ref="J3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1.7161533261974011</v>
      </c>
      <c r="K386" s="81" cm="1">
        <f t="array" ref="K3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1.7222074052725125</v>
      </c>
      <c r="L386" s="81" cm="1">
        <f t="array" ref="L3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1.7294081948498037</v>
      </c>
      <c r="M386" s="37">
        <f t="shared" si="37"/>
        <v>1.3218680822769446E-2</v>
      </c>
      <c r="N386" s="43">
        <f t="shared" si="38"/>
        <v>4.0124814877429138E-3</v>
      </c>
      <c r="O386" s="43">
        <f t="shared" si="39"/>
        <v>7.2007895772912001E-3</v>
      </c>
      <c r="P386" s="43">
        <f t="shared" si="40"/>
        <v>0.30354628737470785</v>
      </c>
      <c r="Q386" s="37">
        <f t="shared" si="41"/>
        <v>0.54474343346634813</v>
      </c>
      <c r="R386" s="37">
        <v>-6.6E-3</v>
      </c>
      <c r="S386" s="44" t="s">
        <v>1394</v>
      </c>
      <c r="T386" s="45">
        <v>2.8817480999999998</v>
      </c>
      <c r="U386" s="45">
        <v>-1.5730804000000001E-2</v>
      </c>
      <c r="V386" s="45">
        <v>1.7690493000000002E-2</v>
      </c>
      <c r="W386" s="45">
        <v>1.052669E-3</v>
      </c>
      <c r="X386" s="45">
        <v>-9.909308E-5</v>
      </c>
      <c r="Y386" s="45">
        <v>5.5248377999999999E-6</v>
      </c>
      <c r="Z386" s="36">
        <v>3.9</v>
      </c>
      <c r="AA386" s="38">
        <v>582</v>
      </c>
      <c r="AB386" s="38">
        <v>661</v>
      </c>
      <c r="AC386" s="39" t="s">
        <v>508</v>
      </c>
      <c r="AD386" s="49" t="s">
        <v>506</v>
      </c>
      <c r="AE386" s="46"/>
    </row>
    <row r="387" spans="1:31" ht="15" thickBot="1">
      <c r="A387" s="34">
        <v>385</v>
      </c>
      <c r="B387" s="34" t="s">
        <v>252</v>
      </c>
      <c r="C387" s="41" t="s">
        <v>1358</v>
      </c>
      <c r="D387" s="34" t="s">
        <v>482</v>
      </c>
      <c r="E387" s="80">
        <f t="shared" ref="E387:E450" si="42">I387</f>
        <v>1.7133012325951356</v>
      </c>
      <c r="F387" s="35">
        <f t="shared" ref="F387:F450" si="43">(I387-1)/M387</f>
        <v>53.95103441327926</v>
      </c>
      <c r="G387" s="42" cm="1">
        <f t="array" ref="G38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53.716468284420017</v>
      </c>
      <c r="H387" s="81" cm="1">
        <f t="array" ref="H3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1.7092879625302937</v>
      </c>
      <c r="I387" s="81" cm="1">
        <f t="array" ref="I3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1.7133012325951356</v>
      </c>
      <c r="J387" s="81" cm="1">
        <f t="array" ref="J3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1.7164539374978738</v>
      </c>
      <c r="K387" s="81" cm="1">
        <f t="array" ref="K3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1.7225092332687018</v>
      </c>
      <c r="L387" s="81" cm="1">
        <f t="array" ref="L3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1.7297117925040206</v>
      </c>
      <c r="M387" s="37">
        <f t="shared" ref="M387:M450" si="44">K387-H387</f>
        <v>1.3221270738408064E-2</v>
      </c>
      <c r="N387" s="43">
        <f t="shared" ref="N387:N450" si="45">I387-H387</f>
        <v>4.0132700648418673E-3</v>
      </c>
      <c r="O387" s="43">
        <f t="shared" ref="O387:O450" si="46">L387-K387</f>
        <v>7.2025592353188728E-3</v>
      </c>
      <c r="P387" s="43">
        <f t="shared" ref="P387:P450" si="47">(I387-H387)/M387</f>
        <v>0.30354647024837295</v>
      </c>
      <c r="Q387" s="37">
        <f t="shared" ref="Q387:Q450" si="48">(L387-K387)/M387</f>
        <v>0.54477057295221176</v>
      </c>
      <c r="R387" s="37">
        <v>-6.4000000000000003E-3</v>
      </c>
      <c r="S387" s="44" t="s">
        <v>1394</v>
      </c>
      <c r="T387" s="45">
        <v>2.8827498</v>
      </c>
      <c r="U387" s="45">
        <v>-1.5740788999999998E-2</v>
      </c>
      <c r="V387" s="45">
        <v>1.7707976E-2</v>
      </c>
      <c r="W387" s="45">
        <v>1.0483265E-3</v>
      </c>
      <c r="X387" s="45">
        <v>-9.8332811000000019E-5</v>
      </c>
      <c r="Y387" s="45">
        <v>5.4828685000000001E-6</v>
      </c>
      <c r="Z387" s="36">
        <v>3.9</v>
      </c>
      <c r="AA387" s="38">
        <v>582</v>
      </c>
      <c r="AB387" s="38">
        <v>661</v>
      </c>
      <c r="AC387" s="39" t="s">
        <v>508</v>
      </c>
      <c r="AD387" s="49" t="s">
        <v>506</v>
      </c>
      <c r="AE387" s="46" t="s">
        <v>869</v>
      </c>
    </row>
    <row r="388" spans="1:31" ht="15" thickBot="1">
      <c r="A388" s="34">
        <v>386</v>
      </c>
      <c r="B388" s="34" t="s">
        <v>252</v>
      </c>
      <c r="C388" s="41" t="s">
        <v>1358</v>
      </c>
      <c r="D388" s="34" t="s">
        <v>439</v>
      </c>
      <c r="E388" s="80">
        <f t="shared" si="42"/>
        <v>1.7550142050733963</v>
      </c>
      <c r="F388" s="35">
        <f t="shared" si="43"/>
        <v>51.158119271489745</v>
      </c>
      <c r="G388" s="42" cm="1">
        <f t="array" ref="G38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50.919714127091233</v>
      </c>
      <c r="H388" s="81" cm="1">
        <f t="array" ref="H3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1.7505510790788503</v>
      </c>
      <c r="I388" s="81" cm="1">
        <f t="array" ref="I3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1.7550142050733963</v>
      </c>
      <c r="J388" s="81" cm="1">
        <f t="array" ref="J3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1.7585315045598917</v>
      </c>
      <c r="K388" s="81" cm="1">
        <f t="array" ref="K3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1.7653095224271413</v>
      </c>
      <c r="L388" s="81" cm="1">
        <f t="array" ref="L3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1.7734056463135157</v>
      </c>
      <c r="M388" s="37">
        <f t="shared" si="44"/>
        <v>1.4758443348291017E-2</v>
      </c>
      <c r="N388" s="43">
        <f t="shared" si="45"/>
        <v>4.4631259945460133E-3</v>
      </c>
      <c r="O388" s="43">
        <f t="shared" si="46"/>
        <v>8.0961238863743734E-3</v>
      </c>
      <c r="P388" s="43">
        <f t="shared" si="47"/>
        <v>0.30241170353937291</v>
      </c>
      <c r="Q388" s="37">
        <f t="shared" si="48"/>
        <v>0.54857573358587852</v>
      </c>
      <c r="R388" s="37">
        <v>-7.7999999999999996E-3</v>
      </c>
      <c r="S388" s="44" t="s">
        <v>1394</v>
      </c>
      <c r="T388" s="45">
        <v>3.0178660000000002</v>
      </c>
      <c r="U388" s="45">
        <v>-1.5790934E-2</v>
      </c>
      <c r="V388" s="45">
        <v>2.1144702000000001E-2</v>
      </c>
      <c r="W388" s="45">
        <v>9.3137389000000012E-4</v>
      </c>
      <c r="X388" s="45">
        <v>-6.9379914000000008E-5</v>
      </c>
      <c r="Y388" s="45">
        <v>4.0276199999999999E-6</v>
      </c>
      <c r="Z388" s="36">
        <v>4.41</v>
      </c>
      <c r="AA388" s="38">
        <v>622</v>
      </c>
      <c r="AB388" s="38">
        <v>690</v>
      </c>
      <c r="AC388" s="39" t="s">
        <v>508</v>
      </c>
      <c r="AD388" s="49" t="s">
        <v>506</v>
      </c>
      <c r="AE388" s="46"/>
    </row>
    <row r="389" spans="1:31" ht="15" thickBot="1">
      <c r="A389" s="34">
        <v>387</v>
      </c>
      <c r="B389" s="34" t="s">
        <v>252</v>
      </c>
      <c r="C389" s="41" t="s">
        <v>1358</v>
      </c>
      <c r="D389" s="34" t="s">
        <v>440</v>
      </c>
      <c r="E389" s="80">
        <f t="shared" si="42"/>
        <v>1.7559128510295499</v>
      </c>
      <c r="F389" s="35">
        <f t="shared" si="43"/>
        <v>51.175829192488109</v>
      </c>
      <c r="G389" s="42" cm="1">
        <f t="array" ref="G38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50.938709174682089</v>
      </c>
      <c r="H389" s="81" cm="1">
        <f t="array" ref="H3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1.7514451852820878</v>
      </c>
      <c r="I389" s="81" cm="1">
        <f t="array" ref="I3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1.7559128510295499</v>
      </c>
      <c r="J389" s="81" cm="1">
        <f t="array" ref="J3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1.7594333925647649</v>
      </c>
      <c r="K389" s="81" cm="1">
        <f t="array" ref="K3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1.7662160812882146</v>
      </c>
      <c r="L389" s="81" cm="1">
        <f t="array" ref="L3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1.7743151668494501</v>
      </c>
      <c r="M389" s="37">
        <f t="shared" si="44"/>
        <v>1.4770896006126799E-2</v>
      </c>
      <c r="N389" s="43">
        <f t="shared" si="45"/>
        <v>4.4676657474620463E-3</v>
      </c>
      <c r="O389" s="43">
        <f t="shared" si="46"/>
        <v>8.0990855612355084E-3</v>
      </c>
      <c r="P389" s="43">
        <f t="shared" si="47"/>
        <v>0.30246409869847501</v>
      </c>
      <c r="Q389" s="37">
        <f t="shared" si="48"/>
        <v>0.54831376227116491</v>
      </c>
      <c r="R389" s="37">
        <v>-7.9000000000000008E-3</v>
      </c>
      <c r="S389" s="44" t="s">
        <v>1394</v>
      </c>
      <c r="T389" s="45">
        <v>3.0209214000000002</v>
      </c>
      <c r="U389" s="45">
        <v>-1.5780099999999998E-2</v>
      </c>
      <c r="V389" s="45">
        <v>2.1142530000000003E-2</v>
      </c>
      <c r="W389" s="45">
        <v>9.5556553999999992E-4</v>
      </c>
      <c r="X389" s="45">
        <v>-7.4489819000000005E-5</v>
      </c>
      <c r="Y389" s="45">
        <v>4.3606319999999994E-6</v>
      </c>
      <c r="Z389" s="36">
        <v>4.41</v>
      </c>
      <c r="AA389" s="38">
        <v>622</v>
      </c>
      <c r="AB389" s="38">
        <v>690</v>
      </c>
      <c r="AC389" s="39" t="s">
        <v>508</v>
      </c>
      <c r="AD389" s="49" t="s">
        <v>506</v>
      </c>
      <c r="AE389" s="46" t="s">
        <v>869</v>
      </c>
    </row>
    <row r="390" spans="1:31" ht="15" thickBot="1">
      <c r="A390" s="34">
        <v>388</v>
      </c>
      <c r="B390" s="34" t="s">
        <v>252</v>
      </c>
      <c r="C390" s="41" t="s">
        <v>1357</v>
      </c>
      <c r="D390" s="34" t="s">
        <v>483</v>
      </c>
      <c r="E390" s="80">
        <f t="shared" si="42"/>
        <v>1.922860047005535</v>
      </c>
      <c r="F390" s="35">
        <f t="shared" si="43"/>
        <v>20.881688202861312</v>
      </c>
      <c r="G390" s="42" cm="1">
        <f t="array" ref="G39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20.710898528584888</v>
      </c>
      <c r="H390" s="81" cm="1">
        <f t="array" ref="H3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1.9103624473411542</v>
      </c>
      <c r="I390" s="81" cm="1">
        <f t="array" ref="I3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1.922860047005535</v>
      </c>
      <c r="J390" s="81" cm="1">
        <f t="array" ref="J3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1.9332318485211049</v>
      </c>
      <c r="K390" s="81" cm="1">
        <f t="array" ref="K3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1.9545571521964389</v>
      </c>
      <c r="L390" s="81" cm="1">
        <f t="array" ref="L3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1.9827106518809183</v>
      </c>
      <c r="M390" s="37">
        <f t="shared" si="44"/>
        <v>4.419470485528465E-2</v>
      </c>
      <c r="N390" s="43">
        <f t="shared" si="45"/>
        <v>1.2497599664380799E-2</v>
      </c>
      <c r="O390" s="43">
        <f t="shared" si="46"/>
        <v>2.8153499684479444E-2</v>
      </c>
      <c r="P390" s="43">
        <f t="shared" si="47"/>
        <v>0.28278500117387656</v>
      </c>
      <c r="Q390" s="37">
        <f t="shared" si="48"/>
        <v>0.63703332280796865</v>
      </c>
      <c r="R390" s="37">
        <v>2.63E-2</v>
      </c>
      <c r="S390" s="44" t="s">
        <v>1394</v>
      </c>
      <c r="T390" s="45">
        <v>3.4984223999999999</v>
      </c>
      <c r="U390" s="45">
        <v>-1.6895420000000001E-2</v>
      </c>
      <c r="V390" s="45">
        <v>5.7567078000000001E-2</v>
      </c>
      <c r="W390" s="45">
        <v>5.1693668000000002E-3</v>
      </c>
      <c r="X390" s="45">
        <v>-3.9966310000000001E-4</v>
      </c>
      <c r="Y390" s="45">
        <v>6.2368582000000002E-5</v>
      </c>
      <c r="Z390" s="36">
        <v>4.42</v>
      </c>
      <c r="AA390" s="38">
        <v>468</v>
      </c>
      <c r="AB390" s="38">
        <v>558</v>
      </c>
      <c r="AC390" s="39" t="s">
        <v>508</v>
      </c>
      <c r="AD390" s="49" t="s">
        <v>506</v>
      </c>
      <c r="AE390" s="46"/>
    </row>
    <row r="391" spans="1:31" ht="15" thickBot="1">
      <c r="A391" s="34">
        <v>389</v>
      </c>
      <c r="B391" s="34" t="s">
        <v>252</v>
      </c>
      <c r="C391" s="41" t="s">
        <v>1357</v>
      </c>
      <c r="D391" s="34" t="s">
        <v>484</v>
      </c>
      <c r="E391" s="80">
        <f t="shared" si="42"/>
        <v>1.922860047005535</v>
      </c>
      <c r="F391" s="35">
        <f t="shared" si="43"/>
        <v>20.881688202861312</v>
      </c>
      <c r="G391" s="42" cm="1">
        <f t="array" ref="G39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20.710898528584888</v>
      </c>
      <c r="H391" s="81" cm="1">
        <f t="array" ref="H3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1.9103624473411542</v>
      </c>
      <c r="I391" s="81" cm="1">
        <f t="array" ref="I3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1.922860047005535</v>
      </c>
      <c r="J391" s="81" cm="1">
        <f t="array" ref="J3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1.9332318485211049</v>
      </c>
      <c r="K391" s="81" cm="1">
        <f t="array" ref="K3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1.9545571521964389</v>
      </c>
      <c r="L391" s="81" cm="1">
        <f t="array" ref="L3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1.9827106518809183</v>
      </c>
      <c r="M391" s="37">
        <f t="shared" si="44"/>
        <v>4.419470485528465E-2</v>
      </c>
      <c r="N391" s="43">
        <f t="shared" si="45"/>
        <v>1.2497599664380799E-2</v>
      </c>
      <c r="O391" s="43">
        <f t="shared" si="46"/>
        <v>2.8153499684479444E-2</v>
      </c>
      <c r="P391" s="43">
        <f t="shared" si="47"/>
        <v>0.28278500117387656</v>
      </c>
      <c r="Q391" s="37">
        <f t="shared" si="48"/>
        <v>0.63703332280796865</v>
      </c>
      <c r="R391" s="37">
        <v>2.63E-2</v>
      </c>
      <c r="S391" s="44" t="s">
        <v>1394</v>
      </c>
      <c r="T391" s="45">
        <v>3.4984223999999999</v>
      </c>
      <c r="U391" s="45">
        <v>-1.6895420000000001E-2</v>
      </c>
      <c r="V391" s="45">
        <v>5.7567078000000001E-2</v>
      </c>
      <c r="W391" s="45">
        <v>5.1693668000000002E-3</v>
      </c>
      <c r="X391" s="45">
        <v>-3.9966310000000001E-4</v>
      </c>
      <c r="Y391" s="45">
        <v>6.2368582000000002E-5</v>
      </c>
      <c r="Z391" s="36">
        <v>4.42</v>
      </c>
      <c r="AA391" s="38">
        <v>468</v>
      </c>
      <c r="AB391" s="38">
        <v>558</v>
      </c>
      <c r="AC391" s="39" t="s">
        <v>508</v>
      </c>
      <c r="AD391" s="49" t="s">
        <v>506</v>
      </c>
      <c r="AE391" s="46" t="s">
        <v>869</v>
      </c>
    </row>
    <row r="392" spans="1:31" ht="15" thickBot="1">
      <c r="A392" s="34">
        <v>390</v>
      </c>
      <c r="B392" s="34" t="s">
        <v>252</v>
      </c>
      <c r="C392" s="41" t="s">
        <v>1358</v>
      </c>
      <c r="D392" s="34" t="s">
        <v>485</v>
      </c>
      <c r="E392" s="80">
        <f t="shared" si="42"/>
        <v>1.7307657288436953</v>
      </c>
      <c r="F392" s="35">
        <f t="shared" si="43"/>
        <v>40.501484991865823</v>
      </c>
      <c r="G392" s="42" cm="1">
        <f t="array" ref="G39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40.248486100435343</v>
      </c>
      <c r="H392" s="81" cm="1">
        <f t="array" ref="H3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1.7254088383573694</v>
      </c>
      <c r="I392" s="81" cm="1">
        <f t="array" ref="I3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1.7307657288436953</v>
      </c>
      <c r="J392" s="81" cm="1">
        <f t="array" ref="J3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1.735049196733204</v>
      </c>
      <c r="K392" s="81" cm="1">
        <f t="array" ref="K3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1.7434517750297027</v>
      </c>
      <c r="L392" s="81" cm="1">
        <f t="array" ref="L3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1.7537634800030644</v>
      </c>
      <c r="M392" s="37">
        <f t="shared" si="44"/>
        <v>1.8042936672333365E-2</v>
      </c>
      <c r="N392" s="43">
        <f t="shared" si="45"/>
        <v>5.356890486325927E-3</v>
      </c>
      <c r="O392" s="43">
        <f t="shared" si="46"/>
        <v>1.0311704973361646E-2</v>
      </c>
      <c r="P392" s="43">
        <f t="shared" si="47"/>
        <v>0.29689681805180101</v>
      </c>
      <c r="Q392" s="37">
        <f t="shared" si="48"/>
        <v>0.5715092371395053</v>
      </c>
      <c r="R392" s="37">
        <v>-4.0000000000000001E-3</v>
      </c>
      <c r="S392" s="44" t="s">
        <v>1394</v>
      </c>
      <c r="T392" s="45">
        <v>2.9167885999999998</v>
      </c>
      <c r="U392" s="45">
        <v>-1.2398199E-2</v>
      </c>
      <c r="V392" s="45">
        <v>2.6675236999999997E-2</v>
      </c>
      <c r="W392" s="45">
        <v>6.519050400000001E-4</v>
      </c>
      <c r="X392" s="45">
        <v>4.6956174999999999E-6</v>
      </c>
      <c r="Y392" s="45">
        <v>2.6910539999999995E-6</v>
      </c>
      <c r="Z392" s="36">
        <v>3.22</v>
      </c>
      <c r="AA392" s="38">
        <v>493</v>
      </c>
      <c r="AB392" s="38">
        <v>577</v>
      </c>
      <c r="AC392" s="39" t="s">
        <v>508</v>
      </c>
      <c r="AD392" s="49" t="s">
        <v>506</v>
      </c>
      <c r="AE392" s="46"/>
    </row>
    <row r="393" spans="1:31" ht="15" thickBot="1">
      <c r="A393" s="34">
        <v>391</v>
      </c>
      <c r="B393" s="34" t="s">
        <v>252</v>
      </c>
      <c r="C393" s="41" t="s">
        <v>1358</v>
      </c>
      <c r="D393" s="34" t="s">
        <v>486</v>
      </c>
      <c r="E393" s="80">
        <f t="shared" si="42"/>
        <v>1.7307657288436953</v>
      </c>
      <c r="F393" s="35">
        <f t="shared" si="43"/>
        <v>40.501484991865823</v>
      </c>
      <c r="G393" s="42" cm="1">
        <f t="array" ref="G39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40.248486100435343</v>
      </c>
      <c r="H393" s="81" cm="1">
        <f t="array" ref="H3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1.7254088383573694</v>
      </c>
      <c r="I393" s="81" cm="1">
        <f t="array" ref="I3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1.7307657288436953</v>
      </c>
      <c r="J393" s="81" cm="1">
        <f t="array" ref="J3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1.735049196733204</v>
      </c>
      <c r="K393" s="81" cm="1">
        <f t="array" ref="K3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1.7434517750297027</v>
      </c>
      <c r="L393" s="81" cm="1">
        <f t="array" ref="L3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1.7537634800030644</v>
      </c>
      <c r="M393" s="37">
        <f t="shared" si="44"/>
        <v>1.8042936672333365E-2</v>
      </c>
      <c r="N393" s="43">
        <f t="shared" si="45"/>
        <v>5.356890486325927E-3</v>
      </c>
      <c r="O393" s="43">
        <f t="shared" si="46"/>
        <v>1.0311704973361646E-2</v>
      </c>
      <c r="P393" s="43">
        <f t="shared" si="47"/>
        <v>0.29689681805180101</v>
      </c>
      <c r="Q393" s="37">
        <f t="shared" si="48"/>
        <v>0.5715092371395053</v>
      </c>
      <c r="R393" s="37">
        <v>-4.0000000000000001E-3</v>
      </c>
      <c r="S393" s="44" t="s">
        <v>1394</v>
      </c>
      <c r="T393" s="45">
        <v>2.9167885999999998</v>
      </c>
      <c r="U393" s="45">
        <v>-1.2398199E-2</v>
      </c>
      <c r="V393" s="45">
        <v>2.6675236999999997E-2</v>
      </c>
      <c r="W393" s="45">
        <v>6.519050400000001E-4</v>
      </c>
      <c r="X393" s="45">
        <v>4.6956174999999999E-6</v>
      </c>
      <c r="Y393" s="45">
        <v>2.6910539999999995E-6</v>
      </c>
      <c r="Z393" s="36">
        <v>3.22</v>
      </c>
      <c r="AA393" s="38">
        <v>493</v>
      </c>
      <c r="AB393" s="38">
        <v>577</v>
      </c>
      <c r="AC393" s="39" t="s">
        <v>508</v>
      </c>
      <c r="AD393" s="49" t="s">
        <v>506</v>
      </c>
      <c r="AE393" s="46" t="s">
        <v>869</v>
      </c>
    </row>
    <row r="394" spans="1:31" ht="15" thickBot="1">
      <c r="A394" s="34">
        <v>392</v>
      </c>
      <c r="B394" s="34" t="s">
        <v>252</v>
      </c>
      <c r="C394" s="41" t="s">
        <v>1358</v>
      </c>
      <c r="D394" s="34" t="s">
        <v>487</v>
      </c>
      <c r="E394" s="80">
        <f t="shared" si="42"/>
        <v>1.7432997443249911</v>
      </c>
      <c r="F394" s="35">
        <f t="shared" si="43"/>
        <v>49.326479710568478</v>
      </c>
      <c r="G394" s="42" cm="1">
        <f t="array" ref="G39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49.072055877746457</v>
      </c>
      <c r="H394" s="81" cm="1">
        <f t="array" ref="H3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1.7387643774645747</v>
      </c>
      <c r="I394" s="81" cm="1">
        <f t="array" ref="I3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1.7432997443249911</v>
      </c>
      <c r="J394" s="81" cm="1">
        <f t="array" ref="J3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1.7468892709109138</v>
      </c>
      <c r="K394" s="81" cm="1">
        <f t="array" ref="K3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1.7538333576287062</v>
      </c>
      <c r="L394" s="81" cm="1">
        <f t="array" ref="L3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1.762162743965402</v>
      </c>
      <c r="M394" s="37">
        <f t="shared" si="44"/>
        <v>1.5068980164131496E-2</v>
      </c>
      <c r="N394" s="43">
        <f t="shared" si="45"/>
        <v>4.5353668604164454E-3</v>
      </c>
      <c r="O394" s="43">
        <f t="shared" si="46"/>
        <v>8.3293863366957765E-3</v>
      </c>
      <c r="P394" s="43">
        <f t="shared" si="47"/>
        <v>0.30097370963510339</v>
      </c>
      <c r="Q394" s="37">
        <f t="shared" si="48"/>
        <v>0.55275050109377077</v>
      </c>
      <c r="R394" s="37">
        <v>-6.7999999999999996E-3</v>
      </c>
      <c r="S394" s="44" t="s">
        <v>1394</v>
      </c>
      <c r="T394" s="45">
        <v>2.9752450000000001</v>
      </c>
      <c r="U394" s="45">
        <v>-1.4250160000000001E-2</v>
      </c>
      <c r="V394" s="45">
        <v>2.1400739999999998E-2</v>
      </c>
      <c r="W394" s="45">
        <v>9.7553370000000013E-4</v>
      </c>
      <c r="X394" s="45">
        <v>-6.9795299999999999E-5</v>
      </c>
      <c r="Y394" s="45">
        <v>4.114924E-6</v>
      </c>
      <c r="Z394" s="36">
        <v>4.25</v>
      </c>
      <c r="AA394" s="38">
        <v>560</v>
      </c>
      <c r="AB394" s="38">
        <v>640</v>
      </c>
      <c r="AC394" s="39" t="s">
        <v>508</v>
      </c>
      <c r="AD394" s="49" t="s">
        <v>506</v>
      </c>
      <c r="AE394" s="46"/>
    </row>
    <row r="395" spans="1:31" ht="15" thickBot="1">
      <c r="A395" s="34">
        <v>393</v>
      </c>
      <c r="B395" s="34" t="s">
        <v>252</v>
      </c>
      <c r="C395" s="41" t="s">
        <v>1358</v>
      </c>
      <c r="D395" s="34" t="s">
        <v>488</v>
      </c>
      <c r="E395" s="80">
        <f t="shared" si="42"/>
        <v>1.7432997443249911</v>
      </c>
      <c r="F395" s="35">
        <f t="shared" si="43"/>
        <v>49.326479710568478</v>
      </c>
      <c r="G395" s="42" cm="1">
        <f t="array" ref="G39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49.072055877746457</v>
      </c>
      <c r="H395" s="81" cm="1">
        <f t="array" ref="H3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1.7387643774645747</v>
      </c>
      <c r="I395" s="81" cm="1">
        <f t="array" ref="I3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1.7432997443249911</v>
      </c>
      <c r="J395" s="81" cm="1">
        <f t="array" ref="J3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1.7468892709109138</v>
      </c>
      <c r="K395" s="81" cm="1">
        <f t="array" ref="K3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1.7538333576287062</v>
      </c>
      <c r="L395" s="81" cm="1">
        <f t="array" ref="L3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1.762162743965402</v>
      </c>
      <c r="M395" s="37">
        <f t="shared" si="44"/>
        <v>1.5068980164131496E-2</v>
      </c>
      <c r="N395" s="43">
        <f t="shared" si="45"/>
        <v>4.5353668604164454E-3</v>
      </c>
      <c r="O395" s="43">
        <f t="shared" si="46"/>
        <v>8.3293863366957765E-3</v>
      </c>
      <c r="P395" s="43">
        <f t="shared" si="47"/>
        <v>0.30097370963510339</v>
      </c>
      <c r="Q395" s="37">
        <f t="shared" si="48"/>
        <v>0.55275050109377077</v>
      </c>
      <c r="R395" s="37">
        <v>-6.7999999999999996E-3</v>
      </c>
      <c r="S395" s="44" t="s">
        <v>1394</v>
      </c>
      <c r="T395" s="45">
        <v>2.9752450000000001</v>
      </c>
      <c r="U395" s="45">
        <v>-1.4250160000000001E-2</v>
      </c>
      <c r="V395" s="45">
        <v>2.1400739999999998E-2</v>
      </c>
      <c r="W395" s="45">
        <v>9.7553370000000013E-4</v>
      </c>
      <c r="X395" s="45">
        <v>-6.9795299999999999E-5</v>
      </c>
      <c r="Y395" s="45">
        <v>4.114924E-6</v>
      </c>
      <c r="Z395" s="36">
        <v>4.25</v>
      </c>
      <c r="AA395" s="38">
        <v>560</v>
      </c>
      <c r="AB395" s="38">
        <v>640</v>
      </c>
      <c r="AC395" s="39" t="s">
        <v>508</v>
      </c>
      <c r="AD395" s="49" t="s">
        <v>506</v>
      </c>
      <c r="AE395" s="46" t="s">
        <v>869</v>
      </c>
    </row>
    <row r="396" spans="1:31" ht="15" thickBot="1">
      <c r="A396" s="34">
        <v>394</v>
      </c>
      <c r="B396" s="34" t="s">
        <v>252</v>
      </c>
      <c r="C396" s="41" t="s">
        <v>1358</v>
      </c>
      <c r="D396" s="34" t="s">
        <v>489</v>
      </c>
      <c r="E396" s="80">
        <f t="shared" si="42"/>
        <v>1.7432997443249911</v>
      </c>
      <c r="F396" s="35">
        <f t="shared" si="43"/>
        <v>49.326479710568478</v>
      </c>
      <c r="G396" s="42" cm="1">
        <f t="array" ref="G39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49.072055877746457</v>
      </c>
      <c r="H396" s="81" cm="1">
        <f t="array" ref="H3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1.7387643774645747</v>
      </c>
      <c r="I396" s="81" cm="1">
        <f t="array" ref="I3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1.7432997443249911</v>
      </c>
      <c r="J396" s="81" cm="1">
        <f t="array" ref="J3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1.7468892709109138</v>
      </c>
      <c r="K396" s="81" cm="1">
        <f t="array" ref="K3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1.7538333576287062</v>
      </c>
      <c r="L396" s="81" cm="1">
        <f t="array" ref="L3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1.762162743965402</v>
      </c>
      <c r="M396" s="37">
        <f t="shared" si="44"/>
        <v>1.5068980164131496E-2</v>
      </c>
      <c r="N396" s="43">
        <f t="shared" si="45"/>
        <v>4.5353668604164454E-3</v>
      </c>
      <c r="O396" s="43">
        <f t="shared" si="46"/>
        <v>8.3293863366957765E-3</v>
      </c>
      <c r="P396" s="43">
        <f t="shared" si="47"/>
        <v>0.30097370963510339</v>
      </c>
      <c r="Q396" s="37">
        <f t="shared" si="48"/>
        <v>0.55275050109377077</v>
      </c>
      <c r="R396" s="37">
        <v>-6.7999999999999996E-3</v>
      </c>
      <c r="S396" s="44" t="s">
        <v>1394</v>
      </c>
      <c r="T396" s="45">
        <v>2.9752450000000001</v>
      </c>
      <c r="U396" s="45">
        <v>-1.4250160000000001E-2</v>
      </c>
      <c r="V396" s="45">
        <v>2.1400739999999998E-2</v>
      </c>
      <c r="W396" s="45">
        <v>9.7553370000000013E-4</v>
      </c>
      <c r="X396" s="45">
        <v>-6.9795299999999999E-5</v>
      </c>
      <c r="Y396" s="45">
        <v>4.114924E-6</v>
      </c>
      <c r="Z396" s="36">
        <v>4.25</v>
      </c>
      <c r="AA396" s="38">
        <v>560</v>
      </c>
      <c r="AB396" s="38">
        <v>640</v>
      </c>
      <c r="AC396" s="39" t="s">
        <v>508</v>
      </c>
      <c r="AD396" s="49" t="s">
        <v>506</v>
      </c>
      <c r="AE396" s="46" t="s">
        <v>869</v>
      </c>
    </row>
    <row r="397" spans="1:31" ht="15" thickBot="1">
      <c r="A397" s="34">
        <v>395</v>
      </c>
      <c r="B397" s="34" t="s">
        <v>252</v>
      </c>
      <c r="C397" s="41" t="s">
        <v>1358</v>
      </c>
      <c r="D397" s="34" t="s">
        <v>457</v>
      </c>
      <c r="E397" s="80">
        <f t="shared" si="42"/>
        <v>1.8083389845112907</v>
      </c>
      <c r="F397" s="35">
        <f t="shared" si="43"/>
        <v>40.921698469848707</v>
      </c>
      <c r="G397" s="42" cm="1">
        <f t="array" ref="G39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40.668183686125779</v>
      </c>
      <c r="H397" s="81" cm="1">
        <f t="array" ref="H3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1.8024738231470485</v>
      </c>
      <c r="I397" s="81" cm="1">
        <f t="array" ref="I3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1.8083389845112907</v>
      </c>
      <c r="J397" s="81" cm="1">
        <f t="array" ref="J3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1.8130318725407397</v>
      </c>
      <c r="K397" s="81" cm="1">
        <f t="array" ref="K3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1.8222271328760393</v>
      </c>
      <c r="L397" s="81" cm="1">
        <f t="array" ref="L3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1.8334586469701999</v>
      </c>
      <c r="M397" s="37">
        <f t="shared" si="44"/>
        <v>1.9753309728990809E-2</v>
      </c>
      <c r="N397" s="43">
        <f t="shared" si="45"/>
        <v>5.8651613642421996E-3</v>
      </c>
      <c r="O397" s="43">
        <f t="shared" si="46"/>
        <v>1.1231514094160566E-2</v>
      </c>
      <c r="P397" s="43">
        <f t="shared" si="47"/>
        <v>0.29692043737026186</v>
      </c>
      <c r="Q397" s="37">
        <f t="shared" si="48"/>
        <v>0.56858897310138923</v>
      </c>
      <c r="R397" s="37">
        <v>-6.1000000000000004E-3</v>
      </c>
      <c r="S397" s="44" t="s">
        <v>1394</v>
      </c>
      <c r="T397" s="45">
        <v>3.1819698000000001</v>
      </c>
      <c r="U397" s="45">
        <v>-1.4926521999999999E-2</v>
      </c>
      <c r="V397" s="45">
        <v>2.8987649000000004E-2</v>
      </c>
      <c r="W397" s="45">
        <v>1.2223653999999999E-3</v>
      </c>
      <c r="X397" s="45">
        <v>-5.2916688000000002E-5</v>
      </c>
      <c r="Y397" s="45">
        <v>4.7807226999999996E-6</v>
      </c>
      <c r="Z397" s="36">
        <v>4.67</v>
      </c>
      <c r="AA397" s="38">
        <v>547</v>
      </c>
      <c r="AB397" s="38">
        <v>625</v>
      </c>
      <c r="AC397" s="39" t="s">
        <v>508</v>
      </c>
      <c r="AD397" s="49" t="s">
        <v>506</v>
      </c>
      <c r="AE397" s="46" t="s">
        <v>869</v>
      </c>
    </row>
    <row r="398" spans="1:31" ht="15" thickBot="1">
      <c r="A398" s="34">
        <v>396</v>
      </c>
      <c r="B398" s="34" t="s">
        <v>252</v>
      </c>
      <c r="C398" s="41" t="s">
        <v>1358</v>
      </c>
      <c r="D398" s="34" t="s">
        <v>490</v>
      </c>
      <c r="E398" s="80">
        <f t="shared" si="42"/>
        <v>1.7725024857442813</v>
      </c>
      <c r="F398" s="35">
        <f t="shared" si="43"/>
        <v>49.465213308341177</v>
      </c>
      <c r="G398" s="42" cm="1">
        <f t="array" ref="G39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49.201923653373377</v>
      </c>
      <c r="H398" s="81" cm="1">
        <f t="array" ref="H3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1.7678062945117776</v>
      </c>
      <c r="I398" s="81" cm="1">
        <f t="array" ref="I3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1.7725024857442813</v>
      </c>
      <c r="J398" s="81" cm="1">
        <f t="array" ref="J3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1.7762220336207626</v>
      </c>
      <c r="K398" s="81" cm="1">
        <f t="array" ref="K3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1.783423380420796</v>
      </c>
      <c r="L398" s="81" cm="1">
        <f t="array" ref="L3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1.7920753646463341</v>
      </c>
      <c r="M398" s="37">
        <f t="shared" si="44"/>
        <v>1.5617085909018336E-2</v>
      </c>
      <c r="N398" s="43">
        <f t="shared" si="45"/>
        <v>4.6961912325036437E-3</v>
      </c>
      <c r="O398" s="43">
        <f t="shared" si="46"/>
        <v>8.6519842255381452E-3</v>
      </c>
      <c r="P398" s="43">
        <f t="shared" si="47"/>
        <v>0.30070854830809074</v>
      </c>
      <c r="Q398" s="37">
        <f t="shared" si="48"/>
        <v>0.55400759629182283</v>
      </c>
      <c r="R398" s="37">
        <v>-5.4000000000000003E-3</v>
      </c>
      <c r="S398" s="44" t="s">
        <v>1394</v>
      </c>
      <c r="T398" s="45">
        <v>3.0708060000000001</v>
      </c>
      <c r="U398" s="45">
        <v>-1.2276924E-2</v>
      </c>
      <c r="V398" s="45">
        <v>2.456566E-2</v>
      </c>
      <c r="W398" s="45">
        <v>4.7436648000000008E-4</v>
      </c>
      <c r="X398" s="45">
        <v>5.4326159999999999E-7</v>
      </c>
      <c r="Y398" s="45">
        <v>6.5976660999999992E-7</v>
      </c>
      <c r="Z398" s="36">
        <v>4.83</v>
      </c>
      <c r="AA398" s="38">
        <v>558</v>
      </c>
      <c r="AB398" s="38">
        <v>651</v>
      </c>
      <c r="AC398" s="39" t="s">
        <v>508</v>
      </c>
      <c r="AD398" s="49" t="s">
        <v>506</v>
      </c>
      <c r="AE398" s="46"/>
    </row>
    <row r="399" spans="1:31" ht="15" thickBot="1">
      <c r="A399" s="34">
        <v>397</v>
      </c>
      <c r="B399" s="34" t="s">
        <v>252</v>
      </c>
      <c r="C399" s="41" t="s">
        <v>1358</v>
      </c>
      <c r="D399" s="34" t="s">
        <v>491</v>
      </c>
      <c r="E399" s="80">
        <f t="shared" si="42"/>
        <v>1.7725024857442813</v>
      </c>
      <c r="F399" s="35">
        <f t="shared" si="43"/>
        <v>49.465213308341177</v>
      </c>
      <c r="G399" s="42" cm="1">
        <f t="array" ref="G39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49.201923653373377</v>
      </c>
      <c r="H399" s="81" cm="1">
        <f t="array" ref="H3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1.7678062945117776</v>
      </c>
      <c r="I399" s="81" cm="1">
        <f t="array" ref="I3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1.7725024857442813</v>
      </c>
      <c r="J399" s="81" cm="1">
        <f t="array" ref="J3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1.7762220336207626</v>
      </c>
      <c r="K399" s="81" cm="1">
        <f t="array" ref="K3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1.783423380420796</v>
      </c>
      <c r="L399" s="81" cm="1">
        <f t="array" ref="L3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1.7920753646463341</v>
      </c>
      <c r="M399" s="37">
        <f t="shared" si="44"/>
        <v>1.5617085909018336E-2</v>
      </c>
      <c r="N399" s="43">
        <f t="shared" si="45"/>
        <v>4.6961912325036437E-3</v>
      </c>
      <c r="O399" s="43">
        <f t="shared" si="46"/>
        <v>8.6519842255381452E-3</v>
      </c>
      <c r="P399" s="43">
        <f t="shared" si="47"/>
        <v>0.30070854830809074</v>
      </c>
      <c r="Q399" s="37">
        <f t="shared" si="48"/>
        <v>0.55400759629182283</v>
      </c>
      <c r="R399" s="37">
        <v>-5.4000000000000003E-3</v>
      </c>
      <c r="S399" s="44" t="s">
        <v>1394</v>
      </c>
      <c r="T399" s="45">
        <v>3.0708060000000001</v>
      </c>
      <c r="U399" s="45">
        <v>-1.2276924E-2</v>
      </c>
      <c r="V399" s="45">
        <v>2.456566E-2</v>
      </c>
      <c r="W399" s="45">
        <v>4.7436648000000008E-4</v>
      </c>
      <c r="X399" s="45">
        <v>5.4326159999999999E-7</v>
      </c>
      <c r="Y399" s="45">
        <v>6.5976660999999992E-7</v>
      </c>
      <c r="Z399" s="36">
        <v>4.83</v>
      </c>
      <c r="AA399" s="38">
        <v>558</v>
      </c>
      <c r="AB399" s="38">
        <v>651</v>
      </c>
      <c r="AC399" s="39" t="s">
        <v>508</v>
      </c>
      <c r="AD399" s="49" t="s">
        <v>506</v>
      </c>
      <c r="AE399" s="46" t="s">
        <v>869</v>
      </c>
    </row>
    <row r="400" spans="1:31" ht="15" thickBot="1">
      <c r="A400" s="34">
        <v>398</v>
      </c>
      <c r="B400" s="34" t="s">
        <v>252</v>
      </c>
      <c r="C400" s="41" t="s">
        <v>1358</v>
      </c>
      <c r="D400" s="34" t="s">
        <v>479</v>
      </c>
      <c r="E400" s="80">
        <f t="shared" si="42"/>
        <v>1.9514983372032015</v>
      </c>
      <c r="F400" s="35">
        <f t="shared" si="43"/>
        <v>29.829940946822216</v>
      </c>
      <c r="G400" s="42" cm="1">
        <f t="array" ref="G40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29.613078984471404</v>
      </c>
      <c r="H400" s="81" cm="1">
        <f t="array" ref="H4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1.9422281220009217</v>
      </c>
      <c r="I400" s="81" cm="1">
        <f t="array" ref="I4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1.9514983372032015</v>
      </c>
      <c r="J400" s="81" cm="1">
        <f t="array" ref="J4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1.9590424995962259</v>
      </c>
      <c r="K400" s="81" cm="1">
        <f t="array" ref="K4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1.9741255481104616</v>
      </c>
      <c r="L400" s="81" cm="1">
        <f t="array" ref="L4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1.993124084902733</v>
      </c>
      <c r="M400" s="37">
        <f t="shared" si="44"/>
        <v>3.1897426109539939E-2</v>
      </c>
      <c r="N400" s="43">
        <f t="shared" si="45"/>
        <v>9.2702152022798856E-3</v>
      </c>
      <c r="O400" s="43">
        <f t="shared" si="46"/>
        <v>1.899853679227137E-2</v>
      </c>
      <c r="P400" s="43">
        <f t="shared" si="47"/>
        <v>0.29062580693642026</v>
      </c>
      <c r="Q400" s="37">
        <f t="shared" si="48"/>
        <v>0.59561347448624558</v>
      </c>
      <c r="R400" s="37">
        <v>1E-3</v>
      </c>
      <c r="S400" s="44" t="s">
        <v>1394</v>
      </c>
      <c r="T400" s="45">
        <v>3.6542352</v>
      </c>
      <c r="U400" s="45">
        <v>-1.5688324999999999E-2</v>
      </c>
      <c r="V400" s="45">
        <v>4.8094089000000007E-2</v>
      </c>
      <c r="W400" s="45">
        <v>2.6498064999999999E-3</v>
      </c>
      <c r="X400" s="45">
        <v>-1.3971852E-4</v>
      </c>
      <c r="Y400" s="45">
        <v>1.9581201000000001E-5</v>
      </c>
      <c r="Z400" s="36">
        <v>5.45</v>
      </c>
      <c r="AA400" s="38">
        <v>597</v>
      </c>
      <c r="AB400" s="38">
        <v>671</v>
      </c>
      <c r="AC400" s="39" t="s">
        <v>508</v>
      </c>
      <c r="AD400" s="49" t="s">
        <v>506</v>
      </c>
      <c r="AE400" s="46" t="s">
        <v>1247</v>
      </c>
    </row>
    <row r="401" spans="1:31" ht="15" thickBot="1">
      <c r="A401" s="34">
        <v>399</v>
      </c>
      <c r="B401" s="34" t="s">
        <v>252</v>
      </c>
      <c r="C401" s="41" t="s">
        <v>1358</v>
      </c>
      <c r="D401" s="34" t="s">
        <v>480</v>
      </c>
      <c r="E401" s="80">
        <f t="shared" si="42"/>
        <v>1.9514983372032015</v>
      </c>
      <c r="F401" s="35">
        <f t="shared" si="43"/>
        <v>29.829940946822216</v>
      </c>
      <c r="G401" s="42" cm="1">
        <f t="array" ref="G40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29.613078984471404</v>
      </c>
      <c r="H401" s="81" cm="1">
        <f t="array" ref="H4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1.9422281220009217</v>
      </c>
      <c r="I401" s="81" cm="1">
        <f t="array" ref="I4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1.9514983372032015</v>
      </c>
      <c r="J401" s="81" cm="1">
        <f t="array" ref="J4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1.9590424995962259</v>
      </c>
      <c r="K401" s="81" cm="1">
        <f t="array" ref="K4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1.9741255481104616</v>
      </c>
      <c r="L401" s="81" cm="1">
        <f t="array" ref="L4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1.993124084902733</v>
      </c>
      <c r="M401" s="37">
        <f t="shared" si="44"/>
        <v>3.1897426109539939E-2</v>
      </c>
      <c r="N401" s="43">
        <f t="shared" si="45"/>
        <v>9.2702152022798856E-3</v>
      </c>
      <c r="O401" s="43">
        <f t="shared" si="46"/>
        <v>1.899853679227137E-2</v>
      </c>
      <c r="P401" s="43">
        <f t="shared" si="47"/>
        <v>0.29062580693642026</v>
      </c>
      <c r="Q401" s="37">
        <f t="shared" si="48"/>
        <v>0.59561347448624558</v>
      </c>
      <c r="R401" s="37">
        <v>1E-3</v>
      </c>
      <c r="S401" s="44" t="s">
        <v>1394</v>
      </c>
      <c r="T401" s="45">
        <v>3.6542352</v>
      </c>
      <c r="U401" s="45">
        <v>-1.5688324999999999E-2</v>
      </c>
      <c r="V401" s="45">
        <v>4.8094089000000007E-2</v>
      </c>
      <c r="W401" s="45">
        <v>2.6498064999999999E-3</v>
      </c>
      <c r="X401" s="45">
        <v>-1.3971852E-4</v>
      </c>
      <c r="Y401" s="45">
        <v>1.9581201000000001E-5</v>
      </c>
      <c r="Z401" s="36">
        <v>5.45</v>
      </c>
      <c r="AA401" s="38">
        <v>597</v>
      </c>
      <c r="AB401" s="38">
        <v>671</v>
      </c>
      <c r="AC401" s="39" t="s">
        <v>508</v>
      </c>
      <c r="AD401" s="49" t="s">
        <v>506</v>
      </c>
      <c r="AE401" s="46" t="s">
        <v>869</v>
      </c>
    </row>
    <row r="402" spans="1:31" ht="15" thickBot="1">
      <c r="A402" s="34">
        <v>400</v>
      </c>
      <c r="B402" s="34" t="s">
        <v>290</v>
      </c>
      <c r="C402" s="41" t="s">
        <v>1355</v>
      </c>
      <c r="D402" s="34" t="s">
        <v>291</v>
      </c>
      <c r="E402" s="80">
        <f t="shared" si="42"/>
        <v>1.4874900080030304</v>
      </c>
      <c r="F402" s="35">
        <f t="shared" si="43"/>
        <v>70.315792520309117</v>
      </c>
      <c r="G402" s="42" cm="1">
        <f t="array" ref="G40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70.133181828008503</v>
      </c>
      <c r="H402" s="81" cm="1">
        <f t="array" ref="H4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1.485343076979861</v>
      </c>
      <c r="I402" s="81" cm="1">
        <f t="array" ref="I4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1.4874900080030304</v>
      </c>
      <c r="J402" s="81" cm="1">
        <f t="array" ref="J4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1.4891455655254133</v>
      </c>
      <c r="K402" s="81" cm="1">
        <f t="array" ref="K4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1.4922759435597581</v>
      </c>
      <c r="L402" s="81" cm="1">
        <f t="array" ref="L4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1.4959445545261347</v>
      </c>
      <c r="M402" s="37">
        <f t="shared" si="44"/>
        <v>6.9328665798971123E-3</v>
      </c>
      <c r="N402" s="43">
        <f t="shared" si="45"/>
        <v>2.1469310231694294E-3</v>
      </c>
      <c r="O402" s="43">
        <f t="shared" si="46"/>
        <v>3.6686109663766064E-3</v>
      </c>
      <c r="P402" s="43">
        <f t="shared" si="47"/>
        <v>0.3096743602992128</v>
      </c>
      <c r="Q402" s="37">
        <f t="shared" si="48"/>
        <v>0.52916220499818856</v>
      </c>
      <c r="R402" s="37">
        <v>2.7000000000000001E-3</v>
      </c>
      <c r="S402" s="44" t="s">
        <v>1391</v>
      </c>
      <c r="T402" s="45">
        <v>0.129676653</v>
      </c>
      <c r="U402" s="45">
        <v>2.8412758999999999E-2</v>
      </c>
      <c r="V402" s="45">
        <v>0.25532906599999999</v>
      </c>
      <c r="W402" s="45">
        <v>81.757378200000005</v>
      </c>
      <c r="X402" s="45">
        <v>1.7045617700000001E-2</v>
      </c>
      <c r="Y402" s="45">
        <v>4.25672246E-3</v>
      </c>
      <c r="Z402" s="36">
        <v>2.4500000000000002</v>
      </c>
      <c r="AA402" s="38">
        <v>468</v>
      </c>
      <c r="AB402" s="38">
        <v>677</v>
      </c>
      <c r="AC402" s="49" t="s">
        <v>506</v>
      </c>
      <c r="AD402" s="39" t="s">
        <v>1371</v>
      </c>
      <c r="AE402" s="48"/>
    </row>
    <row r="403" spans="1:31" ht="15" thickBot="1">
      <c r="A403" s="34">
        <v>401</v>
      </c>
      <c r="B403" s="34" t="s">
        <v>290</v>
      </c>
      <c r="C403" s="41" t="s">
        <v>1365</v>
      </c>
      <c r="D403" s="34" t="s">
        <v>292</v>
      </c>
      <c r="E403" s="80">
        <f t="shared" si="42"/>
        <v>1.4970000055754193</v>
      </c>
      <c r="F403" s="35">
        <f t="shared" si="43"/>
        <v>81.640857248270123</v>
      </c>
      <c r="G403" s="42" cm="1">
        <f t="array" ref="G40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81.250755914877018</v>
      </c>
      <c r="H403" s="81" cm="1">
        <f t="array" ref="H4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1.4951384798468215</v>
      </c>
      <c r="I403" s="81" cm="1">
        <f t="array" ref="I4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1.4970000055754193</v>
      </c>
      <c r="J403" s="81" cm="1">
        <f t="array" ref="J4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1.4984534958446651</v>
      </c>
      <c r="K403" s="81" cm="1">
        <f t="array" ref="K4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1.5012261180996149</v>
      </c>
      <c r="L403" s="81" cm="1">
        <f t="array" ref="L4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1.5044961726230319</v>
      </c>
      <c r="M403" s="37">
        <f t="shared" si="44"/>
        <v>6.0876382527934592E-3</v>
      </c>
      <c r="N403" s="43">
        <f t="shared" si="45"/>
        <v>1.8615257285978792E-3</v>
      </c>
      <c r="O403" s="43">
        <f t="shared" si="46"/>
        <v>3.2700545234169986E-3</v>
      </c>
      <c r="P403" s="43">
        <f t="shared" si="47"/>
        <v>0.30578783615200417</v>
      </c>
      <c r="Q403" s="37">
        <f t="shared" si="48"/>
        <v>0.53716308158035764</v>
      </c>
      <c r="R403" s="37">
        <v>2.98E-2</v>
      </c>
      <c r="S403" s="44" t="s">
        <v>1391</v>
      </c>
      <c r="T403" s="45">
        <v>0.10633163299999999</v>
      </c>
      <c r="U403" s="45">
        <v>8.3144707600000006E-2</v>
      </c>
      <c r="V403" s="45">
        <v>0.20559159699999999</v>
      </c>
      <c r="W403" s="45">
        <v>114.369714</v>
      </c>
      <c r="X403" s="45">
        <v>1.07948356E-2</v>
      </c>
      <c r="Y403" s="45">
        <v>2.5387170100000002E-3</v>
      </c>
      <c r="Z403" s="36">
        <v>3.65</v>
      </c>
      <c r="AA403" s="38">
        <v>459</v>
      </c>
      <c r="AB403" s="38">
        <v>542</v>
      </c>
      <c r="AC403" s="49" t="s">
        <v>506</v>
      </c>
      <c r="AD403" s="39" t="s">
        <v>1371</v>
      </c>
      <c r="AE403" s="48"/>
    </row>
    <row r="404" spans="1:31" ht="15" thickBot="1">
      <c r="A404" s="34">
        <v>402</v>
      </c>
      <c r="B404" s="34" t="s">
        <v>290</v>
      </c>
      <c r="C404" s="41" t="s">
        <v>1365</v>
      </c>
      <c r="D404" s="34" t="s">
        <v>293</v>
      </c>
      <c r="E404" s="80">
        <f t="shared" si="42"/>
        <v>1.4978200070535312</v>
      </c>
      <c r="F404" s="35">
        <f t="shared" si="43"/>
        <v>82.565462882536195</v>
      </c>
      <c r="G404" s="42" cm="1">
        <f t="array" ref="G40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82.143874269495981</v>
      </c>
      <c r="H404" s="81" cm="1">
        <f t="array" ref="H4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1.4959802999448191</v>
      </c>
      <c r="I404" s="81" cm="1">
        <f t="array" ref="I4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1.4978200070535312</v>
      </c>
      <c r="J404" s="81" cm="1">
        <f t="array" ref="J4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1.4992595060029106</v>
      </c>
      <c r="K404" s="81" cm="1">
        <f t="array" ref="K4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1.5020096975848682</v>
      </c>
      <c r="L404" s="81" cm="1">
        <f t="array" ref="L4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1.5052572823547996</v>
      </c>
      <c r="M404" s="37">
        <f t="shared" si="44"/>
        <v>6.0293976400491722E-3</v>
      </c>
      <c r="N404" s="43">
        <f t="shared" si="45"/>
        <v>1.8397071087121741E-3</v>
      </c>
      <c r="O404" s="43">
        <f t="shared" si="46"/>
        <v>3.2475847699313665E-3</v>
      </c>
      <c r="P404" s="43">
        <f t="shared" si="47"/>
        <v>0.30512286940444194</v>
      </c>
      <c r="Q404" s="37">
        <f t="shared" si="48"/>
        <v>0.53862507729791742</v>
      </c>
      <c r="R404" s="37">
        <v>3.27E-2</v>
      </c>
      <c r="S404" s="44" t="s">
        <v>1391</v>
      </c>
      <c r="T404" s="45">
        <v>0.12268206</v>
      </c>
      <c r="U404" s="45">
        <v>9.7690183400000005E-2</v>
      </c>
      <c r="V404" s="45">
        <v>0.19144976599999999</v>
      </c>
      <c r="W404" s="45">
        <v>144.413557</v>
      </c>
      <c r="X404" s="45">
        <v>1.01538863E-2</v>
      </c>
      <c r="Y404" s="45">
        <v>2.1935550300000001E-3</v>
      </c>
      <c r="Z404" s="36">
        <v>3.86</v>
      </c>
      <c r="AA404" s="38">
        <v>479</v>
      </c>
      <c r="AB404" s="38">
        <v>561</v>
      </c>
      <c r="AC404" s="49" t="s">
        <v>506</v>
      </c>
      <c r="AD404" s="39" t="s">
        <v>1371</v>
      </c>
      <c r="AE404" s="48"/>
    </row>
    <row r="405" spans="1:31" ht="15" thickBot="1">
      <c r="A405" s="34">
        <v>403</v>
      </c>
      <c r="B405" s="34" t="s">
        <v>290</v>
      </c>
      <c r="C405" s="41" t="s">
        <v>1365</v>
      </c>
      <c r="D405" s="34" t="s">
        <v>294</v>
      </c>
      <c r="E405" s="80">
        <f t="shared" si="42"/>
        <v>1.4560000054143845</v>
      </c>
      <c r="F405" s="35">
        <f t="shared" si="43"/>
        <v>91.375897158313123</v>
      </c>
      <c r="G405" s="42" cm="1">
        <f t="array" ref="G40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90.952130278946399</v>
      </c>
      <c r="H405" s="81" cm="1">
        <f t="array" ref="H4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1.4544691499041438</v>
      </c>
      <c r="I405" s="81" cm="1">
        <f t="array" ref="I4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1.4560000054143845</v>
      </c>
      <c r="J405" s="81" cm="1">
        <f t="array" ref="J4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1.457191916396793</v>
      </c>
      <c r="K405" s="81" cm="1">
        <f t="array" ref="K4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1.4594595250423965</v>
      </c>
      <c r="L405" s="81" cm="1">
        <f t="array" ref="L4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1.4621263918481955</v>
      </c>
      <c r="M405" s="37">
        <f t="shared" si="44"/>
        <v>4.9903751382527339E-3</v>
      </c>
      <c r="N405" s="43">
        <f t="shared" si="45"/>
        <v>1.5308555102406807E-3</v>
      </c>
      <c r="O405" s="43">
        <f t="shared" si="46"/>
        <v>2.6668668057989731E-3</v>
      </c>
      <c r="P405" s="43">
        <f t="shared" si="47"/>
        <v>0.3067616096646143</v>
      </c>
      <c r="Q405" s="37">
        <f t="shared" si="48"/>
        <v>0.53440207036874499</v>
      </c>
      <c r="R405" s="37">
        <v>4.3099999999999999E-2</v>
      </c>
      <c r="S405" s="44" t="s">
        <v>1392</v>
      </c>
      <c r="T405" s="45">
        <v>2.1014979500000002</v>
      </c>
      <c r="U405" s="45">
        <v>-4.6833783299999997E-3</v>
      </c>
      <c r="V405" s="45">
        <v>6.7754224599999996E-3</v>
      </c>
      <c r="W405" s="45">
        <v>4.5349988900000003E-5</v>
      </c>
      <c r="X405" s="45">
        <v>2.2420905400000001E-6</v>
      </c>
      <c r="Y405" s="45">
        <v>-6.2179090299999998E-8</v>
      </c>
      <c r="Z405" s="36">
        <v>3.67</v>
      </c>
      <c r="AA405" s="38">
        <v>454</v>
      </c>
      <c r="AB405" s="38">
        <v>530</v>
      </c>
      <c r="AC405" s="49" t="s">
        <v>506</v>
      </c>
      <c r="AD405" s="49" t="s">
        <v>506</v>
      </c>
      <c r="AE405" s="48" t="s">
        <v>1389</v>
      </c>
    </row>
    <row r="406" spans="1:31" ht="15" thickBot="1">
      <c r="A406" s="34">
        <v>404</v>
      </c>
      <c r="B406" s="34" t="s">
        <v>290</v>
      </c>
      <c r="C406" s="41" t="s">
        <v>1366</v>
      </c>
      <c r="D406" s="34" t="s">
        <v>295</v>
      </c>
      <c r="E406" s="80">
        <f t="shared" si="42"/>
        <v>1.5186000083293734</v>
      </c>
      <c r="F406" s="35">
        <f t="shared" si="43"/>
        <v>69.889826787568836</v>
      </c>
      <c r="G406" s="42" cm="1">
        <f t="array" ref="G40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69.671459623326967</v>
      </c>
      <c r="H406" s="81" cm="1">
        <f t="array" ref="H4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1.5163112769277864</v>
      </c>
      <c r="I406" s="81" cm="1">
        <f t="array" ref="I4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1.5186000083293734</v>
      </c>
      <c r="J406" s="81" cm="1">
        <f t="array" ref="J4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1.5203717900461373</v>
      </c>
      <c r="K406" s="81" cm="1">
        <f t="array" ref="K4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1.5237315272298178</v>
      </c>
      <c r="L406" s="81" cm="1">
        <f t="array" ref="L4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1.5276779680282839</v>
      </c>
      <c r="M406" s="37">
        <f t="shared" si="44"/>
        <v>7.420250302031306E-3</v>
      </c>
      <c r="N406" s="43">
        <f t="shared" si="45"/>
        <v>2.2887314015869187E-3</v>
      </c>
      <c r="O406" s="43">
        <f t="shared" si="46"/>
        <v>3.9464407984661776E-3</v>
      </c>
      <c r="P406" s="43">
        <f t="shared" si="47"/>
        <v>0.30844396191869355</v>
      </c>
      <c r="Q406" s="37">
        <f t="shared" si="48"/>
        <v>0.53184739568499906</v>
      </c>
      <c r="R406" s="37">
        <v>4.7000000000000002E-3</v>
      </c>
      <c r="S406" s="44" t="s">
        <v>1391</v>
      </c>
      <c r="T406" s="45">
        <v>0.11457674599999999</v>
      </c>
      <c r="U406" s="45">
        <v>1.10968918E-2</v>
      </c>
      <c r="V406" s="45">
        <v>0.28780955899999999</v>
      </c>
      <c r="W406" s="45">
        <v>76.972715399999998</v>
      </c>
      <c r="X406" s="45">
        <v>2.3430276999999999E-2</v>
      </c>
      <c r="Y406" s="45">
        <v>4.87585612E-3</v>
      </c>
      <c r="Z406" s="36">
        <v>2.6</v>
      </c>
      <c r="AA406" s="38">
        <v>572</v>
      </c>
      <c r="AB406" s="38">
        <v>696</v>
      </c>
      <c r="AC406" s="49" t="s">
        <v>506</v>
      </c>
      <c r="AD406" s="49" t="s">
        <v>506</v>
      </c>
      <c r="AE406" s="48"/>
    </row>
    <row r="407" spans="1:31" ht="15" thickBot="1">
      <c r="A407" s="34">
        <v>405</v>
      </c>
      <c r="B407" s="34" t="s">
        <v>290</v>
      </c>
      <c r="C407" s="41" t="s">
        <v>1366</v>
      </c>
      <c r="D407" s="34" t="s">
        <v>296</v>
      </c>
      <c r="E407" s="80">
        <f t="shared" si="42"/>
        <v>1.618000010438748</v>
      </c>
      <c r="F407" s="35">
        <f t="shared" si="43"/>
        <v>63.337387928998922</v>
      </c>
      <c r="G407" s="42" cm="1">
        <f t="array" ref="G40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63.060915942782515</v>
      </c>
      <c r="H407" s="81" cm="1">
        <f t="array" ref="H4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1.6150242245933564</v>
      </c>
      <c r="I407" s="81" cm="1">
        <f t="array" ref="I4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1.618000010438748</v>
      </c>
      <c r="J407" s="81" cm="1">
        <f t="array" ref="J4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1.6203276991166644</v>
      </c>
      <c r="K407" s="81" cm="1">
        <f t="array" ref="K4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1.6247814948352477</v>
      </c>
      <c r="L407" s="81" cm="1">
        <f t="array" ref="L4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1.6300612660872968</v>
      </c>
      <c r="M407" s="37">
        <f t="shared" si="44"/>
        <v>9.7572702418913249E-3</v>
      </c>
      <c r="N407" s="43">
        <f t="shared" si="45"/>
        <v>2.9757858453915986E-3</v>
      </c>
      <c r="O407" s="43">
        <f t="shared" si="46"/>
        <v>5.279771252049148E-3</v>
      </c>
      <c r="P407" s="43">
        <f t="shared" si="47"/>
        <v>0.3049813904523751</v>
      </c>
      <c r="Q407" s="37">
        <f t="shared" si="48"/>
        <v>0.54111151184285844</v>
      </c>
      <c r="R407" s="37">
        <v>3.0999999999999999E-3</v>
      </c>
      <c r="S407" s="44" t="s">
        <v>1391</v>
      </c>
      <c r="T407" s="45">
        <v>0.120459741</v>
      </c>
      <c r="U407" s="45">
        <v>4.4302794499999999E-2</v>
      </c>
      <c r="V407" s="45">
        <v>0.30045015200000003</v>
      </c>
      <c r="W407" s="45">
        <v>86.220648999999995</v>
      </c>
      <c r="X407" s="45">
        <v>1.7692278499999999E-2</v>
      </c>
      <c r="Y407" s="45">
        <v>4.1948863399999996E-3</v>
      </c>
      <c r="Z407" s="36">
        <v>3.56</v>
      </c>
      <c r="AA407" s="38">
        <v>620</v>
      </c>
      <c r="AB407" s="38">
        <v>719</v>
      </c>
      <c r="AC407" s="49" t="s">
        <v>506</v>
      </c>
      <c r="AD407" s="39" t="s">
        <v>1371</v>
      </c>
      <c r="AE407" s="48"/>
    </row>
    <row r="408" spans="1:31" ht="15" thickBot="1">
      <c r="A408" s="34">
        <v>406</v>
      </c>
      <c r="B408" s="34" t="s">
        <v>290</v>
      </c>
      <c r="C408" s="41" t="s">
        <v>1366</v>
      </c>
      <c r="D408" s="34" t="s">
        <v>297</v>
      </c>
      <c r="E408" s="80">
        <f t="shared" si="42"/>
        <v>1.603000009667761</v>
      </c>
      <c r="F408" s="35">
        <f t="shared" si="43"/>
        <v>65.438218136145068</v>
      </c>
      <c r="G408" s="42" cm="1">
        <f t="array" ref="G40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65.165875250027042</v>
      </c>
      <c r="H408" s="81" cm="1">
        <f t="array" ref="H4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1.6001833800738221</v>
      </c>
      <c r="I408" s="81" cm="1">
        <f t="array" ref="I4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1.603000009667761</v>
      </c>
      <c r="J408" s="81" cm="1">
        <f t="array" ref="J4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1.6051989115230576</v>
      </c>
      <c r="K408" s="81" cm="1">
        <f t="array" ref="K4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1.6093981788083049</v>
      </c>
      <c r="L408" s="81" cm="1">
        <f t="array" ref="L4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1.6143646491597103</v>
      </c>
      <c r="M408" s="37">
        <f t="shared" si="44"/>
        <v>9.2147987344828319E-3</v>
      </c>
      <c r="N408" s="43">
        <f t="shared" si="45"/>
        <v>2.816629593938913E-3</v>
      </c>
      <c r="O408" s="43">
        <f t="shared" si="46"/>
        <v>4.9664703514054054E-3</v>
      </c>
      <c r="P408" s="43">
        <f t="shared" si="47"/>
        <v>0.30566371280565929</v>
      </c>
      <c r="Q408" s="37">
        <f t="shared" si="48"/>
        <v>0.53896677447987063</v>
      </c>
      <c r="R408" s="37">
        <v>4.3E-3</v>
      </c>
      <c r="S408" s="44" t="s">
        <v>1391</v>
      </c>
      <c r="T408" s="45">
        <v>0.11486252600000001</v>
      </c>
      <c r="U408" s="45">
        <v>6.20276986E-2</v>
      </c>
      <c r="V408" s="45">
        <v>0.27613027800000001</v>
      </c>
      <c r="W408" s="45">
        <v>82.397287199999994</v>
      </c>
      <c r="X408" s="45">
        <v>1.47458503E-2</v>
      </c>
      <c r="Y408" s="45">
        <v>3.7671347299999998E-3</v>
      </c>
      <c r="Z408" s="36">
        <v>3.52</v>
      </c>
      <c r="AA408" s="38">
        <v>603</v>
      </c>
      <c r="AB408" s="38">
        <v>701</v>
      </c>
      <c r="AC408" s="49" t="s">
        <v>506</v>
      </c>
      <c r="AD408" s="39" t="s">
        <v>1371</v>
      </c>
      <c r="AE408" s="48"/>
    </row>
    <row r="409" spans="1:31" ht="15" thickBot="1">
      <c r="A409" s="34">
        <v>407</v>
      </c>
      <c r="B409" s="34" t="s">
        <v>290</v>
      </c>
      <c r="C409" s="41" t="s">
        <v>1366</v>
      </c>
      <c r="D409" s="34" t="s">
        <v>298</v>
      </c>
      <c r="E409" s="80">
        <f t="shared" si="42"/>
        <v>1.5931900085368456</v>
      </c>
      <c r="F409" s="35">
        <f t="shared" si="43"/>
        <v>67.902229293858156</v>
      </c>
      <c r="G409" s="42" cm="1">
        <f t="array" ref="G40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67.541228713054565</v>
      </c>
      <c r="H409" s="81" cm="1">
        <f t="array" ref="H4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1.5905398673085438</v>
      </c>
      <c r="I409" s="81" cm="1">
        <f t="array" ref="I4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1.5931900085368456</v>
      </c>
      <c r="J409" s="81" cm="1">
        <f t="array" ref="J4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1.5952742063843348</v>
      </c>
      <c r="K409" s="81" cm="1">
        <f t="array" ref="K4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1.5992758103652838</v>
      </c>
      <c r="L409" s="81" cm="1">
        <f t="array" ref="L4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1.6040286020325565</v>
      </c>
      <c r="M409" s="37">
        <f t="shared" si="44"/>
        <v>8.7359430567399698E-3</v>
      </c>
      <c r="N409" s="43">
        <f t="shared" si="45"/>
        <v>2.6501412283017611E-3</v>
      </c>
      <c r="O409" s="43">
        <f t="shared" si="46"/>
        <v>4.7527916672727155E-3</v>
      </c>
      <c r="P409" s="43">
        <f t="shared" si="47"/>
        <v>0.30336063446030814</v>
      </c>
      <c r="Q409" s="37">
        <f t="shared" si="48"/>
        <v>0.54405021145436994</v>
      </c>
      <c r="R409" s="37">
        <v>1.35E-2</v>
      </c>
      <c r="S409" s="44" t="s">
        <v>1391</v>
      </c>
      <c r="T409" s="45">
        <v>0.107864082</v>
      </c>
      <c r="U409" s="45">
        <v>5.74402039E-2</v>
      </c>
      <c r="V409" s="45">
        <v>0.27620449600000002</v>
      </c>
      <c r="W409" s="45">
        <v>108.487364</v>
      </c>
      <c r="X409" s="45">
        <v>1.50165453E-2</v>
      </c>
      <c r="Y409" s="45">
        <v>3.75883453E-3</v>
      </c>
      <c r="Z409" s="36">
        <v>4.0999999999999996</v>
      </c>
      <c r="AA409" s="38">
        <v>564</v>
      </c>
      <c r="AB409" s="38">
        <v>639</v>
      </c>
      <c r="AC409" s="49" t="s">
        <v>506</v>
      </c>
      <c r="AD409" s="39" t="s">
        <v>1371</v>
      </c>
      <c r="AE409" s="48"/>
    </row>
    <row r="410" spans="1:31" ht="15" thickBot="1">
      <c r="A410" s="34">
        <v>408</v>
      </c>
      <c r="B410" s="34" t="s">
        <v>290</v>
      </c>
      <c r="C410" s="41" t="s">
        <v>1366</v>
      </c>
      <c r="D410" s="34" t="s">
        <v>299</v>
      </c>
      <c r="E410" s="80">
        <f t="shared" si="42"/>
        <v>1.5934900088275414</v>
      </c>
      <c r="F410" s="35">
        <f t="shared" si="43"/>
        <v>67.000675993586412</v>
      </c>
      <c r="G410" s="42" cm="1">
        <f t="array" ref="G41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66.754440254864775</v>
      </c>
      <c r="H410" s="81" cm="1">
        <f t="array" ref="H4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1.5907713145198965</v>
      </c>
      <c r="I410" s="81" cm="1">
        <f t="array" ref="I4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1.5934900088275414</v>
      </c>
      <c r="J410" s="81" cm="1">
        <f t="array" ref="J4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1.595604303840628</v>
      </c>
      <c r="K410" s="81" cm="1">
        <f t="array" ref="K4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1.5996292849810356</v>
      </c>
      <c r="L410" s="81" cm="1">
        <f t="array" ref="L4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1.6043754647025803</v>
      </c>
      <c r="M410" s="37">
        <f t="shared" si="44"/>
        <v>8.8579704611391197E-3</v>
      </c>
      <c r="N410" s="43">
        <f t="shared" si="45"/>
        <v>2.718694307644931E-3</v>
      </c>
      <c r="O410" s="43">
        <f t="shared" si="46"/>
        <v>4.7461797215446744E-3</v>
      </c>
      <c r="P410" s="43">
        <f t="shared" si="47"/>
        <v>0.30692067890406033</v>
      </c>
      <c r="Q410" s="37">
        <f t="shared" si="48"/>
        <v>0.53580893528226148</v>
      </c>
      <c r="R410" s="37">
        <v>3.8E-3</v>
      </c>
      <c r="S410" s="44" t="s">
        <v>1391</v>
      </c>
      <c r="T410" s="45">
        <v>0.12715167699999999</v>
      </c>
      <c r="U410" s="45">
        <v>4.5536791899999998E-2</v>
      </c>
      <c r="V410" s="45">
        <v>0.28848415199999999</v>
      </c>
      <c r="W410" s="45">
        <v>84.327200500000004</v>
      </c>
      <c r="X410" s="45">
        <v>1.5734758599999999E-2</v>
      </c>
      <c r="Y410" s="45">
        <v>4.0439102800000001E-3</v>
      </c>
      <c r="Z410" s="36">
        <v>3.28</v>
      </c>
      <c r="AA410" s="38">
        <v>497</v>
      </c>
      <c r="AB410" s="38">
        <v>582</v>
      </c>
      <c r="AC410" s="49" t="s">
        <v>506</v>
      </c>
      <c r="AD410" s="39" t="s">
        <v>1371</v>
      </c>
      <c r="AE410" s="48"/>
    </row>
    <row r="411" spans="1:31" ht="15" thickBot="1">
      <c r="A411" s="34">
        <v>409</v>
      </c>
      <c r="B411" s="34" t="s">
        <v>290</v>
      </c>
      <c r="C411" s="41" t="s">
        <v>1366</v>
      </c>
      <c r="D411" s="34" t="s">
        <v>871</v>
      </c>
      <c r="E411" s="80">
        <f t="shared" si="42"/>
        <v>1.6284600126397983</v>
      </c>
      <c r="F411" s="35">
        <f t="shared" si="43"/>
        <v>59.189996643226095</v>
      </c>
      <c r="G411" s="42" cm="1">
        <f t="array" ref="G41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58.825049394317112</v>
      </c>
      <c r="H411" s="81" cm="1">
        <f t="array" ref="H4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1.6252672133664401</v>
      </c>
      <c r="I411" s="81" cm="1">
        <f t="array" ref="I4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1.6284600126397983</v>
      </c>
      <c r="J411" s="81" cm="1">
        <f t="array" ref="J4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1.630987763920217</v>
      </c>
      <c r="K411" s="81" cm="1">
        <f t="array" ref="K4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1.6358848860861719</v>
      </c>
      <c r="L411" s="81" cm="1">
        <f t="array" ref="L4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1.6417865615524008</v>
      </c>
      <c r="M411" s="37">
        <f t="shared" si="44"/>
        <v>1.0617672719731797E-2</v>
      </c>
      <c r="N411" s="43">
        <f t="shared" si="45"/>
        <v>3.1927992733582489E-3</v>
      </c>
      <c r="O411" s="43">
        <f t="shared" si="46"/>
        <v>5.9016754662288839E-3</v>
      </c>
      <c r="P411" s="43">
        <f t="shared" si="47"/>
        <v>0.30070613001894253</v>
      </c>
      <c r="Q411" s="37">
        <f t="shared" si="48"/>
        <v>0.55583512715185301</v>
      </c>
      <c r="R411" s="37">
        <v>1.06E-2</v>
      </c>
      <c r="S411" s="44" t="s">
        <v>1391</v>
      </c>
      <c r="T411" s="45">
        <v>9.3745925800000005E-2</v>
      </c>
      <c r="U411" s="45">
        <v>5.8629161500000004E-3</v>
      </c>
      <c r="V411" s="45">
        <v>0.34301168100000001</v>
      </c>
      <c r="W411" s="45">
        <v>86.295340800000005</v>
      </c>
      <c r="X411" s="45">
        <v>4.9337024200000003E-2</v>
      </c>
      <c r="Y411" s="45">
        <v>5.5691252400000002E-3</v>
      </c>
      <c r="Z411" s="36">
        <v>4.05</v>
      </c>
      <c r="AA411" s="38">
        <v>587</v>
      </c>
      <c r="AB411" s="38">
        <v>661</v>
      </c>
      <c r="AC411" s="49" t="s">
        <v>506</v>
      </c>
      <c r="AD411" s="39" t="s">
        <v>1371</v>
      </c>
      <c r="AE411" s="48"/>
    </row>
    <row r="412" spans="1:31" ht="15" thickBot="1">
      <c r="A412" s="34">
        <v>410</v>
      </c>
      <c r="B412" s="34" t="s">
        <v>290</v>
      </c>
      <c r="C412" s="41" t="s">
        <v>1355</v>
      </c>
      <c r="D412" s="34" t="s">
        <v>300</v>
      </c>
      <c r="E412" s="80">
        <f t="shared" si="42"/>
        <v>1.5168000088295708</v>
      </c>
      <c r="F412" s="35">
        <f t="shared" si="43"/>
        <v>64.12939048830043</v>
      </c>
      <c r="G412" s="42" cm="1">
        <f t="array" ref="G41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63.912994995531449</v>
      </c>
      <c r="H412" s="81" cm="1">
        <f t="array" ref="H4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1.5143236723208655</v>
      </c>
      <c r="I412" s="81" cm="1">
        <f t="array" ref="I4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1.5168000088295708</v>
      </c>
      <c r="J412" s="81" cm="1">
        <f t="array" ref="J4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1.5187231419565137</v>
      </c>
      <c r="K412" s="81" cm="1">
        <f t="array" ref="K4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1.5223823799570133</v>
      </c>
      <c r="L412" s="81" cm="1">
        <f t="array" ref="L4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1.5266992025424626</v>
      </c>
      <c r="M412" s="37">
        <f t="shared" si="44"/>
        <v>8.0587076361477994E-3</v>
      </c>
      <c r="N412" s="43">
        <f t="shared" si="45"/>
        <v>2.476336508705268E-3</v>
      </c>
      <c r="O412" s="43">
        <f t="shared" si="46"/>
        <v>4.3168225854492981E-3</v>
      </c>
      <c r="P412" s="43">
        <f t="shared" si="47"/>
        <v>0.30728705153634278</v>
      </c>
      <c r="Q412" s="37">
        <f t="shared" si="48"/>
        <v>0.53567181989404111</v>
      </c>
      <c r="R412" s="37">
        <v>-1E-3</v>
      </c>
      <c r="S412" s="44" t="s">
        <v>1391</v>
      </c>
      <c r="T412" s="45">
        <v>0.13213119200000001</v>
      </c>
      <c r="U412" s="45">
        <v>3.4869720700000002E-2</v>
      </c>
      <c r="V412" s="45">
        <v>0.26275405099999999</v>
      </c>
      <c r="W412" s="45">
        <v>85.214789800000005</v>
      </c>
      <c r="X412" s="45">
        <v>1.8358495900000001E-2</v>
      </c>
      <c r="Y412" s="45">
        <v>4.3992977299999996E-3</v>
      </c>
      <c r="Z412" s="36">
        <v>2.5099999999999998</v>
      </c>
      <c r="AA412" s="38">
        <v>550</v>
      </c>
      <c r="AB412" s="38">
        <v>715</v>
      </c>
      <c r="AC412" s="49" t="s">
        <v>506</v>
      </c>
      <c r="AD412" s="39" t="s">
        <v>1371</v>
      </c>
      <c r="AE412" s="48"/>
    </row>
    <row r="413" spans="1:31" ht="15" thickBot="1">
      <c r="A413" s="34">
        <v>411</v>
      </c>
      <c r="B413" s="34" t="s">
        <v>290</v>
      </c>
      <c r="C413" s="41" t="s">
        <v>1355</v>
      </c>
      <c r="D413" s="34" t="s">
        <v>301</v>
      </c>
      <c r="E413" s="80">
        <f t="shared" si="42"/>
        <v>1.5725000109159981</v>
      </c>
      <c r="F413" s="35">
        <f t="shared" si="43"/>
        <v>57.28726091863431</v>
      </c>
      <c r="G413" s="42" cm="1">
        <f t="array" ref="G41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57.007034741259858</v>
      </c>
      <c r="H413" s="81" cm="1">
        <f t="array" ref="H4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1.5694717230627317</v>
      </c>
      <c r="I413" s="81" cm="1">
        <f t="array" ref="I4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1.5725000109159981</v>
      </c>
      <c r="J413" s="81" cm="1">
        <f t="array" ref="J4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1.5748822630294095</v>
      </c>
      <c r="K413" s="81" cm="1">
        <f t="array" ref="K4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1.5794652190291234</v>
      </c>
      <c r="L413" s="81" cm="1">
        <f t="array" ref="L4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1.584932659383504</v>
      </c>
      <c r="M413" s="37">
        <f t="shared" si="44"/>
        <v>9.9934959663916523E-3</v>
      </c>
      <c r="N413" s="43">
        <f t="shared" si="45"/>
        <v>3.0282878532663648E-3</v>
      </c>
      <c r="O413" s="43">
        <f t="shared" si="46"/>
        <v>5.467440354380626E-3</v>
      </c>
      <c r="P413" s="43">
        <f t="shared" si="47"/>
        <v>0.30302587437374906</v>
      </c>
      <c r="Q413" s="37">
        <f t="shared" si="48"/>
        <v>0.5470998710328947</v>
      </c>
      <c r="R413" s="37">
        <v>-1.1000000000000001E-3</v>
      </c>
      <c r="S413" s="44" t="s">
        <v>1391</v>
      </c>
      <c r="T413" s="45">
        <v>0.125334798</v>
      </c>
      <c r="U413" s="45">
        <v>2.3695012599999999E-2</v>
      </c>
      <c r="V413" s="45">
        <v>0.29953848599999999</v>
      </c>
      <c r="W413" s="45">
        <v>98.378334300000006</v>
      </c>
      <c r="X413" s="45">
        <v>2.5118797700000001E-2</v>
      </c>
      <c r="Y413" s="45">
        <v>5.2451644300000001E-3</v>
      </c>
      <c r="Z413" s="36">
        <v>3.17</v>
      </c>
      <c r="AA413" s="38">
        <v>599</v>
      </c>
      <c r="AB413" s="38">
        <v>757</v>
      </c>
      <c r="AC413" s="49" t="s">
        <v>506</v>
      </c>
      <c r="AD413" s="49" t="s">
        <v>506</v>
      </c>
      <c r="AE413" s="48"/>
    </row>
    <row r="414" spans="1:31" ht="15" thickBot="1">
      <c r="A414" s="34">
        <v>412</v>
      </c>
      <c r="B414" s="34" t="s">
        <v>290</v>
      </c>
      <c r="C414" s="41" t="s">
        <v>1355</v>
      </c>
      <c r="D414" s="34" t="s">
        <v>302</v>
      </c>
      <c r="E414" s="80">
        <f t="shared" si="42"/>
        <v>1.5399600092986632</v>
      </c>
      <c r="F414" s="35">
        <f t="shared" si="43"/>
        <v>59.517832583491909</v>
      </c>
      <c r="G414" s="42" cm="1">
        <f t="array" ref="G41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59.251484037920953</v>
      </c>
      <c r="H414" s="81" cm="1">
        <f t="array" ref="H4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1.5371996648198709</v>
      </c>
      <c r="I414" s="81" cm="1">
        <f t="array" ref="I4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1.5399600092986632</v>
      </c>
      <c r="J414" s="81" cm="1">
        <f t="array" ref="J4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1.5421234409271749</v>
      </c>
      <c r="K414" s="81" cm="1">
        <f t="array" ref="K4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1.5462719039431825</v>
      </c>
      <c r="L414" s="81" cm="1">
        <f t="array" ref="L4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1.5512041879562777</v>
      </c>
      <c r="M414" s="37">
        <f t="shared" si="44"/>
        <v>9.0722391233115651E-3</v>
      </c>
      <c r="N414" s="43">
        <f t="shared" si="45"/>
        <v>2.7603444787922538E-3</v>
      </c>
      <c r="O414" s="43">
        <f t="shared" si="46"/>
        <v>4.9322840130952006E-3</v>
      </c>
      <c r="P414" s="43">
        <f t="shared" si="47"/>
        <v>0.30426275600467945</v>
      </c>
      <c r="Q414" s="37">
        <f t="shared" si="48"/>
        <v>0.54366777000194522</v>
      </c>
      <c r="R414" s="37">
        <v>-8.0000000000000004E-4</v>
      </c>
      <c r="S414" s="44" t="s">
        <v>1391</v>
      </c>
      <c r="T414" s="45">
        <v>0.122545246</v>
      </c>
      <c r="U414" s="45">
        <v>1.7991170500000001E-2</v>
      </c>
      <c r="V414" s="45">
        <v>0.29019525099999999</v>
      </c>
      <c r="W414" s="45">
        <v>92.402280399999995</v>
      </c>
      <c r="X414" s="45">
        <v>2.5965850799999999E-2</v>
      </c>
      <c r="Y414" s="45">
        <v>5.3212192500000002E-3</v>
      </c>
      <c r="Z414" s="36">
        <v>2.84</v>
      </c>
      <c r="AA414" s="38">
        <v>559</v>
      </c>
      <c r="AB414" s="38">
        <v>738</v>
      </c>
      <c r="AC414" s="49" t="s">
        <v>506</v>
      </c>
      <c r="AD414" s="49" t="s">
        <v>506</v>
      </c>
      <c r="AE414" s="48"/>
    </row>
    <row r="415" spans="1:31" ht="15" thickBot="1">
      <c r="A415" s="34">
        <v>413</v>
      </c>
      <c r="B415" s="34" t="s">
        <v>290</v>
      </c>
      <c r="C415" s="41" t="s">
        <v>1355</v>
      </c>
      <c r="D415" s="34" t="s">
        <v>303</v>
      </c>
      <c r="E415" s="80">
        <f t="shared" si="42"/>
        <v>1.5688300118267713</v>
      </c>
      <c r="F415" s="35">
        <f t="shared" si="43"/>
        <v>55.998652828190529</v>
      </c>
      <c r="G415" s="42" cm="1">
        <f t="array" ref="G41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55.728127439987382</v>
      </c>
      <c r="H415" s="81" cm="1">
        <f t="array" ref="H4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1.565751603422024</v>
      </c>
      <c r="I415" s="81" cm="1">
        <f t="array" ref="I4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1.5688300118267713</v>
      </c>
      <c r="J415" s="81" cm="1">
        <f t="array" ref="J4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1.5712503332494272</v>
      </c>
      <c r="K415" s="81" cm="1">
        <f t="array" ref="K4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1.5759095265701397</v>
      </c>
      <c r="L415" s="81" cm="1">
        <f t="array" ref="L4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1.5814815231288051</v>
      </c>
      <c r="M415" s="37">
        <f t="shared" si="44"/>
        <v>1.01579231481157E-2</v>
      </c>
      <c r="N415" s="43">
        <f t="shared" si="45"/>
        <v>3.0784084047472682E-3</v>
      </c>
      <c r="O415" s="43">
        <f t="shared" si="46"/>
        <v>5.5719965586653597E-3</v>
      </c>
      <c r="P415" s="43">
        <f t="shared" si="47"/>
        <v>0.30305490205626479</v>
      </c>
      <c r="Q415" s="37">
        <f t="shared" si="48"/>
        <v>0.54853698708076648</v>
      </c>
      <c r="R415" s="37">
        <v>-2E-3</v>
      </c>
      <c r="S415" s="44" t="s">
        <v>1391</v>
      </c>
      <c r="T415" s="45">
        <v>0.13202513099999999</v>
      </c>
      <c r="U415" s="45">
        <v>1.03988255E-2</v>
      </c>
      <c r="V415" s="45">
        <v>0.31107052800000001</v>
      </c>
      <c r="W415" s="45">
        <v>94.790468700000005</v>
      </c>
      <c r="X415" s="45">
        <v>3.68050059E-2</v>
      </c>
      <c r="Y415" s="45">
        <v>5.7959784400000002E-3</v>
      </c>
      <c r="Z415" s="36">
        <v>2.84</v>
      </c>
      <c r="AA415" s="38">
        <v>580</v>
      </c>
      <c r="AB415" s="38">
        <v>725</v>
      </c>
      <c r="AC415" s="49" t="s">
        <v>506</v>
      </c>
      <c r="AD415" s="49" t="s">
        <v>506</v>
      </c>
      <c r="AE415" s="48"/>
    </row>
    <row r="416" spans="1:31" ht="15" thickBot="1">
      <c r="A416" s="34">
        <v>414</v>
      </c>
      <c r="B416" s="34" t="s">
        <v>290</v>
      </c>
      <c r="C416" s="41" t="s">
        <v>1355</v>
      </c>
      <c r="D416" s="34" t="s">
        <v>304</v>
      </c>
      <c r="E416" s="80">
        <f t="shared" si="42"/>
        <v>1.5182300094275052</v>
      </c>
      <c r="F416" s="35">
        <f t="shared" si="43"/>
        <v>58.818519967751499</v>
      </c>
      <c r="G416" s="42" cm="1">
        <f t="array" ref="G41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58.551000204868373</v>
      </c>
      <c r="H416" s="81" cm="1">
        <f t="array" ref="H4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1.5155511121095033</v>
      </c>
      <c r="I416" s="81" cm="1">
        <f t="array" ref="I4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1.5182300094275052</v>
      </c>
      <c r="J416" s="81" cm="1">
        <f t="array" ref="J4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1.5203304072061405</v>
      </c>
      <c r="K416" s="81" cm="1">
        <f t="array" ref="K4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1.5243617725904477</v>
      </c>
      <c r="L416" s="81" cm="1">
        <f t="array" ref="L4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1.5291634869490138</v>
      </c>
      <c r="M416" s="37">
        <f t="shared" si="44"/>
        <v>8.8106604809443656E-3</v>
      </c>
      <c r="N416" s="43">
        <f t="shared" si="45"/>
        <v>2.6788973180018605E-3</v>
      </c>
      <c r="O416" s="43">
        <f t="shared" si="46"/>
        <v>4.8017143585661337E-3</v>
      </c>
      <c r="P416" s="43">
        <f t="shared" si="47"/>
        <v>0.30405181584238328</v>
      </c>
      <c r="Q416" s="37">
        <f t="shared" si="48"/>
        <v>0.54498914910536478</v>
      </c>
      <c r="R416" s="37">
        <v>-8.0000000000000004E-4</v>
      </c>
      <c r="S416" s="44" t="s">
        <v>1391</v>
      </c>
      <c r="T416" s="45">
        <v>0.13178662599999999</v>
      </c>
      <c r="U416" s="45">
        <v>1.83036821E-2</v>
      </c>
      <c r="V416" s="45">
        <v>0.27939739600000002</v>
      </c>
      <c r="W416" s="45">
        <v>98.667862400000004</v>
      </c>
      <c r="X416" s="45">
        <v>2.7484570900000001E-2</v>
      </c>
      <c r="Y416" s="45">
        <v>5.2540910099999998E-3</v>
      </c>
      <c r="Z416" s="36">
        <v>2.5</v>
      </c>
      <c r="AA416" s="38">
        <v>508</v>
      </c>
      <c r="AB416" s="38">
        <v>683</v>
      </c>
      <c r="AC416" s="49" t="s">
        <v>506</v>
      </c>
      <c r="AD416" s="49" t="s">
        <v>506</v>
      </c>
      <c r="AE416" s="48"/>
    </row>
    <row r="417" spans="1:31" ht="15" thickBot="1">
      <c r="A417" s="34">
        <v>415</v>
      </c>
      <c r="B417" s="34" t="s">
        <v>290</v>
      </c>
      <c r="C417" s="41" t="s">
        <v>1355</v>
      </c>
      <c r="D417" s="34" t="s">
        <v>305</v>
      </c>
      <c r="E417" s="80">
        <f t="shared" si="42"/>
        <v>1.5224900104128292</v>
      </c>
      <c r="F417" s="35">
        <f t="shared" si="43"/>
        <v>59.209317328126659</v>
      </c>
      <c r="G417" s="42" cm="1">
        <f t="array" ref="G41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58.94829364013242</v>
      </c>
      <c r="H417" s="81" cm="1">
        <f t="array" ref="H4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1.5198037225825283</v>
      </c>
      <c r="I417" s="81" cm="1">
        <f t="array" ref="I4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1.5224900104128292</v>
      </c>
      <c r="J417" s="81" cm="1">
        <f t="array" ref="J4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1.5245939482456272</v>
      </c>
      <c r="K417" s="81" cm="1">
        <f t="array" ref="K4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1.5286281784957301</v>
      </c>
      <c r="L417" s="81" cm="1">
        <f t="array" ref="L4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1.5334287744624238</v>
      </c>
      <c r="M417" s="37">
        <f t="shared" si="44"/>
        <v>8.8244559132018008E-3</v>
      </c>
      <c r="N417" s="43">
        <f t="shared" si="45"/>
        <v>2.686287830300893E-3</v>
      </c>
      <c r="O417" s="43">
        <f t="shared" si="46"/>
        <v>4.8005959666936882E-3</v>
      </c>
      <c r="P417" s="43">
        <f t="shared" si="47"/>
        <v>0.30441398956756982</v>
      </c>
      <c r="Q417" s="37">
        <f t="shared" si="48"/>
        <v>0.54401041989589083</v>
      </c>
      <c r="R417" s="37">
        <v>-1E-3</v>
      </c>
      <c r="S417" s="44" t="s">
        <v>1391</v>
      </c>
      <c r="T417" s="45">
        <v>0.136005021</v>
      </c>
      <c r="U417" s="45">
        <v>1.00006529E-2</v>
      </c>
      <c r="V417" s="45">
        <v>0.28981023500000003</v>
      </c>
      <c r="W417" s="45">
        <v>99.563972199999995</v>
      </c>
      <c r="X417" s="45">
        <v>3.3364062100000001E-2</v>
      </c>
      <c r="Y417" s="45">
        <v>5.6506022899999999E-3</v>
      </c>
      <c r="Z417" s="36">
        <v>2.52</v>
      </c>
      <c r="AA417" s="38">
        <v>563</v>
      </c>
      <c r="AB417" s="38">
        <v>735</v>
      </c>
      <c r="AC417" s="49" t="s">
        <v>506</v>
      </c>
      <c r="AD417" s="49" t="s">
        <v>506</v>
      </c>
      <c r="AE417" s="48"/>
    </row>
    <row r="418" spans="1:31" ht="15" thickBot="1">
      <c r="A418" s="34">
        <v>416</v>
      </c>
      <c r="B418" s="34" t="s">
        <v>290</v>
      </c>
      <c r="C418" s="41" t="s">
        <v>1359</v>
      </c>
      <c r="D418" s="34" t="s">
        <v>306</v>
      </c>
      <c r="E418" s="80">
        <f t="shared" si="42"/>
        <v>1.6126600153874555</v>
      </c>
      <c r="F418" s="35">
        <f t="shared" si="43"/>
        <v>44.46374608901629</v>
      </c>
      <c r="G418" s="42" cm="1">
        <f t="array" ref="G41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44.217653932183751</v>
      </c>
      <c r="H418" s="81" cm="1">
        <f t="array" ref="H4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1.6085323532525535</v>
      </c>
      <c r="I418" s="81" cm="1">
        <f t="array" ref="I4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1.6126600153874555</v>
      </c>
      <c r="J418" s="81" cm="1">
        <f t="array" ref="J4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1.6159334653131239</v>
      </c>
      <c r="K418" s="81" cm="1">
        <f t="array" ref="K4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1.6223112196161953</v>
      </c>
      <c r="L418" s="81" cm="1">
        <f t="array" ref="L4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1.630084458876446</v>
      </c>
      <c r="M418" s="37">
        <f t="shared" si="44"/>
        <v>1.3778866363641784E-2</v>
      </c>
      <c r="N418" s="43">
        <f t="shared" si="45"/>
        <v>4.1276621349020104E-3</v>
      </c>
      <c r="O418" s="43">
        <f t="shared" si="46"/>
        <v>7.7732392602507527E-3</v>
      </c>
      <c r="P418" s="43">
        <f t="shared" si="47"/>
        <v>0.29956471207193425</v>
      </c>
      <c r="Q418" s="37">
        <f t="shared" si="48"/>
        <v>0.56414214748188241</v>
      </c>
      <c r="R418" s="37">
        <v>-5.7999999999999996E-3</v>
      </c>
      <c r="S418" s="44" t="s">
        <v>1391</v>
      </c>
      <c r="T418" s="45">
        <v>0.11285255700000001</v>
      </c>
      <c r="U418" s="45">
        <v>1.6309131500000001E-2</v>
      </c>
      <c r="V418" s="45">
        <v>0.32382716099999997</v>
      </c>
      <c r="W418" s="45">
        <v>64.482883900000004</v>
      </c>
      <c r="X418" s="45">
        <v>4.4717963700000002E-2</v>
      </c>
      <c r="Y418" s="45">
        <v>6.2448633500000001E-3</v>
      </c>
      <c r="Z418" s="36">
        <v>2.8</v>
      </c>
      <c r="AA418" s="38">
        <v>548</v>
      </c>
      <c r="AB418" s="38">
        <v>679</v>
      </c>
      <c r="AC418" s="49" t="s">
        <v>506</v>
      </c>
      <c r="AD418" s="39" t="s">
        <v>1371</v>
      </c>
      <c r="AE418" s="48"/>
    </row>
    <row r="419" spans="1:31" ht="15" thickBot="1">
      <c r="A419" s="34">
        <v>417</v>
      </c>
      <c r="B419" s="34" t="s">
        <v>290</v>
      </c>
      <c r="C419" s="41" t="s">
        <v>1359</v>
      </c>
      <c r="D419" s="34" t="s">
        <v>307</v>
      </c>
      <c r="E419" s="80">
        <f t="shared" si="42"/>
        <v>1.5529810106359021</v>
      </c>
      <c r="F419" s="35">
        <f t="shared" si="43"/>
        <v>55.077322250992687</v>
      </c>
      <c r="G419" s="42" cm="1">
        <f t="array" ref="G41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54.854359873958195</v>
      </c>
      <c r="H419" s="81" cm="1">
        <f t="array" ref="H4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1.54992244752185</v>
      </c>
      <c r="I419" s="81" cm="1">
        <f t="array" ref="I4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1.5529810106359021</v>
      </c>
      <c r="J419" s="81" cm="1">
        <f t="array" ref="J4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1.5553736906857552</v>
      </c>
      <c r="K419" s="81" cm="1">
        <f t="array" ref="K4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1.5599625327699294</v>
      </c>
      <c r="L419" s="81" cm="1">
        <f t="array" ref="L4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1.5654319050984533</v>
      </c>
      <c r="M419" s="37">
        <f t="shared" si="44"/>
        <v>1.0040085248079311E-2</v>
      </c>
      <c r="N419" s="43">
        <f t="shared" si="45"/>
        <v>3.0585631140520597E-3</v>
      </c>
      <c r="O419" s="43">
        <f t="shared" si="46"/>
        <v>5.4693723285239582E-3</v>
      </c>
      <c r="P419" s="43">
        <f t="shared" si="47"/>
        <v>0.3046351737538453</v>
      </c>
      <c r="Q419" s="37">
        <f t="shared" si="48"/>
        <v>0.54475357463426521</v>
      </c>
      <c r="R419" s="37">
        <v>-7.3000000000000001E-3</v>
      </c>
      <c r="S419" s="44" t="s">
        <v>1391</v>
      </c>
      <c r="T419" s="45">
        <v>0.11030909899999999</v>
      </c>
      <c r="U419" s="45">
        <v>3.47235922E-2</v>
      </c>
      <c r="V419" s="45">
        <v>0.27939196199999999</v>
      </c>
      <c r="W419" s="45">
        <v>65.9547831</v>
      </c>
      <c r="X419" s="45">
        <v>2.4015265500000001E-2</v>
      </c>
      <c r="Y419" s="45">
        <v>4.7124416099999997E-3</v>
      </c>
      <c r="Z419" s="36">
        <v>2.62</v>
      </c>
      <c r="AA419" s="38">
        <v>544</v>
      </c>
      <c r="AB419" s="38">
        <v>691</v>
      </c>
      <c r="AC419" s="49" t="s">
        <v>506</v>
      </c>
      <c r="AD419" s="49" t="s">
        <v>506</v>
      </c>
      <c r="AE419" s="48"/>
    </row>
    <row r="420" spans="1:31" ht="15" thickBot="1">
      <c r="A420" s="34">
        <v>418</v>
      </c>
      <c r="B420" s="34" t="s">
        <v>290</v>
      </c>
      <c r="C420" s="41" t="s">
        <v>1359</v>
      </c>
      <c r="D420" s="34" t="s">
        <v>308</v>
      </c>
      <c r="E420" s="80">
        <f t="shared" si="42"/>
        <v>1.6837600191683781</v>
      </c>
      <c r="F420" s="35">
        <f t="shared" si="43"/>
        <v>37.647562084298144</v>
      </c>
      <c r="G420" s="42" cm="1">
        <f t="array" ref="G42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37.398355949956809</v>
      </c>
      <c r="H420" s="81" cm="1">
        <f t="array" ref="H4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1.6783968405081533</v>
      </c>
      <c r="I420" s="81" cm="1">
        <f t="array" ref="I4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1.6837600191683781</v>
      </c>
      <c r="J420" s="81" cm="1">
        <f t="array" ref="J4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1.6880661884723847</v>
      </c>
      <c r="K420" s="81" cm="1">
        <f t="array" ref="K4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1.6965589732283901</v>
      </c>
      <c r="L420" s="81" cm="1">
        <f t="array" ref="L4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1.7070629991058288</v>
      </c>
      <c r="M420" s="37">
        <f t="shared" si="44"/>
        <v>1.8162132720236812E-2</v>
      </c>
      <c r="N420" s="43">
        <f t="shared" si="45"/>
        <v>5.3631786602248432E-3</v>
      </c>
      <c r="O420" s="43">
        <f t="shared" si="46"/>
        <v>1.0504025877438705E-2</v>
      </c>
      <c r="P420" s="43">
        <f t="shared" si="47"/>
        <v>0.29529454182707426</v>
      </c>
      <c r="Q420" s="37">
        <f t="shared" si="48"/>
        <v>0.57834760042992051</v>
      </c>
      <c r="R420" s="37">
        <v>-3.0000000000000001E-3</v>
      </c>
      <c r="S420" s="44" t="s">
        <v>1391</v>
      </c>
      <c r="T420" s="45">
        <v>0.13615174399999999</v>
      </c>
      <c r="U420" s="45">
        <v>2.5891037200000001E-2</v>
      </c>
      <c r="V420" s="45">
        <v>0.34368911800000002</v>
      </c>
      <c r="W420" s="45">
        <v>88.234457500000005</v>
      </c>
      <c r="X420" s="45">
        <v>4.4752658700000003E-2</v>
      </c>
      <c r="Y420" s="45">
        <v>6.5325977499999998E-3</v>
      </c>
      <c r="Z420" s="36">
        <v>3.13</v>
      </c>
      <c r="AA420" s="38">
        <v>539</v>
      </c>
      <c r="AB420" s="38">
        <v>681</v>
      </c>
      <c r="AC420" s="49" t="s">
        <v>506</v>
      </c>
      <c r="AD420" s="39" t="s">
        <v>1371</v>
      </c>
      <c r="AE420" s="48"/>
    </row>
    <row r="421" spans="1:31" ht="15" thickBot="1">
      <c r="A421" s="34">
        <v>419</v>
      </c>
      <c r="B421" s="34" t="s">
        <v>290</v>
      </c>
      <c r="C421" s="41" t="s">
        <v>1359</v>
      </c>
      <c r="D421" s="34" t="s">
        <v>309</v>
      </c>
      <c r="E421" s="80">
        <f t="shared" si="42"/>
        <v>1.7321100171674662</v>
      </c>
      <c r="F421" s="35">
        <f t="shared" si="43"/>
        <v>46.184875069642452</v>
      </c>
      <c r="G421" s="42" cm="1">
        <f t="array" ref="G42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45.933018387272767</v>
      </c>
      <c r="H421" s="81" cm="1">
        <f t="array" ref="H4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1.727358070444877</v>
      </c>
      <c r="I421" s="81" cm="1">
        <f t="array" ref="I4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1.7321100171674662</v>
      </c>
      <c r="J421" s="81" cm="1">
        <f t="array" ref="J4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1.7358829048415483</v>
      </c>
      <c r="K421" s="81" cm="1">
        <f t="array" ref="K4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1.743209797142492</v>
      </c>
      <c r="L421" s="81" cm="1">
        <f t="array" ref="L4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1.7520518138272094</v>
      </c>
      <c r="M421" s="37">
        <f t="shared" si="44"/>
        <v>1.5851726697615032E-2</v>
      </c>
      <c r="N421" s="43">
        <f t="shared" si="45"/>
        <v>4.7519467225891621E-3</v>
      </c>
      <c r="O421" s="43">
        <f t="shared" si="46"/>
        <v>8.842016684717402E-3</v>
      </c>
      <c r="P421" s="43">
        <f t="shared" si="47"/>
        <v>0.29977470677084755</v>
      </c>
      <c r="Q421" s="37">
        <f t="shared" si="48"/>
        <v>0.55779517609571994</v>
      </c>
      <c r="R421" s="37">
        <v>-9.1000000000000004E-3</v>
      </c>
      <c r="S421" s="44" t="s">
        <v>1391</v>
      </c>
      <c r="T421" s="45">
        <v>0.134679629</v>
      </c>
      <c r="U421" s="45">
        <v>5.8565367700000003E-2</v>
      </c>
      <c r="V421" s="45">
        <v>0.33289204100000003</v>
      </c>
      <c r="W421" s="45">
        <v>95.257148000000001</v>
      </c>
      <c r="X421" s="45">
        <v>2.3530696800000001E-2</v>
      </c>
      <c r="Y421" s="45">
        <v>4.8802223900000002E-3</v>
      </c>
      <c r="Z421" s="36">
        <v>4.07</v>
      </c>
      <c r="AA421" s="38">
        <v>508</v>
      </c>
      <c r="AB421" s="38">
        <v>631</v>
      </c>
      <c r="AC421" s="49" t="s">
        <v>506</v>
      </c>
      <c r="AD421" s="49" t="s">
        <v>506</v>
      </c>
      <c r="AE421" s="48"/>
    </row>
    <row r="422" spans="1:31" ht="15" thickBot="1">
      <c r="A422" s="34">
        <v>420</v>
      </c>
      <c r="B422" s="34" t="s">
        <v>290</v>
      </c>
      <c r="C422" s="41" t="s">
        <v>1359</v>
      </c>
      <c r="D422" s="34" t="s">
        <v>872</v>
      </c>
      <c r="E422" s="80">
        <f t="shared" si="42"/>
        <v>1.7380000255883943</v>
      </c>
      <c r="F422" s="35">
        <f t="shared" si="43"/>
        <v>32.265368812074747</v>
      </c>
      <c r="G422" s="42" cm="1">
        <f t="array" ref="G42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32.041961284850458</v>
      </c>
      <c r="H422" s="81" cm="1">
        <f t="array" ref="H4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1.7313063751822662</v>
      </c>
      <c r="I422" s="81" cm="1">
        <f t="array" ref="I4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1.7380000255883943</v>
      </c>
      <c r="J422" s="81" cm="1">
        <f t="array" ref="J4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1.7434125715058837</v>
      </c>
      <c r="K422" s="81" cm="1">
        <f t="array" ref="K4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1.7541791968098996</v>
      </c>
      <c r="L422" s="81" cm="1">
        <f t="array" ref="L4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1.7676644821232428</v>
      </c>
      <c r="M422" s="37">
        <f t="shared" si="44"/>
        <v>2.2872821627633488E-2</v>
      </c>
      <c r="N422" s="43">
        <f t="shared" si="45"/>
        <v>6.6936504061281266E-3</v>
      </c>
      <c r="O422" s="43">
        <f t="shared" si="46"/>
        <v>1.3485285313343143E-2</v>
      </c>
      <c r="P422" s="43">
        <f t="shared" si="47"/>
        <v>0.29264646553450513</v>
      </c>
      <c r="Q422" s="37">
        <f t="shared" si="48"/>
        <v>0.58957681447797761</v>
      </c>
      <c r="R422" s="37">
        <v>-5.9999999999999995E-4</v>
      </c>
      <c r="S422" s="44" t="s">
        <v>1391</v>
      </c>
      <c r="T422" s="45">
        <v>0.147480163</v>
      </c>
      <c r="U422" s="45">
        <v>2.7408200600000002E-2</v>
      </c>
      <c r="V422" s="45">
        <v>0.36307365400000002</v>
      </c>
      <c r="W422" s="45">
        <v>91.4659513</v>
      </c>
      <c r="X422" s="45">
        <v>5.0059016499999998E-2</v>
      </c>
      <c r="Y422" s="45">
        <v>7.3478795200000004E-3</v>
      </c>
      <c r="Z422" s="36">
        <v>3.19</v>
      </c>
      <c r="AA422" s="38">
        <v>517</v>
      </c>
      <c r="AB422" s="38">
        <v>636</v>
      </c>
      <c r="AC422" s="49" t="s">
        <v>506</v>
      </c>
      <c r="AD422" s="39" t="s">
        <v>1371</v>
      </c>
      <c r="AE422" s="48"/>
    </row>
    <row r="423" spans="1:31" ht="15" thickBot="1">
      <c r="A423" s="34">
        <v>421</v>
      </c>
      <c r="B423" s="34" t="s">
        <v>290</v>
      </c>
      <c r="C423" s="41" t="s">
        <v>1359</v>
      </c>
      <c r="D423" s="34" t="s">
        <v>1144</v>
      </c>
      <c r="E423" s="80">
        <f t="shared" si="42"/>
        <v>1.7888000303544662</v>
      </c>
      <c r="F423" s="35">
        <f t="shared" si="43"/>
        <v>28.422156544907949</v>
      </c>
      <c r="G423" s="42" cm="1">
        <f t="array" ref="G42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28.215222072825767</v>
      </c>
      <c r="H423" s="81" cm="1">
        <f t="array" ref="H4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1.7807516954066911</v>
      </c>
      <c r="I423" s="81" cm="1">
        <f t="array" ref="I4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1.7888000303544662</v>
      </c>
      <c r="J423" s="81" cm="1">
        <f t="array" ref="J4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1.7953552414096805</v>
      </c>
      <c r="K423" s="81" cm="1">
        <f t="array" ref="K4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1.8085046925836694</v>
      </c>
      <c r="L423" s="81" cm="1">
        <f t="array" ref="L4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1.82517326175279</v>
      </c>
      <c r="M423" s="37">
        <f t="shared" si="44"/>
        <v>2.7752997176978322E-2</v>
      </c>
      <c r="N423" s="43">
        <f t="shared" si="45"/>
        <v>8.0483349477751265E-3</v>
      </c>
      <c r="O423" s="43">
        <f t="shared" si="46"/>
        <v>1.6668569169120628E-2</v>
      </c>
      <c r="P423" s="43">
        <f t="shared" si="47"/>
        <v>0.2899987664918362</v>
      </c>
      <c r="Q423" s="37">
        <f t="shared" si="48"/>
        <v>0.60060429015384131</v>
      </c>
      <c r="R423" s="37">
        <v>3.8999999999999998E-3</v>
      </c>
      <c r="S423" s="44" t="s">
        <v>1391</v>
      </c>
      <c r="T423" s="45">
        <v>0.12742625899999999</v>
      </c>
      <c r="U423" s="45">
        <v>2.9771068599999999E-2</v>
      </c>
      <c r="V423" s="45">
        <v>0.37928447399999998</v>
      </c>
      <c r="W423" s="45">
        <v>83.394049899999999</v>
      </c>
      <c r="X423" s="45">
        <v>5.3905217499999998E-2</v>
      </c>
      <c r="Y423" s="45">
        <v>8.0200870600000002E-3</v>
      </c>
      <c r="Z423" s="36">
        <v>3.33</v>
      </c>
      <c r="AA423" s="38">
        <v>562</v>
      </c>
      <c r="AB423" s="38">
        <v>679</v>
      </c>
      <c r="AC423" s="49" t="s">
        <v>506</v>
      </c>
      <c r="AD423" s="39" t="s">
        <v>1371</v>
      </c>
      <c r="AE423" s="48"/>
    </row>
    <row r="424" spans="1:31" ht="15" thickBot="1">
      <c r="A424" s="34">
        <v>422</v>
      </c>
      <c r="B424" s="34" t="s">
        <v>290</v>
      </c>
      <c r="C424" s="41" t="s">
        <v>1359</v>
      </c>
      <c r="D424" s="34" t="s">
        <v>1145</v>
      </c>
      <c r="E424" s="80">
        <f t="shared" si="42"/>
        <v>1.8493400359352485</v>
      </c>
      <c r="F424" s="35">
        <f t="shared" si="43"/>
        <v>25.083706726629419</v>
      </c>
      <c r="G424" s="42" cm="1">
        <f t="array" ref="G42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24.896020153054426</v>
      </c>
      <c r="H424" s="81" cm="1">
        <f t="array" ref="H4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1.8396054392779719</v>
      </c>
      <c r="I424" s="81" cm="1">
        <f t="array" ref="I4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1.8493400359352485</v>
      </c>
      <c r="J424" s="81" cm="1">
        <f t="array" ref="J4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1.8573219787220787</v>
      </c>
      <c r="K424" s="81" cm="1">
        <f t="array" ref="K4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1.8734656675604837</v>
      </c>
      <c r="L424" s="81" cm="1">
        <f t="array" ref="L4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1.8941857149663783</v>
      </c>
      <c r="M424" s="37">
        <f t="shared" si="44"/>
        <v>3.3860228282511784E-2</v>
      </c>
      <c r="N424" s="43">
        <f t="shared" si="45"/>
        <v>9.7345966572766063E-3</v>
      </c>
      <c r="O424" s="43">
        <f t="shared" si="46"/>
        <v>2.0720047405894615E-2</v>
      </c>
      <c r="P424" s="43">
        <f t="shared" si="47"/>
        <v>0.28749353300445274</v>
      </c>
      <c r="Q424" s="37">
        <f t="shared" si="48"/>
        <v>0.61192875703664873</v>
      </c>
      <c r="R424" s="37">
        <v>9.5999999999999992E-3</v>
      </c>
      <c r="S424" s="44" t="s">
        <v>1391</v>
      </c>
      <c r="T424" s="45">
        <v>5.9884606700000002E-2</v>
      </c>
      <c r="U424" s="45">
        <v>3.0756717199999999E-2</v>
      </c>
      <c r="V424" s="45">
        <v>0.39948278100000001</v>
      </c>
      <c r="W424" s="45">
        <v>41.397824200000002</v>
      </c>
      <c r="X424" s="45">
        <v>5.8455475200000002E-2</v>
      </c>
      <c r="Y424" s="45">
        <v>8.8376094100000007E-3</v>
      </c>
      <c r="Z424" s="36">
        <v>3.53</v>
      </c>
      <c r="AA424" s="38">
        <v>571</v>
      </c>
      <c r="AB424" s="38">
        <v>682</v>
      </c>
      <c r="AC424" s="49" t="s">
        <v>506</v>
      </c>
      <c r="AD424" s="39" t="s">
        <v>1371</v>
      </c>
      <c r="AE424" s="48"/>
    </row>
    <row r="425" spans="1:31" ht="15" thickBot="1">
      <c r="A425" s="34">
        <v>423</v>
      </c>
      <c r="B425" s="34" t="s">
        <v>290</v>
      </c>
      <c r="C425" s="41" t="s">
        <v>1355</v>
      </c>
      <c r="D425" s="34" t="s">
        <v>310</v>
      </c>
      <c r="E425" s="80">
        <f t="shared" si="42"/>
        <v>1.5174200100935065</v>
      </c>
      <c r="F425" s="35">
        <f t="shared" si="43"/>
        <v>52.208238044700572</v>
      </c>
      <c r="G425" s="42" cm="1">
        <f t="array" ref="G42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51.930439396664269</v>
      </c>
      <c r="H425" s="81" cm="1">
        <f t="array" ref="H4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1.5144296433290838</v>
      </c>
      <c r="I425" s="81" cm="1">
        <f t="array" ref="I4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1.5174200100935065</v>
      </c>
      <c r="J425" s="81" cm="1">
        <f t="array" ref="J4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1.519776219545723</v>
      </c>
      <c r="K425" s="81" cm="1">
        <f t="array" ref="K4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1.5243403399829432</v>
      </c>
      <c r="L425" s="81" cm="1">
        <f t="array" ref="L4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1.5298717717230759</v>
      </c>
      <c r="M425" s="37">
        <f t="shared" si="44"/>
        <v>9.9106966538593522E-3</v>
      </c>
      <c r="N425" s="43">
        <f t="shared" si="45"/>
        <v>2.9903667644226584E-3</v>
      </c>
      <c r="O425" s="43">
        <f t="shared" si="46"/>
        <v>5.5314317401327084E-3</v>
      </c>
      <c r="P425" s="43">
        <f t="shared" si="47"/>
        <v>0.30173123735536506</v>
      </c>
      <c r="Q425" s="37">
        <f t="shared" si="48"/>
        <v>0.55812743879903726</v>
      </c>
      <c r="R425" s="37">
        <v>1.1000000000000001E-3</v>
      </c>
      <c r="S425" s="44" t="s">
        <v>1391</v>
      </c>
      <c r="T425" s="45">
        <v>0.1315866</v>
      </c>
      <c r="U425" s="45">
        <v>7.42229602E-3</v>
      </c>
      <c r="V425" s="45">
        <v>0.28940046400000002</v>
      </c>
      <c r="W425" s="45">
        <v>82.816064400000002</v>
      </c>
      <c r="X425" s="45">
        <v>5.2785762899999998E-2</v>
      </c>
      <c r="Y425" s="45">
        <v>6.0125942400000004E-3</v>
      </c>
      <c r="Z425" s="36">
        <v>2.4700000000000002</v>
      </c>
      <c r="AA425" s="38">
        <v>443</v>
      </c>
      <c r="AB425" s="38">
        <v>642</v>
      </c>
      <c r="AC425" s="49" t="s">
        <v>506</v>
      </c>
      <c r="AD425" s="49" t="s">
        <v>506</v>
      </c>
      <c r="AE425" s="48"/>
    </row>
    <row r="426" spans="1:31" ht="15" thickBot="1">
      <c r="A426" s="34">
        <v>424</v>
      </c>
      <c r="B426" s="34" t="s">
        <v>290</v>
      </c>
      <c r="C426" s="41" t="s">
        <v>1355</v>
      </c>
      <c r="D426" s="34" t="s">
        <v>311</v>
      </c>
      <c r="E426" s="80">
        <f t="shared" si="42"/>
        <v>1.5795700108725079</v>
      </c>
      <c r="F426" s="35">
        <f t="shared" si="43"/>
        <v>53.742074998735752</v>
      </c>
      <c r="G426" s="42" cm="1">
        <f t="array" ref="G42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53.45930533155245</v>
      </c>
      <c r="H426" s="81" cm="1">
        <f t="array" ref="H4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1.5763161851026535</v>
      </c>
      <c r="I426" s="81" cm="1">
        <f t="array" ref="I4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1.5795700108725079</v>
      </c>
      <c r="J426" s="81" cm="1">
        <f t="array" ref="J4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1.5821387652637717</v>
      </c>
      <c r="K426" s="81" cm="1">
        <f t="array" ref="K4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1.5871004730350815</v>
      </c>
      <c r="L426" s="81" cm="1">
        <f t="array" ref="L4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1.593053083534405</v>
      </c>
      <c r="M426" s="37">
        <f t="shared" si="44"/>
        <v>1.0784287932428027E-2</v>
      </c>
      <c r="N426" s="43">
        <f t="shared" si="45"/>
        <v>3.2538257698544459E-3</v>
      </c>
      <c r="O426" s="43">
        <f t="shared" si="46"/>
        <v>5.9526104993234963E-3</v>
      </c>
      <c r="P426" s="43">
        <f t="shared" si="47"/>
        <v>0.30171911119604755</v>
      </c>
      <c r="Q426" s="37">
        <f t="shared" si="48"/>
        <v>0.55197065736942874</v>
      </c>
      <c r="R426" s="37">
        <v>-2.3E-3</v>
      </c>
      <c r="S426" s="44" t="s">
        <v>1391</v>
      </c>
      <c r="T426" s="45">
        <v>0.118078949</v>
      </c>
      <c r="U426" s="45">
        <v>1.6181335200000001E-2</v>
      </c>
      <c r="V426" s="45">
        <v>0.30992088899999998</v>
      </c>
      <c r="W426" s="45">
        <v>92.627178000000001</v>
      </c>
      <c r="X426" s="45">
        <v>3.2680872E-2</v>
      </c>
      <c r="Y426" s="45">
        <v>5.7458105799999999E-3</v>
      </c>
      <c r="Z426" s="36">
        <v>3.13</v>
      </c>
      <c r="AA426" s="38">
        <v>529</v>
      </c>
      <c r="AB426" s="38">
        <v>662</v>
      </c>
      <c r="AC426" s="49" t="s">
        <v>506</v>
      </c>
      <c r="AD426" s="49" t="s">
        <v>506</v>
      </c>
      <c r="AE426" s="48"/>
    </row>
    <row r="427" spans="1:31" ht="15" thickBot="1">
      <c r="A427" s="34">
        <v>425</v>
      </c>
      <c r="B427" s="34" t="s">
        <v>290</v>
      </c>
      <c r="C427" s="41" t="s">
        <v>1355</v>
      </c>
      <c r="D427" s="34" t="s">
        <v>312</v>
      </c>
      <c r="E427" s="80">
        <f t="shared" si="42"/>
        <v>1.6700300160379395</v>
      </c>
      <c r="F427" s="35">
        <f t="shared" si="43"/>
        <v>47.144277994156816</v>
      </c>
      <c r="G427" s="42" cm="1">
        <f t="array" ref="G42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46.855957003755492</v>
      </c>
      <c r="H427" s="81" cm="1">
        <f t="array" ref="H4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1.6657849032157293</v>
      </c>
      <c r="I427" s="81" cm="1">
        <f t="array" ref="I4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1.6700300160379395</v>
      </c>
      <c r="J427" s="81" cm="1">
        <f t="array" ref="J4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1.673409937429335</v>
      </c>
      <c r="K427" s="81" cm="1">
        <f t="array" ref="K4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1.6799972327824475</v>
      </c>
      <c r="L427" s="81" cm="1">
        <f t="array" ref="L4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1.6879943796010661</v>
      </c>
      <c r="M427" s="37">
        <f t="shared" si="44"/>
        <v>1.4212329566718251E-2</v>
      </c>
      <c r="N427" s="43">
        <f t="shared" si="45"/>
        <v>4.2451128222102952E-3</v>
      </c>
      <c r="O427" s="43">
        <f t="shared" si="46"/>
        <v>7.9971468186186279E-3</v>
      </c>
      <c r="P427" s="43">
        <f t="shared" si="47"/>
        <v>0.29869225887860745</v>
      </c>
      <c r="Q427" s="37">
        <f t="shared" si="48"/>
        <v>0.56269078064063194</v>
      </c>
      <c r="R427" s="37">
        <v>-2.7000000000000001E-3</v>
      </c>
      <c r="S427" s="44" t="s">
        <v>1391</v>
      </c>
      <c r="T427" s="45">
        <v>0.11216730900000001</v>
      </c>
      <c r="U427" s="45">
        <v>1.2583002500000001E-2</v>
      </c>
      <c r="V427" s="45">
        <v>0.35288910899999998</v>
      </c>
      <c r="W427" s="45">
        <v>90.910371499999997</v>
      </c>
      <c r="X427" s="45">
        <v>4.3611823899999999E-2</v>
      </c>
      <c r="Y427" s="45">
        <v>6.4329024499999998E-3</v>
      </c>
      <c r="Z427" s="36">
        <v>3.57</v>
      </c>
      <c r="AA427" s="38">
        <v>581</v>
      </c>
      <c r="AB427" s="38">
        <v>732</v>
      </c>
      <c r="AC427" s="49" t="s">
        <v>506</v>
      </c>
      <c r="AD427" s="49" t="s">
        <v>506</v>
      </c>
      <c r="AE427" s="48"/>
    </row>
    <row r="428" spans="1:31" ht="15" thickBot="1">
      <c r="A428" s="34">
        <v>426</v>
      </c>
      <c r="B428" s="34" t="s">
        <v>290</v>
      </c>
      <c r="C428" s="41" t="s">
        <v>1355</v>
      </c>
      <c r="D428" s="34" t="s">
        <v>313</v>
      </c>
      <c r="E428" s="80">
        <f t="shared" si="42"/>
        <v>1.6667200145251362</v>
      </c>
      <c r="F428" s="35">
        <f t="shared" si="43"/>
        <v>48.335077839283954</v>
      </c>
      <c r="G428" s="42" cm="1">
        <f t="array" ref="G42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48.045875187057973</v>
      </c>
      <c r="H428" s="81" cm="1">
        <f t="array" ref="H4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1.6625931164540932</v>
      </c>
      <c r="I428" s="81" cm="1">
        <f t="array" ref="I4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1.6667200145251362</v>
      </c>
      <c r="J428" s="81" cm="1">
        <f t="array" ref="J4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1.6700016975687741</v>
      </c>
      <c r="K428" s="81" cm="1">
        <f t="array" ref="K4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1.6763868257916887</v>
      </c>
      <c r="L428" s="81" cm="1">
        <f t="array" ref="L4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1.6841173680949737</v>
      </c>
      <c r="M428" s="37">
        <f t="shared" si="44"/>
        <v>1.3793709337595494E-2</v>
      </c>
      <c r="N428" s="43">
        <f t="shared" si="45"/>
        <v>4.1268980710429393E-3</v>
      </c>
      <c r="O428" s="43">
        <f t="shared" si="46"/>
        <v>7.7305423032849596E-3</v>
      </c>
      <c r="P428" s="43">
        <f t="shared" si="47"/>
        <v>0.29918696777195797</v>
      </c>
      <c r="Q428" s="37">
        <f t="shared" si="48"/>
        <v>0.56043969856715425</v>
      </c>
      <c r="R428" s="37">
        <v>-2.8999999999999998E-3</v>
      </c>
      <c r="S428" s="44" t="s">
        <v>1391</v>
      </c>
      <c r="T428" s="45">
        <v>0.12263323199999999</v>
      </c>
      <c r="U428" s="45">
        <v>1.5436665699999999E-2</v>
      </c>
      <c r="V428" s="45">
        <v>0.34879835999999997</v>
      </c>
      <c r="W428" s="45">
        <v>100.01091599999999</v>
      </c>
      <c r="X428" s="45">
        <v>3.8908367499999999E-2</v>
      </c>
      <c r="Y428" s="45">
        <v>6.1682597200000003E-3</v>
      </c>
      <c r="Z428" s="36">
        <v>3.59</v>
      </c>
      <c r="AA428" s="38">
        <v>573</v>
      </c>
      <c r="AB428" s="38">
        <v>729</v>
      </c>
      <c r="AC428" s="49" t="s">
        <v>506</v>
      </c>
      <c r="AD428" s="49" t="s">
        <v>506</v>
      </c>
      <c r="AE428" s="48"/>
    </row>
    <row r="429" spans="1:31" ht="15" thickBot="1">
      <c r="A429" s="34">
        <v>427</v>
      </c>
      <c r="B429" s="34" t="s">
        <v>290</v>
      </c>
      <c r="C429" s="41" t="s">
        <v>1355</v>
      </c>
      <c r="D429" s="34" t="s">
        <v>314</v>
      </c>
      <c r="E429" s="80">
        <f t="shared" si="42"/>
        <v>1.6644600201379538</v>
      </c>
      <c r="F429" s="35">
        <f t="shared" si="43"/>
        <v>35.873811062650802</v>
      </c>
      <c r="G429" s="42" cm="1">
        <f t="array" ref="G42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35.605921963531713</v>
      </c>
      <c r="H429" s="81" cm="1">
        <f t="array" ref="H4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1.6590315113219043</v>
      </c>
      <c r="I429" s="81" cm="1">
        <f t="array" ref="I4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1.6644600201379538</v>
      </c>
      <c r="J429" s="81" cm="1">
        <f t="array" ref="J4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1.6688437407153598</v>
      </c>
      <c r="K429" s="81" cm="1">
        <f t="array" ref="K4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1.6775536588288287</v>
      </c>
      <c r="L429" s="81" cm="1">
        <f t="array" ref="L4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1.6884612739889959</v>
      </c>
      <c r="M429" s="37">
        <f t="shared" si="44"/>
        <v>1.852214750692438E-2</v>
      </c>
      <c r="N429" s="43">
        <f t="shared" si="45"/>
        <v>5.4285088160495043E-3</v>
      </c>
      <c r="O429" s="43">
        <f t="shared" si="46"/>
        <v>1.090761516016725E-2</v>
      </c>
      <c r="P429" s="43">
        <f t="shared" si="47"/>
        <v>0.29308204213469807</v>
      </c>
      <c r="Q429" s="37">
        <f t="shared" si="48"/>
        <v>0.58889581546035696</v>
      </c>
      <c r="R429" s="37">
        <v>4.7999999999999996E-3</v>
      </c>
      <c r="S429" s="44" t="s">
        <v>1391</v>
      </c>
      <c r="T429" s="45">
        <v>0.10036281</v>
      </c>
      <c r="U429" s="45">
        <v>1.42101815E-2</v>
      </c>
      <c r="V429" s="45">
        <v>0.34657328900000001</v>
      </c>
      <c r="W429" s="45">
        <v>73.245898499999996</v>
      </c>
      <c r="X429" s="45">
        <v>5.9556147199999999E-2</v>
      </c>
      <c r="Y429" s="45">
        <v>7.6509404200000002E-3</v>
      </c>
      <c r="Z429" s="36">
        <v>3.08</v>
      </c>
      <c r="AA429" s="38">
        <v>572</v>
      </c>
      <c r="AB429" s="38">
        <v>684</v>
      </c>
      <c r="AC429" s="49" t="s">
        <v>506</v>
      </c>
      <c r="AD429" s="49" t="s">
        <v>506</v>
      </c>
      <c r="AE429" s="48"/>
    </row>
    <row r="430" spans="1:31" ht="15" thickBot="1">
      <c r="A430" s="34">
        <v>428</v>
      </c>
      <c r="B430" s="34" t="s">
        <v>290</v>
      </c>
      <c r="C430" s="41" t="s">
        <v>1355</v>
      </c>
      <c r="D430" s="34" t="s">
        <v>315</v>
      </c>
      <c r="E430" s="80">
        <f t="shared" si="42"/>
        <v>1.6675500180394702</v>
      </c>
      <c r="F430" s="35">
        <f t="shared" si="43"/>
        <v>41.876059834152159</v>
      </c>
      <c r="G430" s="42" cm="1">
        <f t="array" ref="G43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41.599543383184972</v>
      </c>
      <c r="H430" s="81" cm="1">
        <f t="array" ref="H4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1.6628195786894053</v>
      </c>
      <c r="I430" s="81" cm="1">
        <f t="array" ref="I4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1.6675500180394702</v>
      </c>
      <c r="J430" s="81" cm="1">
        <f t="array" ref="J4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1.6713310267288199</v>
      </c>
      <c r="K430" s="81" cm="1">
        <f t="array" ref="K4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1.6787606681969489</v>
      </c>
      <c r="L430" s="81" cm="1">
        <f t="array" ref="L4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1.6879274905062105</v>
      </c>
      <c r="M430" s="37">
        <f t="shared" si="44"/>
        <v>1.5941089507543582E-2</v>
      </c>
      <c r="N430" s="43">
        <f t="shared" si="45"/>
        <v>4.7304393500648967E-3</v>
      </c>
      <c r="O430" s="43">
        <f t="shared" si="46"/>
        <v>9.1668223092615797E-3</v>
      </c>
      <c r="P430" s="43">
        <f t="shared" si="47"/>
        <v>0.29674504668118046</v>
      </c>
      <c r="Q430" s="37">
        <f t="shared" si="48"/>
        <v>0.57504365086989129</v>
      </c>
      <c r="R430" s="37">
        <v>1E-3</v>
      </c>
      <c r="S430" s="44" t="s">
        <v>1391</v>
      </c>
      <c r="T430" s="45">
        <v>0.101508388</v>
      </c>
      <c r="U430" s="45">
        <v>1.0881527E-2</v>
      </c>
      <c r="V430" s="45">
        <v>0.35282174799999999</v>
      </c>
      <c r="W430" s="45">
        <v>64.531987900000004</v>
      </c>
      <c r="X430" s="45">
        <v>5.7216966299999998E-2</v>
      </c>
      <c r="Y430" s="45">
        <v>6.8673241299999997E-3</v>
      </c>
      <c r="Z430" s="36">
        <v>3.21</v>
      </c>
      <c r="AA430" s="38">
        <v>600</v>
      </c>
      <c r="AB430" s="38">
        <v>710</v>
      </c>
      <c r="AC430" s="49" t="s">
        <v>506</v>
      </c>
      <c r="AD430" s="49" t="s">
        <v>506</v>
      </c>
      <c r="AE430" s="48"/>
    </row>
    <row r="431" spans="1:31" ht="15" thickBot="1">
      <c r="A431" s="34">
        <v>429</v>
      </c>
      <c r="B431" s="34" t="s">
        <v>290</v>
      </c>
      <c r="C431" s="41" t="s">
        <v>1355</v>
      </c>
      <c r="D431" s="34" t="s">
        <v>316</v>
      </c>
      <c r="E431" s="80">
        <f t="shared" si="42"/>
        <v>1.7015400180950038</v>
      </c>
      <c r="F431" s="35">
        <f t="shared" si="43"/>
        <v>41.02168208349989</v>
      </c>
      <c r="G431" s="42" cm="1">
        <f t="array" ref="G43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40.738463488572854</v>
      </c>
      <c r="H431" s="81" cm="1">
        <f t="array" ref="H4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1.6964831339679132</v>
      </c>
      <c r="I431" s="81" cm="1">
        <f t="array" ref="I4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1.7015400180950038</v>
      </c>
      <c r="J431" s="81" cm="1">
        <f t="array" ref="J4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1.7055974634565321</v>
      </c>
      <c r="K431" s="81" cm="1">
        <f t="array" ref="K4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1.713584822208464</v>
      </c>
      <c r="L431" s="81" cm="1">
        <f t="array" ref="L4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1.7234333155698349</v>
      </c>
      <c r="M431" s="37">
        <f t="shared" si="44"/>
        <v>1.7101688240550805E-2</v>
      </c>
      <c r="N431" s="43">
        <f t="shared" si="45"/>
        <v>5.0568841270905995E-3</v>
      </c>
      <c r="O431" s="43">
        <f t="shared" si="46"/>
        <v>9.8484933613709469E-3</v>
      </c>
      <c r="P431" s="43">
        <f t="shared" si="47"/>
        <v>0.29569502472275971</v>
      </c>
      <c r="Q431" s="37">
        <f t="shared" si="48"/>
        <v>0.5758784292429453</v>
      </c>
      <c r="R431" s="37">
        <v>2.9999999999999997E-4</v>
      </c>
      <c r="S431" s="44" t="s">
        <v>1391</v>
      </c>
      <c r="T431" s="45">
        <v>0.11047823900000001</v>
      </c>
      <c r="U431" s="45">
        <v>1.40861354E-2</v>
      </c>
      <c r="V431" s="45">
        <v>0.36366069400000001</v>
      </c>
      <c r="W431" s="45">
        <v>85.556049400000006</v>
      </c>
      <c r="X431" s="45">
        <v>5.1662181799999998E-2</v>
      </c>
      <c r="Y431" s="45">
        <v>6.8679265900000001E-3</v>
      </c>
      <c r="Z431" s="36">
        <v>3.63</v>
      </c>
      <c r="AA431" s="38">
        <v>579</v>
      </c>
      <c r="AB431" s="38">
        <v>718</v>
      </c>
      <c r="AC431" s="49" t="s">
        <v>506</v>
      </c>
      <c r="AD431" s="49" t="s">
        <v>506</v>
      </c>
      <c r="AE431" s="48"/>
    </row>
    <row r="432" spans="1:31" ht="15" thickBot="1">
      <c r="A432" s="34">
        <v>430</v>
      </c>
      <c r="B432" s="34" t="s">
        <v>290</v>
      </c>
      <c r="C432" s="41" t="s">
        <v>1355</v>
      </c>
      <c r="D432" s="34" t="s">
        <v>317</v>
      </c>
      <c r="E432" s="80">
        <f t="shared" si="42"/>
        <v>1.7234200205030081</v>
      </c>
      <c r="F432" s="35">
        <f t="shared" si="43"/>
        <v>38.036745540658984</v>
      </c>
      <c r="G432" s="42" cm="1">
        <f t="array" ref="G43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37.761052334536082</v>
      </c>
      <c r="H432" s="81" cm="1">
        <f t="array" ref="H4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1.7178253036180922</v>
      </c>
      <c r="I432" s="81" cm="1">
        <f t="array" ref="I4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1.7234200205030081</v>
      </c>
      <c r="J432" s="81" cm="1">
        <f t="array" ref="J4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1.7279266387706305</v>
      </c>
      <c r="K432" s="81" cm="1">
        <f t="array" ref="K4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1.7368442814570273</v>
      </c>
      <c r="L432" s="81" cm="1">
        <f t="array" ref="L4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1.7479314028252453</v>
      </c>
      <c r="M432" s="37">
        <f t="shared" si="44"/>
        <v>1.9018977838935136E-2</v>
      </c>
      <c r="N432" s="43">
        <f t="shared" si="45"/>
        <v>5.5947168849159734E-3</v>
      </c>
      <c r="O432" s="43">
        <f t="shared" si="46"/>
        <v>1.1087121368217989E-2</v>
      </c>
      <c r="P432" s="43">
        <f t="shared" si="47"/>
        <v>0.29416496156079536</v>
      </c>
      <c r="Q432" s="37">
        <f t="shared" si="48"/>
        <v>0.58295043309429251</v>
      </c>
      <c r="R432" s="37">
        <v>2.3999999999999998E-3</v>
      </c>
      <c r="S432" s="44" t="s">
        <v>1391</v>
      </c>
      <c r="T432" s="45">
        <v>0.104773433</v>
      </c>
      <c r="U432" s="45">
        <v>1.3900730199999999E-2</v>
      </c>
      <c r="V432" s="45">
        <v>0.37225097099999999</v>
      </c>
      <c r="W432" s="45">
        <v>79.270195200000003</v>
      </c>
      <c r="X432" s="45">
        <v>5.6505821400000003E-2</v>
      </c>
      <c r="Y432" s="45">
        <v>7.2505596600000001E-3</v>
      </c>
      <c r="Z432" s="36">
        <v>3.61</v>
      </c>
      <c r="AA432" s="38">
        <v>600</v>
      </c>
      <c r="AB432" s="38">
        <v>744</v>
      </c>
      <c r="AC432" s="49" t="s">
        <v>506</v>
      </c>
      <c r="AD432" s="49" t="s">
        <v>506</v>
      </c>
      <c r="AE432" s="48"/>
    </row>
    <row r="433" spans="1:31" ht="15" thickBot="1">
      <c r="A433" s="34">
        <v>431</v>
      </c>
      <c r="B433" s="34" t="s">
        <v>290</v>
      </c>
      <c r="C433" s="41" t="s">
        <v>1355</v>
      </c>
      <c r="D433" s="34" t="s">
        <v>318</v>
      </c>
      <c r="E433" s="80">
        <f t="shared" si="42"/>
        <v>1.6073800112472736</v>
      </c>
      <c r="F433" s="35">
        <f t="shared" si="43"/>
        <v>56.740503593547139</v>
      </c>
      <c r="G433" s="42" cm="1">
        <f t="array" ref="G43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56.459624239272081</v>
      </c>
      <c r="H433" s="81" cm="1">
        <f t="array" ref="H4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1.6041386681313352</v>
      </c>
      <c r="I433" s="81" cm="1">
        <f t="array" ref="I4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1.6073800112472736</v>
      </c>
      <c r="J433" s="81" cm="1">
        <f t="array" ref="J4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1.6099316798390899</v>
      </c>
      <c r="K433" s="81" cm="1">
        <f t="array" ref="K4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1.6148431908757606</v>
      </c>
      <c r="L433" s="81" cm="1">
        <f t="array" ref="L4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1.6207045846523824</v>
      </c>
      <c r="M433" s="37">
        <f t="shared" si="44"/>
        <v>1.0704522744425349E-2</v>
      </c>
      <c r="N433" s="43">
        <f t="shared" si="45"/>
        <v>3.2413431159383777E-3</v>
      </c>
      <c r="O433" s="43">
        <f t="shared" si="46"/>
        <v>5.8613937766218704E-3</v>
      </c>
      <c r="P433" s="43">
        <f t="shared" si="47"/>
        <v>0.3028012731932761</v>
      </c>
      <c r="Q433" s="37">
        <f t="shared" si="48"/>
        <v>0.54756236373773315</v>
      </c>
      <c r="R433" s="37">
        <v>-1.6000000000000001E-3</v>
      </c>
      <c r="S433" s="44" t="s">
        <v>1391</v>
      </c>
      <c r="T433" s="45">
        <v>0.121503006</v>
      </c>
      <c r="U433" s="45">
        <v>5.1419613900000001E-2</v>
      </c>
      <c r="V433" s="45">
        <v>0.28777087800000001</v>
      </c>
      <c r="W433" s="45">
        <v>93.564089499999994</v>
      </c>
      <c r="X433" s="45">
        <v>1.9314562100000002E-2</v>
      </c>
      <c r="Y433" s="45">
        <v>4.3998545900000002E-3</v>
      </c>
      <c r="Z433" s="36">
        <v>3.53</v>
      </c>
      <c r="AA433" s="38">
        <v>654</v>
      </c>
      <c r="AB433" s="38">
        <v>804</v>
      </c>
      <c r="AC433" s="49" t="s">
        <v>506</v>
      </c>
      <c r="AD433" s="49" t="s">
        <v>506</v>
      </c>
      <c r="AE433" s="48"/>
    </row>
    <row r="434" spans="1:31" ht="15" thickBot="1">
      <c r="A434" s="34">
        <v>432</v>
      </c>
      <c r="B434" s="34" t="s">
        <v>290</v>
      </c>
      <c r="C434" s="41" t="s">
        <v>1355</v>
      </c>
      <c r="D434" s="34" t="s">
        <v>319</v>
      </c>
      <c r="E434" s="80">
        <f t="shared" si="42"/>
        <v>1.6127200116672273</v>
      </c>
      <c r="F434" s="35">
        <f t="shared" si="43"/>
        <v>58.538981429018975</v>
      </c>
      <c r="G434" s="42" cm="1">
        <f t="array" ref="G43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58.270600234931408</v>
      </c>
      <c r="H434" s="81" cm="1">
        <f t="array" ref="H4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1.6095393380031069</v>
      </c>
      <c r="I434" s="81" cm="1">
        <f t="array" ref="I4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1.6127200116672273</v>
      </c>
      <c r="J434" s="81" cm="1">
        <f t="array" ref="J4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1.6152157515839556</v>
      </c>
      <c r="K434" s="81" cm="1">
        <f t="array" ref="K4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1.6200062097646215</v>
      </c>
      <c r="L434" s="81" cm="1">
        <f t="array" ref="L4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1.6257075791878037</v>
      </c>
      <c r="M434" s="37">
        <f t="shared" si="44"/>
        <v>1.0466871761514618E-2</v>
      </c>
      <c r="N434" s="43">
        <f t="shared" si="45"/>
        <v>3.1806736641204481E-3</v>
      </c>
      <c r="O434" s="43">
        <f t="shared" si="46"/>
        <v>5.7013694231822232E-3</v>
      </c>
      <c r="P434" s="43">
        <f t="shared" si="47"/>
        <v>0.30388006432020964</v>
      </c>
      <c r="Q434" s="37">
        <f t="shared" si="48"/>
        <v>0.54470615032711567</v>
      </c>
      <c r="R434" s="37">
        <v>-1.5E-3</v>
      </c>
      <c r="S434" s="44" t="s">
        <v>1391</v>
      </c>
      <c r="T434" s="45">
        <v>0.120597544</v>
      </c>
      <c r="U434" s="45">
        <v>2.08228775E-2</v>
      </c>
      <c r="V434" s="45">
        <v>0.32104613700000001</v>
      </c>
      <c r="W434" s="45">
        <v>86.2245013</v>
      </c>
      <c r="X434" s="45">
        <v>2.54136407E-2</v>
      </c>
      <c r="Y434" s="45">
        <v>5.20024979E-3</v>
      </c>
      <c r="Z434" s="36">
        <v>3.53</v>
      </c>
      <c r="AA434" s="38">
        <v>652</v>
      </c>
      <c r="AB434" s="38">
        <v>775</v>
      </c>
      <c r="AC434" s="49" t="s">
        <v>506</v>
      </c>
      <c r="AD434" s="49" t="s">
        <v>506</v>
      </c>
      <c r="AE434" s="48"/>
    </row>
    <row r="435" spans="1:31" ht="15" thickBot="1">
      <c r="A435" s="34">
        <v>433</v>
      </c>
      <c r="B435" s="34" t="s">
        <v>290</v>
      </c>
      <c r="C435" s="41" t="s">
        <v>1355</v>
      </c>
      <c r="D435" s="34" t="s">
        <v>320</v>
      </c>
      <c r="E435" s="80">
        <f t="shared" si="42"/>
        <v>1.589130011551483</v>
      </c>
      <c r="F435" s="35">
        <f t="shared" si="43"/>
        <v>61.221002313850434</v>
      </c>
      <c r="G435" s="42" cm="1">
        <f t="array" ref="G43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60.974607692298214</v>
      </c>
      <c r="H435" s="81" cm="1">
        <f t="array" ref="H4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1.5861905187525935</v>
      </c>
      <c r="I435" s="81" cm="1">
        <f t="array" ref="I4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1.589130011551483</v>
      </c>
      <c r="J435" s="81" cm="1">
        <f t="array" ref="J4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1.5914256431019764</v>
      </c>
      <c r="K435" s="81" cm="1">
        <f t="array" ref="K4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1.5958135237555384</v>
      </c>
      <c r="L435" s="81" cm="1">
        <f t="array" ref="L4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1.6010116313529485</v>
      </c>
      <c r="M435" s="37">
        <f t="shared" si="44"/>
        <v>9.6230050029448844E-3</v>
      </c>
      <c r="N435" s="43">
        <f t="shared" si="45"/>
        <v>2.9394927988894981E-3</v>
      </c>
      <c r="O435" s="43">
        <f t="shared" si="46"/>
        <v>5.1981075974101287E-3</v>
      </c>
      <c r="P435" s="43">
        <f t="shared" si="47"/>
        <v>0.30546516373938687</v>
      </c>
      <c r="Q435" s="37">
        <f t="shared" si="48"/>
        <v>0.54017509040256917</v>
      </c>
      <c r="R435" s="37">
        <v>-1.6000000000000001E-3</v>
      </c>
      <c r="S435" s="44" t="s">
        <v>1391</v>
      </c>
      <c r="T435" s="45">
        <v>0.13294690100000001</v>
      </c>
      <c r="U435" s="45">
        <v>7.83138637E-2</v>
      </c>
      <c r="V435" s="45">
        <v>0.253166689</v>
      </c>
      <c r="W435" s="45">
        <v>88.379197899999994</v>
      </c>
      <c r="X435" s="45">
        <v>1.4710535300000001E-2</v>
      </c>
      <c r="Y435" s="45">
        <v>3.5372003199999999E-3</v>
      </c>
      <c r="Z435" s="36">
        <v>3.26</v>
      </c>
      <c r="AA435" s="38">
        <v>613</v>
      </c>
      <c r="AB435" s="38">
        <v>743</v>
      </c>
      <c r="AC435" s="49" t="s">
        <v>506</v>
      </c>
      <c r="AD435" s="39" t="s">
        <v>1371</v>
      </c>
      <c r="AE435" s="48"/>
    </row>
    <row r="436" spans="1:31" ht="15" thickBot="1">
      <c r="A436" s="34">
        <v>434</v>
      </c>
      <c r="B436" s="34" t="s">
        <v>290</v>
      </c>
      <c r="C436" s="41" t="s">
        <v>1355</v>
      </c>
      <c r="D436" s="34" t="s">
        <v>321</v>
      </c>
      <c r="E436" s="80">
        <f t="shared" si="42"/>
        <v>1.6228000118786632</v>
      </c>
      <c r="F436" s="35">
        <f t="shared" si="43"/>
        <v>57.099829769268787</v>
      </c>
      <c r="G436" s="42" cm="1">
        <f t="array" ref="G43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56.827475204471405</v>
      </c>
      <c r="H436" s="81" cm="1">
        <f t="array" ref="H4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1.6194923841239159</v>
      </c>
      <c r="I436" s="81" cm="1">
        <f t="array" ref="I4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1.6228000118786632</v>
      </c>
      <c r="J436" s="81" cm="1">
        <f t="array" ref="J4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1.6254003250090148</v>
      </c>
      <c r="K436" s="81" cm="1">
        <f t="array" ref="K4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1.6303995972346257</v>
      </c>
      <c r="L436" s="81" cm="1">
        <f t="array" ref="L4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1.6363587197912601</v>
      </c>
      <c r="M436" s="37">
        <f t="shared" si="44"/>
        <v>1.0907213110709746E-2</v>
      </c>
      <c r="N436" s="43">
        <f t="shared" si="45"/>
        <v>3.3076277547472444E-3</v>
      </c>
      <c r="O436" s="43">
        <f t="shared" si="46"/>
        <v>5.9591225566344441E-3</v>
      </c>
      <c r="P436" s="43">
        <f t="shared" si="47"/>
        <v>0.30325140997744865</v>
      </c>
      <c r="Q436" s="37">
        <f t="shared" si="48"/>
        <v>0.5463469445538941</v>
      </c>
      <c r="R436" s="37">
        <v>-2.2000000000000001E-3</v>
      </c>
      <c r="S436" s="44" t="s">
        <v>1391</v>
      </c>
      <c r="T436" s="45">
        <v>0.12256749</v>
      </c>
      <c r="U436" s="45">
        <v>3.82261328E-2</v>
      </c>
      <c r="V436" s="45">
        <v>0.30798524700000002</v>
      </c>
      <c r="W436" s="45">
        <v>89.784682500000002</v>
      </c>
      <c r="X436" s="45">
        <v>2.1074231700000001E-2</v>
      </c>
      <c r="Y436" s="45">
        <v>4.76996135E-3</v>
      </c>
      <c r="Z436" s="36">
        <v>3.58</v>
      </c>
      <c r="AA436" s="38">
        <v>623</v>
      </c>
      <c r="AB436" s="38">
        <v>746</v>
      </c>
      <c r="AC436" s="49" t="s">
        <v>506</v>
      </c>
      <c r="AD436" s="49" t="s">
        <v>506</v>
      </c>
      <c r="AE436" s="48"/>
    </row>
    <row r="437" spans="1:31" ht="15" thickBot="1">
      <c r="A437" s="34">
        <v>435</v>
      </c>
      <c r="B437" s="34" t="s">
        <v>290</v>
      </c>
      <c r="C437" s="41" t="s">
        <v>1355</v>
      </c>
      <c r="D437" s="34" t="s">
        <v>322</v>
      </c>
      <c r="E437" s="80">
        <f t="shared" si="42"/>
        <v>1.5638400100887633</v>
      </c>
      <c r="F437" s="35">
        <f t="shared" si="43"/>
        <v>60.705685507891587</v>
      </c>
      <c r="G437" s="42" cm="1">
        <f t="array" ref="G43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60.453688192179222</v>
      </c>
      <c r="H437" s="81" cm="1">
        <f t="array" ref="H4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1.5610059611174012</v>
      </c>
      <c r="I437" s="81" cm="1">
        <f t="array" ref="I4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1.5638400100887633</v>
      </c>
      <c r="J437" s="81" cm="1">
        <f t="array" ref="J4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1.5660554757288816</v>
      </c>
      <c r="K437" s="81" cm="1">
        <f t="array" ref="K4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1.5702940534166878</v>
      </c>
      <c r="L437" s="81" cm="1">
        <f t="array" ref="L4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1.5753208132776764</v>
      </c>
      <c r="M437" s="37">
        <f t="shared" si="44"/>
        <v>9.2880922992866211E-3</v>
      </c>
      <c r="N437" s="43">
        <f t="shared" si="45"/>
        <v>2.8340489713620798E-3</v>
      </c>
      <c r="O437" s="43">
        <f t="shared" si="46"/>
        <v>5.02675986098855E-3</v>
      </c>
      <c r="P437" s="43">
        <f t="shared" si="47"/>
        <v>0.30512713268146041</v>
      </c>
      <c r="Q437" s="37">
        <f t="shared" si="48"/>
        <v>0.54120477047527127</v>
      </c>
      <c r="R437" s="37">
        <v>-1.4E-3</v>
      </c>
      <c r="S437" s="44" t="s">
        <v>1391</v>
      </c>
      <c r="T437" s="45">
        <v>0.13054132600000001</v>
      </c>
      <c r="U437" s="45">
        <v>4.4163525199999998E-2</v>
      </c>
      <c r="V437" s="45">
        <v>0.27549592000000001</v>
      </c>
      <c r="W437" s="45">
        <v>90.507732899999993</v>
      </c>
      <c r="X437" s="45">
        <v>1.83187813E-2</v>
      </c>
      <c r="Y437" s="45">
        <v>4.3802748300000001E-3</v>
      </c>
      <c r="Z437" s="36">
        <v>3.06</v>
      </c>
      <c r="AA437" s="38">
        <v>603</v>
      </c>
      <c r="AB437" s="38">
        <v>745</v>
      </c>
      <c r="AC437" s="49" t="s">
        <v>506</v>
      </c>
      <c r="AD437" s="49" t="s">
        <v>506</v>
      </c>
      <c r="AE437" s="48"/>
    </row>
    <row r="438" spans="1:31" ht="15" thickBot="1">
      <c r="A438" s="34">
        <v>436</v>
      </c>
      <c r="B438" s="34" t="s">
        <v>290</v>
      </c>
      <c r="C438" s="41" t="s">
        <v>1355</v>
      </c>
      <c r="D438" s="34" t="s">
        <v>323</v>
      </c>
      <c r="E438" s="80">
        <f t="shared" si="42"/>
        <v>1.5831300105891681</v>
      </c>
      <c r="F438" s="35">
        <f t="shared" si="43"/>
        <v>59.418467875768052</v>
      </c>
      <c r="G438" s="42" cm="1">
        <f t="array" ref="G43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59.161906091531179</v>
      </c>
      <c r="H438" s="81" cm="1">
        <f t="array" ref="H4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1.5801407851108078</v>
      </c>
      <c r="I438" s="81" cm="1">
        <f t="array" ref="I4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1.5831300105891681</v>
      </c>
      <c r="J438" s="81" cm="1">
        <f t="array" ref="J4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1.5854704748884005</v>
      </c>
      <c r="K438" s="81" cm="1">
        <f t="array" ref="K4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1.5899547374296117</v>
      </c>
      <c r="L438" s="81" cm="1">
        <f t="array" ref="L4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1.5952815656535475</v>
      </c>
      <c r="M438" s="37">
        <f t="shared" si="44"/>
        <v>9.8139523188038869E-3</v>
      </c>
      <c r="N438" s="43">
        <f t="shared" si="45"/>
        <v>2.9892254783603356E-3</v>
      </c>
      <c r="O438" s="43">
        <f t="shared" si="46"/>
        <v>5.32682822393582E-3</v>
      </c>
      <c r="P438" s="43">
        <f t="shared" si="47"/>
        <v>0.30458936229319883</v>
      </c>
      <c r="Q438" s="37">
        <f t="shared" si="48"/>
        <v>0.54278113963621211</v>
      </c>
      <c r="R438" s="37">
        <v>-1.8E-3</v>
      </c>
      <c r="S438" s="44" t="s">
        <v>1391</v>
      </c>
      <c r="T438" s="45">
        <v>0.12704036499999999</v>
      </c>
      <c r="U438" s="45">
        <v>4.0848306500000001E-2</v>
      </c>
      <c r="V438" s="45">
        <v>0.28764552199999999</v>
      </c>
      <c r="W438" s="45">
        <v>88.122328699999997</v>
      </c>
      <c r="X438" s="45">
        <v>1.95227691E-2</v>
      </c>
      <c r="Y438" s="45">
        <v>4.5279493300000003E-3</v>
      </c>
      <c r="Z438" s="36">
        <v>3.23</v>
      </c>
      <c r="AA438" s="38">
        <v>604</v>
      </c>
      <c r="AB438" s="38">
        <v>744</v>
      </c>
      <c r="AC438" s="49" t="s">
        <v>506</v>
      </c>
      <c r="AD438" s="49" t="s">
        <v>506</v>
      </c>
      <c r="AE438" s="48"/>
    </row>
    <row r="439" spans="1:31" ht="15" thickBot="1">
      <c r="A439" s="34">
        <v>437</v>
      </c>
      <c r="B439" s="34" t="s">
        <v>290</v>
      </c>
      <c r="C439" s="41" t="s">
        <v>1355</v>
      </c>
      <c r="D439" s="34" t="s">
        <v>324</v>
      </c>
      <c r="E439" s="80">
        <f t="shared" si="42"/>
        <v>1.6031100101776048</v>
      </c>
      <c r="F439" s="35">
        <f t="shared" si="43"/>
        <v>60.696348523504547</v>
      </c>
      <c r="G439" s="42" cm="1">
        <f t="array" ref="G43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60.443967857945864</v>
      </c>
      <c r="H439" s="81" cm="1">
        <f t="array" ref="H4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1.6000783227347581</v>
      </c>
      <c r="I439" s="81" cm="1">
        <f t="array" ref="I4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1.6031100101776048</v>
      </c>
      <c r="J439" s="81" cm="1">
        <f t="array" ref="J4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1.6054801513345767</v>
      </c>
      <c r="K439" s="81" cm="1">
        <f t="array" ref="K4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1.6100148349772376</v>
      </c>
      <c r="L439" s="81" cm="1">
        <f t="array" ref="L4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1.6153924428111837</v>
      </c>
      <c r="M439" s="37">
        <f t="shared" si="44"/>
        <v>9.9365122424794894E-3</v>
      </c>
      <c r="N439" s="43">
        <f t="shared" si="45"/>
        <v>3.0316874428466534E-3</v>
      </c>
      <c r="O439" s="43">
        <f t="shared" si="46"/>
        <v>5.3776078339460298E-3</v>
      </c>
      <c r="P439" s="43">
        <f t="shared" si="47"/>
        <v>0.30510579254216735</v>
      </c>
      <c r="Q439" s="37">
        <f t="shared" si="48"/>
        <v>0.54119672000767727</v>
      </c>
      <c r="R439" s="37">
        <v>-1.4E-3</v>
      </c>
      <c r="S439" s="44" t="s">
        <v>1391</v>
      </c>
      <c r="T439" s="45">
        <v>0.12916244900000001</v>
      </c>
      <c r="U439" s="45">
        <v>9.6241585300000002E-2</v>
      </c>
      <c r="V439" s="45">
        <v>0.24157445899999999</v>
      </c>
      <c r="W439" s="45">
        <v>86.273429899999996</v>
      </c>
      <c r="X439" s="45">
        <v>1.3973634400000001E-2</v>
      </c>
      <c r="Y439" s="45">
        <v>3.0908929700000001E-3</v>
      </c>
      <c r="Z439" s="36">
        <v>3.43</v>
      </c>
      <c r="AA439" s="38">
        <v>646</v>
      </c>
      <c r="AB439" s="38">
        <v>761</v>
      </c>
      <c r="AC439" s="49" t="s">
        <v>506</v>
      </c>
      <c r="AD439" s="49" t="s">
        <v>506</v>
      </c>
      <c r="AE439" s="48"/>
    </row>
    <row r="440" spans="1:31" ht="15" thickBot="1">
      <c r="A440" s="34">
        <v>438</v>
      </c>
      <c r="B440" s="34" t="s">
        <v>290</v>
      </c>
      <c r="C440" s="41" t="s">
        <v>1355</v>
      </c>
      <c r="D440" s="34" t="s">
        <v>325</v>
      </c>
      <c r="E440" s="80">
        <f t="shared" si="42"/>
        <v>1.6229900109920037</v>
      </c>
      <c r="F440" s="35">
        <f t="shared" si="43"/>
        <v>58.120514377317299</v>
      </c>
      <c r="G440" s="42" cm="1">
        <f t="array" ref="G44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57.864275624296383</v>
      </c>
      <c r="H440" s="81" cm="1">
        <f t="array" ref="H4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1.6197292732006103</v>
      </c>
      <c r="I440" s="81" cm="1">
        <f t="array" ref="I4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1.6229900109920037</v>
      </c>
      <c r="J440" s="81" cm="1">
        <f t="array" ref="J4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1.6255459831912964</v>
      </c>
      <c r="K440" s="81" cm="1">
        <f t="array" ref="K4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1.630448208118281</v>
      </c>
      <c r="L440" s="81" cm="1">
        <f t="array" ref="L4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1.6362782098290336</v>
      </c>
      <c r="M440" s="37">
        <f t="shared" si="44"/>
        <v>1.0718934917670619E-2</v>
      </c>
      <c r="N440" s="43">
        <f t="shared" si="45"/>
        <v>3.2607377913933533E-3</v>
      </c>
      <c r="O440" s="43">
        <f t="shared" si="46"/>
        <v>5.8300017107526525E-3</v>
      </c>
      <c r="P440" s="43">
        <f t="shared" si="47"/>
        <v>0.30420352548441065</v>
      </c>
      <c r="Q440" s="37">
        <f t="shared" si="48"/>
        <v>0.54389748193560228</v>
      </c>
      <c r="R440" s="37">
        <v>-3.0000000000000001E-3</v>
      </c>
      <c r="S440" s="44" t="s">
        <v>1391</v>
      </c>
      <c r="T440" s="45">
        <v>0.123469308</v>
      </c>
      <c r="U440" s="45">
        <v>3.2237404800000001E-2</v>
      </c>
      <c r="V440" s="45">
        <v>0.31424719600000001</v>
      </c>
      <c r="W440" s="45">
        <v>83.576808400000004</v>
      </c>
      <c r="X440" s="45">
        <v>2.1757545600000001E-2</v>
      </c>
      <c r="Y440" s="45">
        <v>4.8565411400000001E-3</v>
      </c>
      <c r="Z440" s="36">
        <v>3.58</v>
      </c>
      <c r="AA440" s="38">
        <v>651</v>
      </c>
      <c r="AB440" s="38">
        <v>772</v>
      </c>
      <c r="AC440" s="49" t="s">
        <v>506</v>
      </c>
      <c r="AD440" s="49" t="s">
        <v>506</v>
      </c>
      <c r="AE440" s="48"/>
    </row>
    <row r="441" spans="1:31" ht="15" thickBot="1">
      <c r="A441" s="34">
        <v>439</v>
      </c>
      <c r="B441" s="34" t="s">
        <v>290</v>
      </c>
      <c r="C441" s="41" t="s">
        <v>1355</v>
      </c>
      <c r="D441" s="34" t="s">
        <v>326</v>
      </c>
      <c r="E441" s="80">
        <f t="shared" si="42"/>
        <v>1.6204100116051465</v>
      </c>
      <c r="F441" s="35">
        <f t="shared" si="43"/>
        <v>60.246100975000324</v>
      </c>
      <c r="G441" s="42" cm="1">
        <f t="array" ref="G44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60.008870784647627</v>
      </c>
      <c r="H441" s="81" cm="1">
        <f t="array" ref="H4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1.6172636019070081</v>
      </c>
      <c r="I441" s="81" cm="1">
        <f t="array" ref="I4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1.6204100116051465</v>
      </c>
      <c r="J441" s="81" cm="1">
        <f t="array" ref="J4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1.6228664807916422</v>
      </c>
      <c r="K441" s="81" cm="1">
        <f t="array" ref="K4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1.6275615299316382</v>
      </c>
      <c r="L441" s="81" cm="1">
        <f t="array" ref="L4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1.6331251861790919</v>
      </c>
      <c r="M441" s="37">
        <f t="shared" si="44"/>
        <v>1.0297928024630032E-2</v>
      </c>
      <c r="N441" s="43">
        <f t="shared" si="45"/>
        <v>3.1464096981383971E-3</v>
      </c>
      <c r="O441" s="43">
        <f t="shared" si="46"/>
        <v>5.5636562474536966E-3</v>
      </c>
      <c r="P441" s="43">
        <f t="shared" si="47"/>
        <v>0.30553813258482515</v>
      </c>
      <c r="Q441" s="37">
        <f t="shared" si="48"/>
        <v>0.54026948276845999</v>
      </c>
      <c r="R441" s="37">
        <v>-3.0999999999999999E-3</v>
      </c>
      <c r="S441" s="44" t="s">
        <v>1391</v>
      </c>
      <c r="T441" s="45">
        <v>0.117133032</v>
      </c>
      <c r="U441" s="45">
        <v>3.1350270600000001E-2</v>
      </c>
      <c r="V441" s="45">
        <v>0.314284226</v>
      </c>
      <c r="W441" s="45">
        <v>73.597169600000001</v>
      </c>
      <c r="X441" s="45">
        <v>2.07201986E-2</v>
      </c>
      <c r="Y441" s="45">
        <v>4.7337103299999999E-3</v>
      </c>
      <c r="Z441" s="36">
        <v>3.56</v>
      </c>
      <c r="AA441" s="38">
        <v>653</v>
      </c>
      <c r="AB441" s="38">
        <v>761</v>
      </c>
      <c r="AC441" s="49" t="s">
        <v>506</v>
      </c>
      <c r="AD441" s="49" t="s">
        <v>506</v>
      </c>
      <c r="AE441" s="48"/>
    </row>
    <row r="442" spans="1:31" ht="15" thickBot="1">
      <c r="A442" s="34">
        <v>440</v>
      </c>
      <c r="B442" s="34" t="s">
        <v>290</v>
      </c>
      <c r="C442" s="41" t="s">
        <v>1355</v>
      </c>
      <c r="D442" s="34" t="s">
        <v>327</v>
      </c>
      <c r="E442" s="80">
        <f t="shared" si="42"/>
        <v>1.6385400132390313</v>
      </c>
      <c r="F442" s="35">
        <f t="shared" si="43"/>
        <v>55.345245267466687</v>
      </c>
      <c r="G442" s="42" cm="1">
        <f t="array" ref="G44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55.065310250908482</v>
      </c>
      <c r="H442" s="81" cm="1">
        <f t="array" ref="H4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1.6350502983029069</v>
      </c>
      <c r="I442" s="81" cm="1">
        <f t="array" ref="I4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1.6385400132390313</v>
      </c>
      <c r="J442" s="81" cm="1">
        <f t="array" ref="J4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1.6412883600996997</v>
      </c>
      <c r="K442" s="81" cm="1">
        <f t="array" ref="K4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1.6465876943367155</v>
      </c>
      <c r="L442" s="81" cm="1">
        <f t="array" ref="L4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1.6529376742681872</v>
      </c>
      <c r="M442" s="37">
        <f t="shared" si="44"/>
        <v>1.1537396033808545E-2</v>
      </c>
      <c r="N442" s="43">
        <f t="shared" si="45"/>
        <v>3.4897149361243773E-3</v>
      </c>
      <c r="O442" s="43">
        <f t="shared" si="46"/>
        <v>6.3499799314716832E-3</v>
      </c>
      <c r="P442" s="43">
        <f t="shared" si="47"/>
        <v>0.30246989233084404</v>
      </c>
      <c r="Q442" s="37">
        <f t="shared" si="48"/>
        <v>0.55038241842995206</v>
      </c>
      <c r="R442" s="37">
        <v>-1.2999999999999999E-3</v>
      </c>
      <c r="S442" s="44" t="s">
        <v>1391</v>
      </c>
      <c r="T442" s="45">
        <v>0.10528420300000001</v>
      </c>
      <c r="U442" s="45">
        <v>1.09317433E-2</v>
      </c>
      <c r="V442" s="45">
        <v>0.34213573899999999</v>
      </c>
      <c r="W442" s="45">
        <v>73.708885499999994</v>
      </c>
      <c r="X442" s="45">
        <v>3.7828405099999997E-2</v>
      </c>
      <c r="Y442" s="45">
        <v>5.67258954E-3</v>
      </c>
      <c r="Z442" s="36">
        <v>3.67</v>
      </c>
      <c r="AA442" s="38">
        <v>645</v>
      </c>
      <c r="AB442" s="38">
        <v>754</v>
      </c>
      <c r="AC442" s="49" t="s">
        <v>506</v>
      </c>
      <c r="AD442" s="49" t="s">
        <v>506</v>
      </c>
      <c r="AE442" s="48"/>
    </row>
    <row r="443" spans="1:31" ht="15" thickBot="1">
      <c r="A443" s="34">
        <v>441</v>
      </c>
      <c r="B443" s="34" t="s">
        <v>290</v>
      </c>
      <c r="C443" s="41" t="s">
        <v>1355</v>
      </c>
      <c r="D443" s="34" t="s">
        <v>328</v>
      </c>
      <c r="E443" s="80">
        <f t="shared" si="42"/>
        <v>1.6172000135966818</v>
      </c>
      <c r="F443" s="35">
        <f t="shared" si="43"/>
        <v>53.968328617372435</v>
      </c>
      <c r="G443" s="42" cm="1">
        <f t="array" ref="G44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53.705502837424966</v>
      </c>
      <c r="H443" s="81" cm="1">
        <f t="array" ref="H4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1.6137384691253251</v>
      </c>
      <c r="I443" s="81" cm="1">
        <f t="array" ref="I4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1.6172000135966818</v>
      </c>
      <c r="J443" s="81" cm="1">
        <f t="array" ref="J4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1.6199239418645803</v>
      </c>
      <c r="K443" s="81" cm="1">
        <f t="array" ref="K4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1.6251748064996496</v>
      </c>
      <c r="L443" s="81" cm="1">
        <f t="array" ref="L4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1.6314689313765478</v>
      </c>
      <c r="M443" s="37">
        <f t="shared" si="44"/>
        <v>1.1436337374324479E-2</v>
      </c>
      <c r="N443" s="43">
        <f t="shared" si="45"/>
        <v>3.4615444713566035E-3</v>
      </c>
      <c r="O443" s="43">
        <f t="shared" si="46"/>
        <v>6.2941248768981772E-3</v>
      </c>
      <c r="P443" s="43">
        <f t="shared" si="47"/>
        <v>0.30267946441734539</v>
      </c>
      <c r="Q443" s="37">
        <f t="shared" si="48"/>
        <v>0.55036194464051114</v>
      </c>
      <c r="R443" s="37">
        <v>-3.5999999999999999E-3</v>
      </c>
      <c r="S443" s="44" t="s">
        <v>1391</v>
      </c>
      <c r="T443" s="45">
        <v>0.12162379600000001</v>
      </c>
      <c r="U443" s="45">
        <v>1.09215263E-2</v>
      </c>
      <c r="V443" s="45">
        <v>0.33251336199999998</v>
      </c>
      <c r="W443" s="45">
        <v>80.264440199999996</v>
      </c>
      <c r="X443" s="45">
        <v>3.8708392799999998E-2</v>
      </c>
      <c r="Y443" s="45">
        <v>5.8226740499999997E-3</v>
      </c>
      <c r="Z443" s="36">
        <v>3.3</v>
      </c>
      <c r="AA443" s="38">
        <v>600</v>
      </c>
      <c r="AB443" s="38">
        <v>725</v>
      </c>
      <c r="AC443" s="49" t="s">
        <v>506</v>
      </c>
      <c r="AD443" s="49" t="s">
        <v>506</v>
      </c>
      <c r="AE443" s="48"/>
    </row>
    <row r="444" spans="1:31" ht="15" thickBot="1">
      <c r="A444" s="34">
        <v>442</v>
      </c>
      <c r="B444" s="34" t="s">
        <v>290</v>
      </c>
      <c r="C444" s="41" t="s">
        <v>1355</v>
      </c>
      <c r="D444" s="34" t="s">
        <v>329</v>
      </c>
      <c r="E444" s="80">
        <f t="shared" si="42"/>
        <v>1.6584400144968909</v>
      </c>
      <c r="F444" s="35">
        <f t="shared" si="43"/>
        <v>50.836728927070915</v>
      </c>
      <c r="G444" s="42" cm="1">
        <f t="array" ref="G44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50.54304050188852</v>
      </c>
      <c r="H444" s="81" cm="1">
        <f t="array" ref="H4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1.6545523523210179</v>
      </c>
      <c r="I444" s="81" cm="1">
        <f t="array" ref="I4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1.6584400144968909</v>
      </c>
      <c r="J444" s="81" cm="1">
        <f t="array" ref="J4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1.6615223776373642</v>
      </c>
      <c r="K444" s="81" cm="1">
        <f t="array" ref="K4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1.6675044054604218</v>
      </c>
      <c r="L444" s="81" cm="1">
        <f t="array" ref="L4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1.6747288742779287</v>
      </c>
      <c r="M444" s="37">
        <f t="shared" si="44"/>
        <v>1.2952053139403841E-2</v>
      </c>
      <c r="N444" s="43">
        <f t="shared" si="45"/>
        <v>3.8876621758729968E-3</v>
      </c>
      <c r="O444" s="43">
        <f t="shared" si="46"/>
        <v>7.2244688175069349E-3</v>
      </c>
      <c r="P444" s="43">
        <f t="shared" si="47"/>
        <v>0.30015798530393761</v>
      </c>
      <c r="Q444" s="37">
        <f t="shared" si="48"/>
        <v>0.55778560663313215</v>
      </c>
      <c r="R444" s="37">
        <v>-1.2999999999999999E-3</v>
      </c>
      <c r="S444" s="44" t="s">
        <v>1391</v>
      </c>
      <c r="T444" s="45">
        <v>9.8366334799999997E-2</v>
      </c>
      <c r="U444" s="45">
        <v>1.03186784E-2</v>
      </c>
      <c r="V444" s="45">
        <v>0.35077030399999998</v>
      </c>
      <c r="W444" s="45">
        <v>76.394532699999999</v>
      </c>
      <c r="X444" s="45">
        <v>4.3260556899999997E-2</v>
      </c>
      <c r="Y444" s="45">
        <v>6.1448338499999998E-3</v>
      </c>
      <c r="Z444" s="36">
        <v>3.75</v>
      </c>
      <c r="AA444" s="38">
        <v>641</v>
      </c>
      <c r="AB444" s="38">
        <v>759</v>
      </c>
      <c r="AC444" s="49" t="s">
        <v>506</v>
      </c>
      <c r="AD444" s="49" t="s">
        <v>506</v>
      </c>
      <c r="AE444" s="48"/>
    </row>
    <row r="445" spans="1:31" ht="15" thickBot="1">
      <c r="A445" s="34">
        <v>443</v>
      </c>
      <c r="B445" s="34" t="s">
        <v>290</v>
      </c>
      <c r="C445" s="41" t="s">
        <v>1355</v>
      </c>
      <c r="D445" s="34" t="s">
        <v>330</v>
      </c>
      <c r="E445" s="80">
        <f t="shared" si="42"/>
        <v>1.6177200128999523</v>
      </c>
      <c r="F445" s="35">
        <f t="shared" si="43"/>
        <v>49.816129060918882</v>
      </c>
      <c r="G445" s="42" cm="1">
        <f t="array" ref="G44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49.529188000300721</v>
      </c>
      <c r="H445" s="81" cm="1">
        <f t="array" ref="H4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1.6139985981585232</v>
      </c>
      <c r="I445" s="81" cm="1">
        <f t="array" ref="I4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1.6177200128999523</v>
      </c>
      <c r="J445" s="81" cm="1">
        <f t="array" ref="J4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1.6206693064684765</v>
      </c>
      <c r="K445" s="81" cm="1">
        <f t="array" ref="K4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1.6263985984103404</v>
      </c>
      <c r="L445" s="81" cm="1">
        <f t="array" ref="L4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1.6333394249314841</v>
      </c>
      <c r="M445" s="37">
        <f t="shared" si="44"/>
        <v>1.24000002518172E-2</v>
      </c>
      <c r="N445" s="43">
        <f t="shared" si="45"/>
        <v>3.7214147414290633E-3</v>
      </c>
      <c r="O445" s="43">
        <f t="shared" si="46"/>
        <v>6.9408265211436948E-3</v>
      </c>
      <c r="P445" s="43">
        <f t="shared" si="47"/>
        <v>0.30011408595606243</v>
      </c>
      <c r="Q445" s="37">
        <f t="shared" si="48"/>
        <v>0.55974406291858969</v>
      </c>
      <c r="R445" s="37">
        <v>-1.1999999999999999E-3</v>
      </c>
      <c r="S445" s="44" t="s">
        <v>1391</v>
      </c>
      <c r="T445" s="45">
        <v>0.114440812</v>
      </c>
      <c r="U445" s="45">
        <v>8.67672536E-3</v>
      </c>
      <c r="V445" s="45">
        <v>0.334364724</v>
      </c>
      <c r="W445" s="45">
        <v>82.257706999999996</v>
      </c>
      <c r="X445" s="45">
        <v>4.8853147700000002E-2</v>
      </c>
      <c r="Y445" s="45">
        <v>6.3253162200000001E-3</v>
      </c>
      <c r="Z445" s="36">
        <v>3.18</v>
      </c>
      <c r="AA445" s="38">
        <v>593</v>
      </c>
      <c r="AB445" s="38">
        <v>720</v>
      </c>
      <c r="AC445" s="49" t="s">
        <v>506</v>
      </c>
      <c r="AD445" s="49" t="s">
        <v>506</v>
      </c>
      <c r="AE445" s="48"/>
    </row>
    <row r="446" spans="1:31" ht="15" thickBot="1">
      <c r="A446" s="34">
        <v>444</v>
      </c>
      <c r="B446" s="34" t="s">
        <v>290</v>
      </c>
      <c r="C446" s="41" t="s">
        <v>1356</v>
      </c>
      <c r="D446" s="34" t="s">
        <v>331</v>
      </c>
      <c r="E446" s="80">
        <f t="shared" si="42"/>
        <v>1.5481400126246674</v>
      </c>
      <c r="F446" s="35">
        <f t="shared" si="43"/>
        <v>45.519571069221136</v>
      </c>
      <c r="G446" s="42" cm="1">
        <f t="array" ref="G44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45.230776826265028</v>
      </c>
      <c r="H446" s="81" cm="1">
        <f t="array" ref="H4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1.5445503007070305</v>
      </c>
      <c r="I446" s="81" cm="1">
        <f t="array" ref="I4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1.5481400126246674</v>
      </c>
      <c r="J446" s="81" cm="1">
        <f t="array" ref="J4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1.5509994300142544</v>
      </c>
      <c r="K446" s="81" cm="1">
        <f t="array" ref="K4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1.5565921543482064</v>
      </c>
      <c r="L446" s="81" cm="1">
        <f t="array" ref="L4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1.563439611527045</v>
      </c>
      <c r="M446" s="37">
        <f t="shared" si="44"/>
        <v>1.2041853641175937E-2</v>
      </c>
      <c r="N446" s="43">
        <f t="shared" si="45"/>
        <v>3.5897119176369063E-3</v>
      </c>
      <c r="O446" s="43">
        <f t="shared" si="46"/>
        <v>6.8474571788386118E-3</v>
      </c>
      <c r="P446" s="43">
        <f t="shared" si="47"/>
        <v>0.29810293536223015</v>
      </c>
      <c r="Q446" s="37">
        <f t="shared" si="48"/>
        <v>0.56863813353655157</v>
      </c>
      <c r="R446" s="37">
        <v>5.0000000000000001E-4</v>
      </c>
      <c r="S446" s="44" t="s">
        <v>1391</v>
      </c>
      <c r="T446" s="45">
        <v>0.11427254000000001</v>
      </c>
      <c r="U446" s="45">
        <v>1.16097513E-2</v>
      </c>
      <c r="V446" s="45">
        <v>0.29878042599999999</v>
      </c>
      <c r="W446" s="45">
        <v>83.659844199999995</v>
      </c>
      <c r="X446" s="45">
        <v>5.0323255099999999E-2</v>
      </c>
      <c r="Y446" s="45">
        <v>6.5497124200000001E-3</v>
      </c>
      <c r="Z446" s="36">
        <v>2.5499999999999998</v>
      </c>
      <c r="AA446" s="38">
        <v>471</v>
      </c>
      <c r="AB446" s="38">
        <v>628</v>
      </c>
      <c r="AC446" s="49" t="s">
        <v>506</v>
      </c>
      <c r="AD446" s="49" t="s">
        <v>506</v>
      </c>
      <c r="AE446" s="48"/>
    </row>
    <row r="447" spans="1:31" ht="15" thickBot="1">
      <c r="A447" s="34">
        <v>445</v>
      </c>
      <c r="B447" s="34" t="s">
        <v>290</v>
      </c>
      <c r="C447" s="41" t="s">
        <v>1356</v>
      </c>
      <c r="D447" s="34" t="s">
        <v>332</v>
      </c>
      <c r="E447" s="80">
        <f t="shared" si="42"/>
        <v>1.5407200137589521</v>
      </c>
      <c r="F447" s="35">
        <f t="shared" si="43"/>
        <v>46.972369521147499</v>
      </c>
      <c r="G447" s="42" cm="1">
        <f t="array" ref="G44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46.68409937738037</v>
      </c>
      <c r="H447" s="81" cm="1">
        <f t="array" ref="H4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1.5372799605810024</v>
      </c>
      <c r="I447" s="81" cm="1">
        <f t="array" ref="I4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1.5407200137589521</v>
      </c>
      <c r="J447" s="81" cm="1">
        <f t="array" ref="J4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1.5434548772027439</v>
      </c>
      <c r="K447" s="81" cm="1">
        <f t="array" ref="K4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1.5487914091042776</v>
      </c>
      <c r="L447" s="81" cm="1">
        <f t="array" ref="L4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1.5553031909852972</v>
      </c>
      <c r="M447" s="37">
        <f t="shared" si="44"/>
        <v>1.1511448523275236E-2</v>
      </c>
      <c r="N447" s="43">
        <f t="shared" si="45"/>
        <v>3.440053177949709E-3</v>
      </c>
      <c r="O447" s="43">
        <f t="shared" si="46"/>
        <v>6.5117818810196404E-3</v>
      </c>
      <c r="P447" s="43">
        <f t="shared" si="47"/>
        <v>0.29883755906080756</v>
      </c>
      <c r="Q447" s="37">
        <f t="shared" si="48"/>
        <v>0.56567875605344831</v>
      </c>
      <c r="R447" s="37">
        <v>-1E-4</v>
      </c>
      <c r="S447" s="44" t="s">
        <v>1391</v>
      </c>
      <c r="T447" s="45">
        <v>0.113935561</v>
      </c>
      <c r="U447" s="45">
        <v>1.02232092E-2</v>
      </c>
      <c r="V447" s="45">
        <v>0.29686557299999999</v>
      </c>
      <c r="W447" s="45">
        <v>84.205131800000004</v>
      </c>
      <c r="X447" s="45">
        <v>5.0325463600000002E-2</v>
      </c>
      <c r="Y447" s="45">
        <v>6.5441293600000004E-3</v>
      </c>
      <c r="Z447" s="36">
        <v>2.5299999999999998</v>
      </c>
      <c r="AA447" s="38">
        <v>460</v>
      </c>
      <c r="AB447" s="38">
        <v>629</v>
      </c>
      <c r="AC447" s="49" t="s">
        <v>506</v>
      </c>
      <c r="AD447" s="49" t="s">
        <v>506</v>
      </c>
      <c r="AE447" s="48"/>
    </row>
    <row r="448" spans="1:31" ht="15" thickBot="1">
      <c r="A448" s="34">
        <v>446</v>
      </c>
      <c r="B448" s="34" t="s">
        <v>290</v>
      </c>
      <c r="C448" s="41" t="s">
        <v>1356</v>
      </c>
      <c r="D448" s="34" t="s">
        <v>333</v>
      </c>
      <c r="E448" s="80">
        <f t="shared" si="42"/>
        <v>1.5317200121740833</v>
      </c>
      <c r="F448" s="35">
        <f t="shared" si="43"/>
        <v>48.78207825406664</v>
      </c>
      <c r="G448" s="42" cm="1">
        <f t="array" ref="G44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48.494738508428036</v>
      </c>
      <c r="H448" s="81" cm="1">
        <f t="array" ref="H4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1.5284531828843786</v>
      </c>
      <c r="I448" s="81" cm="1">
        <f t="array" ref="I4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1.5317200121740833</v>
      </c>
      <c r="J448" s="81" cm="1">
        <f t="array" ref="J4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1.5343109903876051</v>
      </c>
      <c r="K448" s="81" cm="1">
        <f t="array" ref="K4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1.5393530877511779</v>
      </c>
      <c r="L448" s="81" cm="1">
        <f t="array" ref="L4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1.5454821034926032</v>
      </c>
      <c r="M448" s="37">
        <f t="shared" si="44"/>
        <v>1.0899904866799259E-2</v>
      </c>
      <c r="N448" s="43">
        <f t="shared" si="45"/>
        <v>3.2668292897046758E-3</v>
      </c>
      <c r="O448" s="43">
        <f t="shared" si="46"/>
        <v>6.1290157414253255E-3</v>
      </c>
      <c r="P448" s="43">
        <f t="shared" si="47"/>
        <v>0.29971172497618093</v>
      </c>
      <c r="Q448" s="37">
        <f t="shared" si="48"/>
        <v>0.56229992979976362</v>
      </c>
      <c r="R448" s="37">
        <v>-2.9999999999999997E-4</v>
      </c>
      <c r="S448" s="44" t="s">
        <v>1391</v>
      </c>
      <c r="T448" s="45">
        <v>0.10755727399999999</v>
      </c>
      <c r="U448" s="45">
        <v>9.7958689899999996E-3</v>
      </c>
      <c r="V448" s="45">
        <v>0.29326719200000001</v>
      </c>
      <c r="W448" s="45">
        <v>79.453821899999994</v>
      </c>
      <c r="X448" s="45">
        <v>4.8667515199999997E-2</v>
      </c>
      <c r="Y448" s="45">
        <v>6.3952675799999999E-3</v>
      </c>
      <c r="Z448" s="36">
        <v>2.5099999999999998</v>
      </c>
      <c r="AA448" s="38">
        <v>511</v>
      </c>
      <c r="AB448" s="38">
        <v>684</v>
      </c>
      <c r="AC448" s="49" t="s">
        <v>506</v>
      </c>
      <c r="AD448" s="49" t="s">
        <v>506</v>
      </c>
      <c r="AE448" s="48"/>
    </row>
    <row r="449" spans="1:31" ht="15" thickBot="1">
      <c r="A449" s="34">
        <v>447</v>
      </c>
      <c r="B449" s="34" t="s">
        <v>290</v>
      </c>
      <c r="C449" s="41" t="s">
        <v>1356</v>
      </c>
      <c r="D449" s="34" t="s">
        <v>334</v>
      </c>
      <c r="E449" s="80">
        <f t="shared" si="42"/>
        <v>1.5814400151353487</v>
      </c>
      <c r="F449" s="35">
        <f t="shared" si="43"/>
        <v>40.982674407250265</v>
      </c>
      <c r="G449" s="42" cm="1">
        <f t="array" ref="G44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40.70766534279381</v>
      </c>
      <c r="H449" s="81" cm="1">
        <f t="array" ref="H4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1.5772370797130177</v>
      </c>
      <c r="I449" s="81" cm="1">
        <f t="array" ref="I4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1.5814400151353487</v>
      </c>
      <c r="J449" s="81" cm="1">
        <f t="array" ref="J4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1.5848045747022068</v>
      </c>
      <c r="K449" s="81" cm="1">
        <f t="array" ref="K4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1.5914245387684591</v>
      </c>
      <c r="L449" s="81" cm="1">
        <f t="array" ref="L4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1.5996018658854718</v>
      </c>
      <c r="M449" s="37">
        <f t="shared" si="44"/>
        <v>1.4187459055441387E-2</v>
      </c>
      <c r="N449" s="43">
        <f t="shared" si="45"/>
        <v>4.2029354223309667E-3</v>
      </c>
      <c r="O449" s="43">
        <f t="shared" si="46"/>
        <v>8.1773271170126893E-3</v>
      </c>
      <c r="P449" s="43">
        <f t="shared" si="47"/>
        <v>0.29624299925073572</v>
      </c>
      <c r="Q449" s="37">
        <f t="shared" si="48"/>
        <v>0.57637714301465404</v>
      </c>
      <c r="R449" s="37">
        <v>6.9999999999999999E-4</v>
      </c>
      <c r="S449" s="44" t="s">
        <v>1391</v>
      </c>
      <c r="T449" s="45">
        <v>0.112159838</v>
      </c>
      <c r="U449" s="45">
        <v>1.17641971E-2</v>
      </c>
      <c r="V449" s="45">
        <v>0.31332789500000002</v>
      </c>
      <c r="W449" s="45">
        <v>79.000998899999999</v>
      </c>
      <c r="X449" s="45">
        <v>5.5449439900000001E-2</v>
      </c>
      <c r="Y449" s="45">
        <v>7.1468075100000004E-3</v>
      </c>
      <c r="Z449" s="36">
        <v>2.58</v>
      </c>
      <c r="AA449" s="38">
        <v>576</v>
      </c>
      <c r="AB449" s="38">
        <v>720</v>
      </c>
      <c r="AC449" s="49" t="s">
        <v>506</v>
      </c>
      <c r="AD449" s="49" t="s">
        <v>506</v>
      </c>
      <c r="AE449" s="48"/>
    </row>
    <row r="450" spans="1:31" ht="15" thickBot="1">
      <c r="A450" s="34">
        <v>448</v>
      </c>
      <c r="B450" s="34" t="s">
        <v>290</v>
      </c>
      <c r="C450" s="41" t="s">
        <v>1356</v>
      </c>
      <c r="D450" s="34" t="s">
        <v>335</v>
      </c>
      <c r="E450" s="80">
        <f t="shared" si="42"/>
        <v>1.567320014125507</v>
      </c>
      <c r="F450" s="35">
        <f t="shared" si="43"/>
        <v>42.579392773818945</v>
      </c>
      <c r="G450" s="42" cm="1">
        <f t="array" ref="G45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42.289705013911757</v>
      </c>
      <c r="H450" s="81" cm="1">
        <f t="array" ref="H4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1.5633698872640902</v>
      </c>
      <c r="I450" s="81" cm="1">
        <f t="array" ref="I4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1.567320014125507</v>
      </c>
      <c r="J450" s="81" cm="1">
        <f t="array" ref="J4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1.5704805295482074</v>
      </c>
      <c r="K450" s="81" cm="1">
        <f t="array" ref="K4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1.5766937037200717</v>
      </c>
      <c r="L450" s="81" cm="1">
        <f t="array" ref="L4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1.5843578759687849</v>
      </c>
      <c r="M450" s="37">
        <f t="shared" si="44"/>
        <v>1.3323816455981463E-2</v>
      </c>
      <c r="N450" s="43">
        <f t="shared" si="45"/>
        <v>3.950126861416825E-3</v>
      </c>
      <c r="O450" s="43">
        <f t="shared" si="46"/>
        <v>7.6641722487131858E-3</v>
      </c>
      <c r="P450" s="43">
        <f t="shared" si="47"/>
        <v>0.29647112555678401</v>
      </c>
      <c r="Q450" s="37">
        <f t="shared" si="48"/>
        <v>0.57522349351131352</v>
      </c>
      <c r="R450" s="37">
        <v>2.3999999999999998E-3</v>
      </c>
      <c r="S450" s="44" t="s">
        <v>1391</v>
      </c>
      <c r="T450" s="45">
        <v>9.9658930300000004E-2</v>
      </c>
      <c r="U450" s="45">
        <v>1.0662052E-2</v>
      </c>
      <c r="V450" s="45">
        <v>0.308177533</v>
      </c>
      <c r="W450" s="45">
        <v>74.753369699999993</v>
      </c>
      <c r="X450" s="45">
        <v>5.58428365E-2</v>
      </c>
      <c r="Y450" s="45">
        <v>7.0129739200000003E-3</v>
      </c>
      <c r="Z450" s="36">
        <v>2.61</v>
      </c>
      <c r="AA450" s="38">
        <v>499</v>
      </c>
      <c r="AB450" s="38">
        <v>641</v>
      </c>
      <c r="AC450" s="49" t="s">
        <v>506</v>
      </c>
      <c r="AD450" s="49" t="s">
        <v>506</v>
      </c>
      <c r="AE450" s="48"/>
    </row>
    <row r="451" spans="1:31" ht="15" thickBot="1">
      <c r="A451" s="34">
        <v>449</v>
      </c>
      <c r="B451" s="34" t="s">
        <v>290</v>
      </c>
      <c r="C451" s="41" t="s">
        <v>1356</v>
      </c>
      <c r="D451" s="34" t="s">
        <v>336</v>
      </c>
      <c r="E451" s="80">
        <f t="shared" ref="E451:E514" si="49">I451</f>
        <v>1.5750100142802468</v>
      </c>
      <c r="F451" s="35">
        <f t="shared" ref="F451:F514" si="50">(I451-1)/M451</f>
        <v>41.515669686110236</v>
      </c>
      <c r="G451" s="42" cm="1">
        <f t="array" ref="G45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41.23411107306206</v>
      </c>
      <c r="H451" s="81" cm="1">
        <f t="array" ref="H4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1.5709068635820744</v>
      </c>
      <c r="I451" s="81" cm="1">
        <f t="array" ref="I4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1.5750100142802468</v>
      </c>
      <c r="J451" s="81" cm="1">
        <f t="array" ref="J4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1.5782947230061035</v>
      </c>
      <c r="K451" s="81" cm="1">
        <f t="array" ref="K4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1.584757296891419</v>
      </c>
      <c r="L451" s="81" cm="1">
        <f t="array" ref="L4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1.5927402937510517</v>
      </c>
      <c r="M451" s="37">
        <f t="shared" ref="M451:M514" si="51">K451-H451</f>
        <v>1.3850433309344545E-2</v>
      </c>
      <c r="N451" s="43">
        <f t="shared" ref="N451:N514" si="52">I451-H451</f>
        <v>4.1031506981723531E-3</v>
      </c>
      <c r="O451" s="43">
        <f t="shared" ref="O451:O514" si="53">L451-K451</f>
        <v>7.9829968596327738E-3</v>
      </c>
      <c r="P451" s="43">
        <f t="shared" ref="P451:P514" si="54">(I451-H451)/M451</f>
        <v>0.29624709974987273</v>
      </c>
      <c r="Q451" s="37">
        <f t="shared" ref="Q451:Q514" si="55">(L451-K451)/M451</f>
        <v>0.57637163266558911</v>
      </c>
      <c r="R451" s="37">
        <v>1.6999999999999999E-3</v>
      </c>
      <c r="S451" s="44" t="s">
        <v>1391</v>
      </c>
      <c r="T451" s="45">
        <v>0.10665519499999999</v>
      </c>
      <c r="U451" s="45">
        <v>1.0780680000000001E-2</v>
      </c>
      <c r="V451" s="45">
        <v>0.31143652700000002</v>
      </c>
      <c r="W451" s="45">
        <v>77.373708600000001</v>
      </c>
      <c r="X451" s="45">
        <v>5.6698591899999998E-2</v>
      </c>
      <c r="Y451" s="45">
        <v>7.1617275300000002E-3</v>
      </c>
      <c r="Z451" s="36">
        <v>2.6</v>
      </c>
      <c r="AA451" s="38">
        <v>535</v>
      </c>
      <c r="AB451" s="38">
        <v>679</v>
      </c>
      <c r="AC451" s="49" t="s">
        <v>506</v>
      </c>
      <c r="AD451" s="49" t="s">
        <v>506</v>
      </c>
      <c r="AE451" s="48"/>
    </row>
    <row r="452" spans="1:31" ht="15" thickBot="1">
      <c r="A452" s="34">
        <v>450</v>
      </c>
      <c r="B452" s="34" t="s">
        <v>290</v>
      </c>
      <c r="C452" s="41" t="s">
        <v>1356</v>
      </c>
      <c r="D452" s="34" t="s">
        <v>337</v>
      </c>
      <c r="E452" s="80">
        <f t="shared" si="49"/>
        <v>1.6258800183803854</v>
      </c>
      <c r="F452" s="35">
        <f t="shared" si="50"/>
        <v>35.728774295256109</v>
      </c>
      <c r="G452" s="42" cm="1">
        <f t="array" ref="G45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35.465880532169614</v>
      </c>
      <c r="H452" s="81" cm="1">
        <f t="array" ref="H4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1.620741932057095</v>
      </c>
      <c r="I452" s="81" cm="1">
        <f t="array" ref="I4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1.6258800183803854</v>
      </c>
      <c r="J452" s="81" cm="1">
        <f t="array" ref="J4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1.6300251461606778</v>
      </c>
      <c r="K452" s="81" cm="1">
        <f t="array" ref="K4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1.6382594660538738</v>
      </c>
      <c r="L452" s="81" cm="1">
        <f t="array" ref="L4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1.6485763084019893</v>
      </c>
      <c r="M452" s="37">
        <f t="shared" si="51"/>
        <v>1.75175339967788E-2</v>
      </c>
      <c r="N452" s="43">
        <f t="shared" si="52"/>
        <v>5.1380863232903806E-3</v>
      </c>
      <c r="O452" s="43">
        <f t="shared" si="53"/>
        <v>1.0316842348115474E-2</v>
      </c>
      <c r="P452" s="43">
        <f t="shared" si="54"/>
        <v>0.29331105190006734</v>
      </c>
      <c r="Q452" s="37">
        <f t="shared" si="55"/>
        <v>0.58894376057797737</v>
      </c>
      <c r="R452" s="37">
        <v>4.4000000000000003E-3</v>
      </c>
      <c r="S452" s="44" t="s">
        <v>1391</v>
      </c>
      <c r="T452" s="45">
        <v>0.123165675</v>
      </c>
      <c r="U452" s="45">
        <v>1.63187357E-2</v>
      </c>
      <c r="V452" s="45">
        <v>0.32767005700000001</v>
      </c>
      <c r="W452" s="45">
        <v>82.476590400000006</v>
      </c>
      <c r="X452" s="45">
        <v>5.7381410600000002E-2</v>
      </c>
      <c r="Y452" s="45">
        <v>7.4322786599999996E-3</v>
      </c>
      <c r="Z452" s="36">
        <v>2.69</v>
      </c>
      <c r="AA452" s="38">
        <v>576</v>
      </c>
      <c r="AB452" s="38">
        <v>693</v>
      </c>
      <c r="AC452" s="49" t="s">
        <v>506</v>
      </c>
      <c r="AD452" s="49" t="s">
        <v>506</v>
      </c>
      <c r="AE452" s="48"/>
    </row>
    <row r="453" spans="1:31" ht="15" thickBot="1">
      <c r="A453" s="34">
        <v>451</v>
      </c>
      <c r="B453" s="34" t="s">
        <v>290</v>
      </c>
      <c r="C453" s="41" t="s">
        <v>1356</v>
      </c>
      <c r="D453" s="34" t="s">
        <v>338</v>
      </c>
      <c r="E453" s="80">
        <f t="shared" si="49"/>
        <v>1.6200400174407283</v>
      </c>
      <c r="F453" s="35">
        <f t="shared" si="50"/>
        <v>36.399379002894051</v>
      </c>
      <c r="G453" s="42" cm="1">
        <f t="array" ref="G45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36.133750199146213</v>
      </c>
      <c r="H453" s="81" cm="1">
        <f t="array" ref="H4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1.6150372671409363</v>
      </c>
      <c r="I453" s="81" cm="1">
        <f t="array" ref="I4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1.6200400174407283</v>
      </c>
      <c r="J453" s="81" cm="1">
        <f t="array" ref="J4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1.6240717657477151</v>
      </c>
      <c r="K453" s="81" cm="1">
        <f t="array" ref="K4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1.6320716241664073</v>
      </c>
      <c r="L453" s="81" cm="1">
        <f t="array" ref="L4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1.642081651893442</v>
      </c>
      <c r="M453" s="37">
        <f t="shared" si="51"/>
        <v>1.7034357025470959E-2</v>
      </c>
      <c r="N453" s="43">
        <f t="shared" si="52"/>
        <v>5.0027502997920248E-3</v>
      </c>
      <c r="O453" s="43">
        <f t="shared" si="53"/>
        <v>1.0010027727034743E-2</v>
      </c>
      <c r="P453" s="43">
        <f t="shared" si="54"/>
        <v>0.29368588977626592</v>
      </c>
      <c r="Q453" s="37">
        <f t="shared" si="55"/>
        <v>0.58763754405681712</v>
      </c>
      <c r="R453" s="37">
        <v>4.4999999999999997E-3</v>
      </c>
      <c r="S453" s="44" t="s">
        <v>1391</v>
      </c>
      <c r="T453" s="45">
        <v>0.104096463</v>
      </c>
      <c r="U453" s="45">
        <v>1.38585424E-2</v>
      </c>
      <c r="V453" s="45">
        <v>0.32769504399999999</v>
      </c>
      <c r="W453" s="45">
        <v>70.543189600000005</v>
      </c>
      <c r="X453" s="45">
        <v>5.95211317E-2</v>
      </c>
      <c r="Y453" s="45">
        <v>7.5800577899999997E-3</v>
      </c>
      <c r="Z453" s="36">
        <v>2.66</v>
      </c>
      <c r="AA453" s="38">
        <v>581</v>
      </c>
      <c r="AB453" s="38">
        <v>710</v>
      </c>
      <c r="AC453" s="49" t="s">
        <v>506</v>
      </c>
      <c r="AD453" s="49" t="s">
        <v>506</v>
      </c>
      <c r="AE453" s="48"/>
    </row>
    <row r="454" spans="1:31" ht="15" thickBot="1">
      <c r="A454" s="34">
        <v>452</v>
      </c>
      <c r="B454" s="34" t="s">
        <v>290</v>
      </c>
      <c r="C454" s="41" t="s">
        <v>1356</v>
      </c>
      <c r="D454" s="34" t="s">
        <v>339</v>
      </c>
      <c r="E454" s="80">
        <f t="shared" si="49"/>
        <v>1.6034200157152865</v>
      </c>
      <c r="F454" s="35">
        <f t="shared" si="50"/>
        <v>38.035870092915843</v>
      </c>
      <c r="G454" s="42" cm="1">
        <f t="array" ref="G45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37.767027006306272</v>
      </c>
      <c r="H454" s="81" cm="1">
        <f t="array" ref="H4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1.5987455466518741</v>
      </c>
      <c r="I454" s="81" cm="1">
        <f t="array" ref="I4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1.6034200157152865</v>
      </c>
      <c r="J454" s="81" cm="1">
        <f t="array" ref="J4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1.6071781315386025</v>
      </c>
      <c r="K454" s="81" cm="1">
        <f t="array" ref="K4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1.6146100454589534</v>
      </c>
      <c r="L454" s="81" cm="1">
        <f t="array" ref="L4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1.6238584284325821</v>
      </c>
      <c r="M454" s="37">
        <f t="shared" si="51"/>
        <v>1.5864498807079297E-2</v>
      </c>
      <c r="N454" s="43">
        <f t="shared" si="52"/>
        <v>4.6744690634124009E-3</v>
      </c>
      <c r="O454" s="43">
        <f t="shared" si="53"/>
        <v>9.2483829736287326E-3</v>
      </c>
      <c r="P454" s="43">
        <f t="shared" si="54"/>
        <v>0.29464965267774412</v>
      </c>
      <c r="Q454" s="37">
        <f t="shared" si="55"/>
        <v>0.58296092968923663</v>
      </c>
      <c r="R454" s="37">
        <v>2.3999999999999998E-3</v>
      </c>
      <c r="S454" s="44" t="s">
        <v>1391</v>
      </c>
      <c r="T454" s="45">
        <v>0.103312268</v>
      </c>
      <c r="U454" s="45">
        <v>1.31044204E-2</v>
      </c>
      <c r="V454" s="45">
        <v>0.32135449799999999</v>
      </c>
      <c r="W454" s="45">
        <v>72.587722099999993</v>
      </c>
      <c r="X454" s="45">
        <v>5.7593813200000003E-2</v>
      </c>
      <c r="Y454" s="45">
        <v>7.4553764199999997E-3</v>
      </c>
      <c r="Z454" s="36">
        <v>2.63</v>
      </c>
      <c r="AA454" s="38">
        <v>583</v>
      </c>
      <c r="AB454" s="38">
        <v>714</v>
      </c>
      <c r="AC454" s="49" t="s">
        <v>506</v>
      </c>
      <c r="AD454" s="49" t="s">
        <v>506</v>
      </c>
      <c r="AE454" s="48"/>
    </row>
    <row r="455" spans="1:31" ht="15" thickBot="1">
      <c r="A455" s="34">
        <v>453</v>
      </c>
      <c r="B455" s="34" t="s">
        <v>290</v>
      </c>
      <c r="C455" s="41" t="s">
        <v>1356</v>
      </c>
      <c r="D455" s="34" t="s">
        <v>340</v>
      </c>
      <c r="E455" s="80">
        <f t="shared" si="49"/>
        <v>1.5955100157878097</v>
      </c>
      <c r="F455" s="35">
        <f t="shared" si="50"/>
        <v>39.219409995715999</v>
      </c>
      <c r="G455" s="42" cm="1">
        <f t="array" ref="G45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38.945080426191829</v>
      </c>
      <c r="H455" s="81" cm="1">
        <f t="array" ref="H4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1.5910282397201363</v>
      </c>
      <c r="I455" s="81" cm="1">
        <f t="array" ref="I4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1.5955100157878097</v>
      </c>
      <c r="J455" s="81" cm="1">
        <f t="array" ref="J4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1.5991081253924611</v>
      </c>
      <c r="K455" s="81" cm="1">
        <f t="array" ref="K4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1.6062123033216249</v>
      </c>
      <c r="L455" s="81" cm="1">
        <f t="array" ref="L4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1.6150311455677566</v>
      </c>
      <c r="M455" s="37">
        <f t="shared" si="51"/>
        <v>1.5184063601488607E-2</v>
      </c>
      <c r="N455" s="43">
        <f t="shared" si="52"/>
        <v>4.4817760676734153E-3</v>
      </c>
      <c r="O455" s="43">
        <f t="shared" si="53"/>
        <v>8.8188422461317195E-3</v>
      </c>
      <c r="P455" s="43">
        <f t="shared" si="54"/>
        <v>0.29516315166343438</v>
      </c>
      <c r="Q455" s="37">
        <f t="shared" si="55"/>
        <v>0.58079592377808154</v>
      </c>
      <c r="R455" s="37">
        <v>2E-3</v>
      </c>
      <c r="S455" s="44" t="s">
        <v>1391</v>
      </c>
      <c r="T455" s="45">
        <v>0.12338865</v>
      </c>
      <c r="U455" s="45">
        <v>1.4497753800000001E-2</v>
      </c>
      <c r="V455" s="45">
        <v>0.31667917000000001</v>
      </c>
      <c r="W455" s="45">
        <v>85.720155199999994</v>
      </c>
      <c r="X455" s="45">
        <v>5.4573708300000003E-2</v>
      </c>
      <c r="Y455" s="45">
        <v>7.0780435900000003E-3</v>
      </c>
      <c r="Z455" s="36">
        <v>2.63</v>
      </c>
      <c r="AA455" s="38">
        <v>580</v>
      </c>
      <c r="AB455" s="38"/>
      <c r="AC455" s="49" t="s">
        <v>506</v>
      </c>
      <c r="AD455" s="49" t="s">
        <v>506</v>
      </c>
      <c r="AE455" s="48"/>
    </row>
    <row r="456" spans="1:31" ht="15" thickBot="1">
      <c r="A456" s="34">
        <v>454</v>
      </c>
      <c r="B456" s="34" t="s">
        <v>290</v>
      </c>
      <c r="C456" s="41" t="s">
        <v>1356</v>
      </c>
      <c r="D456" s="34" t="s">
        <v>341</v>
      </c>
      <c r="E456" s="80">
        <f t="shared" si="49"/>
        <v>1.7173600275763878</v>
      </c>
      <c r="F456" s="35">
        <f t="shared" si="50"/>
        <v>29.575993391881706</v>
      </c>
      <c r="G456" s="42" cm="1">
        <f t="array" ref="G45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29.343220064803944</v>
      </c>
      <c r="H456" s="81" cm="1">
        <f t="array" ref="H4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1.7103375229865392</v>
      </c>
      <c r="I456" s="81" cm="1">
        <f t="array" ref="I4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1.7173600275763878</v>
      </c>
      <c r="J456" s="81" cm="1">
        <f t="array" ref="J4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1.7230859887482379</v>
      </c>
      <c r="K456" s="81" cm="1">
        <f t="array" ref="K4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1.7345923305282969</v>
      </c>
      <c r="L456" s="81" cm="1">
        <f t="array" ref="L4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1.7492343593203772</v>
      </c>
      <c r="M456" s="37">
        <f t="shared" si="51"/>
        <v>2.4254807541757684E-2</v>
      </c>
      <c r="N456" s="43">
        <f t="shared" si="52"/>
        <v>7.0225045898486549E-3</v>
      </c>
      <c r="O456" s="43">
        <f t="shared" si="53"/>
        <v>1.4642028792080319E-2</v>
      </c>
      <c r="P456" s="43">
        <f t="shared" si="54"/>
        <v>0.28953041898017684</v>
      </c>
      <c r="Q456" s="37">
        <f t="shared" si="55"/>
        <v>0.60367532361871912</v>
      </c>
      <c r="R456" s="37">
        <v>8.8999999999999999E-3</v>
      </c>
      <c r="S456" s="44" t="s">
        <v>1391</v>
      </c>
      <c r="T456" s="45">
        <v>0.10912997200000001</v>
      </c>
      <c r="U456" s="45">
        <v>2.1059335799999999E-2</v>
      </c>
      <c r="V456" s="45">
        <v>0.35982878299999999</v>
      </c>
      <c r="W456" s="45">
        <v>81.033150599999999</v>
      </c>
      <c r="X456" s="45">
        <v>6.0428818299999999E-2</v>
      </c>
      <c r="Y456" s="45">
        <v>8.3941982799999992E-3</v>
      </c>
      <c r="Z456" s="36">
        <v>3.07</v>
      </c>
      <c r="AA456" s="38">
        <v>587</v>
      </c>
      <c r="AB456" s="38">
        <v>689</v>
      </c>
      <c r="AC456" s="49" t="s">
        <v>506</v>
      </c>
      <c r="AD456" s="49" t="s">
        <v>506</v>
      </c>
      <c r="AE456" s="48"/>
    </row>
    <row r="457" spans="1:31" ht="15" thickBot="1">
      <c r="A457" s="34">
        <v>455</v>
      </c>
      <c r="B457" s="34" t="s">
        <v>290</v>
      </c>
      <c r="C457" s="41" t="s">
        <v>1356</v>
      </c>
      <c r="D457" s="34" t="s">
        <v>342</v>
      </c>
      <c r="E457" s="80">
        <f t="shared" si="49"/>
        <v>1.6476900214963004</v>
      </c>
      <c r="F457" s="35">
        <f t="shared" si="50"/>
        <v>33.72664828845565</v>
      </c>
      <c r="G457" s="42" cm="1">
        <f t="array" ref="G45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33.47107500104439</v>
      </c>
      <c r="H457" s="81" cm="1">
        <f t="array" ref="H4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1.642081941844709</v>
      </c>
      <c r="I457" s="81" cm="1">
        <f t="array" ref="I4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1.6476900214963004</v>
      </c>
      <c r="J457" s="81" cm="1">
        <f t="array" ref="J4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1.6522318452418878</v>
      </c>
      <c r="K457" s="81" cm="1">
        <f t="array" ref="K4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1.6612860446644369</v>
      </c>
      <c r="L457" s="81" cm="1">
        <f t="array" ref="L4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1.6726752153492246</v>
      </c>
      <c r="M457" s="37">
        <f t="shared" si="51"/>
        <v>1.9204102819727842E-2</v>
      </c>
      <c r="N457" s="43">
        <f t="shared" si="52"/>
        <v>5.60807965159138E-3</v>
      </c>
      <c r="O457" s="43">
        <f t="shared" si="53"/>
        <v>1.1389170684787731E-2</v>
      </c>
      <c r="P457" s="43">
        <f t="shared" si="54"/>
        <v>0.29202507944450057</v>
      </c>
      <c r="Q457" s="37">
        <f t="shared" si="55"/>
        <v>0.59305924320963077</v>
      </c>
      <c r="R457" s="37">
        <v>5.3E-3</v>
      </c>
      <c r="S457" s="44" t="s">
        <v>1391</v>
      </c>
      <c r="T457" s="45">
        <v>0.116164065</v>
      </c>
      <c r="U457" s="45">
        <v>1.7534270599999999E-2</v>
      </c>
      <c r="V457" s="45">
        <v>0.33534105600000003</v>
      </c>
      <c r="W457" s="45">
        <v>85.533564400000003</v>
      </c>
      <c r="X457" s="45">
        <v>5.7948813000000002E-2</v>
      </c>
      <c r="Y457" s="45">
        <v>7.8232684199999996E-3</v>
      </c>
      <c r="Z457" s="36">
        <v>2.72</v>
      </c>
      <c r="AA457" s="38">
        <v>540</v>
      </c>
      <c r="AB457" s="38">
        <v>641</v>
      </c>
      <c r="AC457" s="49" t="s">
        <v>506</v>
      </c>
      <c r="AD457" s="49" t="s">
        <v>506</v>
      </c>
      <c r="AE457" s="48"/>
    </row>
    <row r="458" spans="1:31" ht="15" thickBot="1">
      <c r="A458" s="34">
        <v>456</v>
      </c>
      <c r="B458" s="34" t="s">
        <v>290</v>
      </c>
      <c r="C458" s="41" t="s">
        <v>1356</v>
      </c>
      <c r="D458" s="34" t="s">
        <v>343</v>
      </c>
      <c r="E458" s="80">
        <f t="shared" si="49"/>
        <v>1.7552000295350376</v>
      </c>
      <c r="F458" s="35">
        <f t="shared" si="50"/>
        <v>27.575502358605714</v>
      </c>
      <c r="G458" s="42" cm="1">
        <f t="array" ref="G45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27.356616350293908</v>
      </c>
      <c r="H458" s="81" cm="1">
        <f t="array" ref="H4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1.7473045529850302</v>
      </c>
      <c r="I458" s="81" cm="1">
        <f t="array" ref="I4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1.7552000295350376</v>
      </c>
      <c r="J458" s="81" cm="1">
        <f t="array" ref="J4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1.7616587499895764</v>
      </c>
      <c r="K458" s="81" cm="1">
        <f t="array" ref="K4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1.7746911811491897</v>
      </c>
      <c r="L458" s="81" cm="1">
        <f t="array" ref="L4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1.7913790101053324</v>
      </c>
      <c r="M458" s="37">
        <f t="shared" si="51"/>
        <v>2.7386628164159488E-2</v>
      </c>
      <c r="N458" s="43">
        <f t="shared" si="52"/>
        <v>7.8954765500074409E-3</v>
      </c>
      <c r="O458" s="43">
        <f t="shared" si="53"/>
        <v>1.6687828956142736E-2</v>
      </c>
      <c r="P458" s="43">
        <f t="shared" si="54"/>
        <v>0.28829677398330272</v>
      </c>
      <c r="Q458" s="37">
        <f t="shared" si="55"/>
        <v>0.60934222556035111</v>
      </c>
      <c r="R458" s="37">
        <v>1.12E-2</v>
      </c>
      <c r="S458" s="44" t="s">
        <v>1391</v>
      </c>
      <c r="T458" s="45">
        <v>0.110339135</v>
      </c>
      <c r="U458" s="45">
        <v>2.34104129E-2</v>
      </c>
      <c r="V458" s="45">
        <v>0.37195697</v>
      </c>
      <c r="W458" s="45">
        <v>80.030036999999993</v>
      </c>
      <c r="X458" s="45">
        <v>6.1479778800000003E-2</v>
      </c>
      <c r="Y458" s="45">
        <v>8.6609912400000006E-3</v>
      </c>
      <c r="Z458" s="36">
        <v>3.22</v>
      </c>
      <c r="AA458" s="38">
        <v>617</v>
      </c>
      <c r="AB458" s="38">
        <v>711</v>
      </c>
      <c r="AC458" s="49" t="s">
        <v>506</v>
      </c>
      <c r="AD458" s="49" t="s">
        <v>506</v>
      </c>
      <c r="AE458" s="48"/>
    </row>
    <row r="459" spans="1:31" ht="15" thickBot="1">
      <c r="A459" s="34">
        <v>457</v>
      </c>
      <c r="B459" s="34" t="s">
        <v>290</v>
      </c>
      <c r="C459" s="41" t="s">
        <v>1356</v>
      </c>
      <c r="D459" s="34" t="s">
        <v>344</v>
      </c>
      <c r="E459" s="80">
        <f t="shared" si="49"/>
        <v>1.6727000222655197</v>
      </c>
      <c r="F459" s="35">
        <f t="shared" si="50"/>
        <v>32.19142632060192</v>
      </c>
      <c r="G459" s="42" cm="1">
        <f t="array" ref="G45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31.941534930835729</v>
      </c>
      <c r="H459" s="81" cm="1">
        <f t="array" ref="H4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1.6666186226162765</v>
      </c>
      <c r="I459" s="81" cm="1">
        <f t="array" ref="I4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1.6727000222655197</v>
      </c>
      <c r="J459" s="81" cm="1">
        <f t="array" ref="J4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1.6776382386068713</v>
      </c>
      <c r="K459" s="81" cm="1">
        <f t="array" ref="K4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1.6875154917256456</v>
      </c>
      <c r="L459" s="81" cm="1">
        <f t="array" ref="L4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1.7000018705803683</v>
      </c>
      <c r="M459" s="37">
        <f t="shared" si="51"/>
        <v>2.0896869109369165E-2</v>
      </c>
      <c r="N459" s="43">
        <f t="shared" si="52"/>
        <v>6.0813996492432576E-3</v>
      </c>
      <c r="O459" s="43">
        <f t="shared" si="53"/>
        <v>1.2486378854722702E-2</v>
      </c>
      <c r="P459" s="43">
        <f t="shared" si="54"/>
        <v>0.29101965550028958</v>
      </c>
      <c r="Q459" s="37">
        <f t="shared" si="55"/>
        <v>0.59752390606324857</v>
      </c>
      <c r="R459" s="37">
        <v>6.8999999999999999E-3</v>
      </c>
      <c r="S459" s="44" t="s">
        <v>1391</v>
      </c>
      <c r="T459" s="45">
        <v>0.12654934900000001</v>
      </c>
      <c r="U459" s="45">
        <v>1.9561606200000001E-2</v>
      </c>
      <c r="V459" s="45">
        <v>0.34363091899999998</v>
      </c>
      <c r="W459" s="45">
        <v>91.511895999999993</v>
      </c>
      <c r="X459" s="45">
        <v>5.84865283E-2</v>
      </c>
      <c r="Y459" s="45">
        <v>7.8797495500000005E-3</v>
      </c>
      <c r="Z459" s="36">
        <v>2.9</v>
      </c>
      <c r="AA459" s="38">
        <v>582</v>
      </c>
      <c r="AB459" s="38">
        <v>692</v>
      </c>
      <c r="AC459" s="49" t="s">
        <v>506</v>
      </c>
      <c r="AD459" s="49" t="s">
        <v>506</v>
      </c>
      <c r="AE459" s="48"/>
    </row>
    <row r="460" spans="1:31" ht="15" thickBot="1">
      <c r="A460" s="34">
        <v>458</v>
      </c>
      <c r="B460" s="34" t="s">
        <v>290</v>
      </c>
      <c r="C460" s="41" t="s">
        <v>1356</v>
      </c>
      <c r="D460" s="34" t="s">
        <v>345</v>
      </c>
      <c r="E460" s="80">
        <f t="shared" si="49"/>
        <v>1.8051800337331321</v>
      </c>
      <c r="F460" s="35">
        <f t="shared" si="50"/>
        <v>25.453394630759519</v>
      </c>
      <c r="G460" s="42" cm="1">
        <f t="array" ref="G46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25.249617781429691</v>
      </c>
      <c r="H460" s="81" cm="1">
        <f t="array" ref="H4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1.7961083288766448</v>
      </c>
      <c r="I460" s="81" cm="1">
        <f t="array" ref="I4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1.8051800337331321</v>
      </c>
      <c r="J460" s="81" cm="1">
        <f t="array" ref="J4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1.8126319965401909</v>
      </c>
      <c r="K460" s="81" cm="1">
        <f t="array" ref="K4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1.827741831810674</v>
      </c>
      <c r="L460" s="81" cm="1">
        <f t="array" ref="L4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1.8472219323248118</v>
      </c>
      <c r="M460" s="37">
        <f t="shared" si="51"/>
        <v>3.1633502934029112E-2</v>
      </c>
      <c r="N460" s="43">
        <f t="shared" si="52"/>
        <v>9.0717048564872282E-3</v>
      </c>
      <c r="O460" s="43">
        <f t="shared" si="53"/>
        <v>1.9480100514137844E-2</v>
      </c>
      <c r="P460" s="43">
        <f t="shared" si="54"/>
        <v>0.28677522294657171</v>
      </c>
      <c r="Q460" s="37">
        <f t="shared" si="55"/>
        <v>0.61580598755576044</v>
      </c>
      <c r="R460" s="37">
        <v>1.4E-2</v>
      </c>
      <c r="S460" s="44" t="s">
        <v>1391</v>
      </c>
      <c r="T460" s="45">
        <v>0.101435791</v>
      </c>
      <c r="U460" s="45">
        <v>2.7271488399999998E-2</v>
      </c>
      <c r="V460" s="45">
        <v>0.38652503900000001</v>
      </c>
      <c r="W460" s="45">
        <v>75.914841800000005</v>
      </c>
      <c r="X460" s="45">
        <v>6.1730018900000003E-2</v>
      </c>
      <c r="Y460" s="45">
        <v>8.91225912E-3</v>
      </c>
      <c r="Z460" s="36">
        <v>3.34</v>
      </c>
      <c r="AA460" s="38">
        <v>571</v>
      </c>
      <c r="AB460" s="38">
        <v>679</v>
      </c>
      <c r="AC460" s="49" t="s">
        <v>506</v>
      </c>
      <c r="AD460" s="39" t="s">
        <v>1371</v>
      </c>
      <c r="AE460" s="48"/>
    </row>
    <row r="461" spans="1:31" ht="15" thickBot="1">
      <c r="A461" s="34">
        <v>459</v>
      </c>
      <c r="B461" s="34" t="s">
        <v>290</v>
      </c>
      <c r="C461" s="41" t="s">
        <v>1356</v>
      </c>
      <c r="D461" s="34" t="s">
        <v>346</v>
      </c>
      <c r="E461" s="80">
        <f t="shared" si="49"/>
        <v>1.8051800337331321</v>
      </c>
      <c r="F461" s="35">
        <f t="shared" si="50"/>
        <v>25.453394630759519</v>
      </c>
      <c r="G461" s="42" cm="1">
        <f t="array" ref="G46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25.249617781429691</v>
      </c>
      <c r="H461" s="81" cm="1">
        <f t="array" ref="H4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1.7961083288766448</v>
      </c>
      <c r="I461" s="81" cm="1">
        <f t="array" ref="I4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1.8051800337331321</v>
      </c>
      <c r="J461" s="81" cm="1">
        <f t="array" ref="J4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1.8126319965401909</v>
      </c>
      <c r="K461" s="81" cm="1">
        <f t="array" ref="K4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1.827741831810674</v>
      </c>
      <c r="L461" s="81" cm="1">
        <f t="array" ref="L4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1.8472219323248118</v>
      </c>
      <c r="M461" s="37">
        <f t="shared" si="51"/>
        <v>3.1633502934029112E-2</v>
      </c>
      <c r="N461" s="43">
        <f t="shared" si="52"/>
        <v>9.0717048564872282E-3</v>
      </c>
      <c r="O461" s="43">
        <f t="shared" si="53"/>
        <v>1.9480100514137844E-2</v>
      </c>
      <c r="P461" s="43">
        <f t="shared" si="54"/>
        <v>0.28677522294657171</v>
      </c>
      <c r="Q461" s="37">
        <f t="shared" si="55"/>
        <v>0.61580598755576044</v>
      </c>
      <c r="R461" s="37">
        <v>1.4E-2</v>
      </c>
      <c r="S461" s="44" t="s">
        <v>1391</v>
      </c>
      <c r="T461" s="45">
        <v>0.101435791</v>
      </c>
      <c r="U461" s="45">
        <v>2.7271488399999998E-2</v>
      </c>
      <c r="V461" s="45">
        <v>0.38652503900000001</v>
      </c>
      <c r="W461" s="45">
        <v>75.914841800000005</v>
      </c>
      <c r="X461" s="45">
        <v>6.1730018900000003E-2</v>
      </c>
      <c r="Y461" s="45">
        <v>8.91225912E-3</v>
      </c>
      <c r="Z461" s="36">
        <v>3.34</v>
      </c>
      <c r="AA461" s="38">
        <v>571</v>
      </c>
      <c r="AB461" s="38">
        <v>679</v>
      </c>
      <c r="AC461" s="49" t="s">
        <v>506</v>
      </c>
      <c r="AD461" s="39" t="s">
        <v>1371</v>
      </c>
      <c r="AE461" s="48"/>
    </row>
    <row r="462" spans="1:31" ht="15" thickBot="1">
      <c r="A462" s="34">
        <v>460</v>
      </c>
      <c r="B462" s="34" t="s">
        <v>290</v>
      </c>
      <c r="C462" s="41" t="s">
        <v>1356</v>
      </c>
      <c r="D462" s="34" t="s">
        <v>347</v>
      </c>
      <c r="E462" s="80">
        <f t="shared" si="49"/>
        <v>1.6398000185949269</v>
      </c>
      <c r="F462" s="35">
        <f t="shared" si="50"/>
        <v>34.551619349486145</v>
      </c>
      <c r="G462" s="42" cm="1">
        <f t="array" ref="G46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34.291577011670924</v>
      </c>
      <c r="H462" s="81" cm="1">
        <f t="array" ref="H4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1.6343839844167083</v>
      </c>
      <c r="I462" s="81" cm="1">
        <f t="array" ref="I4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1.6398000185949269</v>
      </c>
      <c r="J462" s="81" cm="1">
        <f t="array" ref="J4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1.6441802292789329</v>
      </c>
      <c r="K462" s="81" cm="1">
        <f t="array" ref="K4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1.6529012067825666</v>
      </c>
      <c r="L462" s="81" cm="1">
        <f t="array" ref="L4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1.6638563843189209</v>
      </c>
      <c r="M462" s="37">
        <f t="shared" si="51"/>
        <v>1.8517222365858288E-2</v>
      </c>
      <c r="N462" s="43">
        <f t="shared" si="52"/>
        <v>5.416034178218565E-3</v>
      </c>
      <c r="O462" s="43">
        <f t="shared" si="53"/>
        <v>1.0955177536354332E-2</v>
      </c>
      <c r="P462" s="43">
        <f t="shared" si="54"/>
        <v>0.29248631739739478</v>
      </c>
      <c r="Q462" s="37">
        <f t="shared" si="55"/>
        <v>0.59162099584402494</v>
      </c>
      <c r="R462" s="37">
        <v>5.1000000000000004E-3</v>
      </c>
      <c r="S462" s="44" t="s">
        <v>1391</v>
      </c>
      <c r="T462" s="45">
        <v>0.11641455000000001</v>
      </c>
      <c r="U462" s="45">
        <v>1.64966821E-2</v>
      </c>
      <c r="V462" s="45">
        <v>0.33321742900000001</v>
      </c>
      <c r="W462" s="45">
        <v>83.258514899999994</v>
      </c>
      <c r="X462" s="45">
        <v>5.8343344200000001E-2</v>
      </c>
      <c r="Y462" s="45">
        <v>7.7110656199999997E-3</v>
      </c>
      <c r="Z462" s="36">
        <v>2.76</v>
      </c>
      <c r="AA462" s="38">
        <v>584</v>
      </c>
      <c r="AB462" s="38">
        <v>704</v>
      </c>
      <c r="AC462" s="49" t="s">
        <v>506</v>
      </c>
      <c r="AD462" s="49" t="s">
        <v>506</v>
      </c>
      <c r="AE462" s="48"/>
    </row>
    <row r="463" spans="1:31" ht="15" thickBot="1">
      <c r="A463" s="34">
        <v>461</v>
      </c>
      <c r="B463" s="34" t="s">
        <v>290</v>
      </c>
      <c r="C463" s="41" t="s">
        <v>1356</v>
      </c>
      <c r="D463" s="34" t="s">
        <v>348</v>
      </c>
      <c r="E463" s="80">
        <f t="shared" si="49"/>
        <v>1.6889300238848142</v>
      </c>
      <c r="F463" s="35">
        <f t="shared" si="50"/>
        <v>31.166794581004446</v>
      </c>
      <c r="G463" s="42" cm="1">
        <f t="array" ref="G46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30.924289124639376</v>
      </c>
      <c r="H463" s="81" cm="1">
        <f t="array" ref="H4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1.6825089331701213</v>
      </c>
      <c r="I463" s="81" cm="1">
        <f t="array" ref="I4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1.6889300238848142</v>
      </c>
      <c r="J463" s="81" cm="1">
        <f t="array" ref="J4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1.6941523660324957</v>
      </c>
      <c r="K463" s="81" cm="1">
        <f t="array" ref="K4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1.7046135490969931</v>
      </c>
      <c r="L463" s="81" cm="1">
        <f t="array" ref="L4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1.717862406915619</v>
      </c>
      <c r="M463" s="37">
        <f t="shared" si="51"/>
        <v>2.2104615926871851E-2</v>
      </c>
      <c r="N463" s="43">
        <f t="shared" si="52"/>
        <v>6.4210907146928786E-3</v>
      </c>
      <c r="O463" s="43">
        <f t="shared" si="53"/>
        <v>1.3248857818625837E-2</v>
      </c>
      <c r="P463" s="43">
        <f t="shared" si="54"/>
        <v>0.2904864185804274</v>
      </c>
      <c r="Q463" s="37">
        <f t="shared" si="55"/>
        <v>0.59937064106685689</v>
      </c>
      <c r="R463" s="37">
        <v>7.1999999999999998E-3</v>
      </c>
      <c r="S463" s="44" t="s">
        <v>1391</v>
      </c>
      <c r="T463" s="45">
        <v>0.10297118099999999</v>
      </c>
      <c r="U463" s="45">
        <v>1.9490080600000001E-2</v>
      </c>
      <c r="V463" s="45">
        <v>0.35016067400000001</v>
      </c>
      <c r="W463" s="45">
        <v>77.598532500000005</v>
      </c>
      <c r="X463" s="45">
        <v>5.9477289799999999E-2</v>
      </c>
      <c r="Y463" s="45">
        <v>8.1936017299999997E-3</v>
      </c>
      <c r="Z463" s="36">
        <v>2.93</v>
      </c>
      <c r="AA463" s="38">
        <v>544</v>
      </c>
      <c r="AB463" s="38">
        <v>648</v>
      </c>
      <c r="AC463" s="49" t="s">
        <v>506</v>
      </c>
      <c r="AD463" s="49" t="s">
        <v>506</v>
      </c>
      <c r="AE463" s="48"/>
    </row>
    <row r="464" spans="1:31" ht="15" thickBot="1">
      <c r="A464" s="34">
        <v>462</v>
      </c>
      <c r="B464" s="34" t="s">
        <v>290</v>
      </c>
      <c r="C464" s="41" t="s">
        <v>1356</v>
      </c>
      <c r="D464" s="34" t="s">
        <v>349</v>
      </c>
      <c r="E464" s="80">
        <f t="shared" si="49"/>
        <v>1.7282500288438956</v>
      </c>
      <c r="F464" s="35">
        <f t="shared" si="50"/>
        <v>28.381811672881415</v>
      </c>
      <c r="G464" s="42" cm="1">
        <f t="array" ref="G46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28.15785305777916</v>
      </c>
      <c r="H464" s="81" cm="1">
        <f t="array" ref="H4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1.7208381057523723</v>
      </c>
      <c r="I464" s="81" cm="1">
        <f t="array" ref="I4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1.7282500288438956</v>
      </c>
      <c r="J464" s="81" cm="1">
        <f t="array" ref="J4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1.7343038265477335</v>
      </c>
      <c r="K464" s="81" cm="1">
        <f t="array" ref="K4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1.7464971453245266</v>
      </c>
      <c r="L464" s="81" cm="1">
        <f t="array" ref="L4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1.7620704760409533</v>
      </c>
      <c r="M464" s="37">
        <f t="shared" si="51"/>
        <v>2.5659039572154319E-2</v>
      </c>
      <c r="N464" s="43">
        <f t="shared" si="52"/>
        <v>7.4119230915232759E-3</v>
      </c>
      <c r="O464" s="43">
        <f t="shared" si="53"/>
        <v>1.5573330716426748E-2</v>
      </c>
      <c r="P464" s="43">
        <f t="shared" si="54"/>
        <v>0.28886206245875379</v>
      </c>
      <c r="Q464" s="37">
        <f t="shared" si="55"/>
        <v>0.60693350086755482</v>
      </c>
      <c r="R464" s="37">
        <v>1.01E-2</v>
      </c>
      <c r="S464" s="44" t="s">
        <v>1391</v>
      </c>
      <c r="T464" s="45">
        <v>0.10575061500000001</v>
      </c>
      <c r="U464" s="45">
        <v>2.2156751499999999E-2</v>
      </c>
      <c r="V464" s="45">
        <v>0.36270074400000002</v>
      </c>
      <c r="W464" s="45">
        <v>76.5392188</v>
      </c>
      <c r="X464" s="45">
        <v>6.1251918699999998E-2</v>
      </c>
      <c r="Y464" s="45">
        <v>8.5946945999999993E-3</v>
      </c>
      <c r="Z464" s="36">
        <v>3.06</v>
      </c>
      <c r="AA464" s="38">
        <v>600</v>
      </c>
      <c r="AB464" s="38">
        <v>698</v>
      </c>
      <c r="AC464" s="49" t="s">
        <v>506</v>
      </c>
      <c r="AD464" s="49" t="s">
        <v>506</v>
      </c>
      <c r="AE464" s="48"/>
    </row>
    <row r="465" spans="1:31" ht="15" thickBot="1">
      <c r="A465" s="34">
        <v>463</v>
      </c>
      <c r="B465" s="34" t="s">
        <v>290</v>
      </c>
      <c r="C465" s="41" t="s">
        <v>1356</v>
      </c>
      <c r="D465" s="34" t="s">
        <v>350</v>
      </c>
      <c r="E465" s="80">
        <f t="shared" si="49"/>
        <v>1.7847200312210445</v>
      </c>
      <c r="F465" s="35">
        <f t="shared" si="50"/>
        <v>25.641618609612681</v>
      </c>
      <c r="G465" s="42" cm="1">
        <f t="array" ref="G46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25.435820140543431</v>
      </c>
      <c r="H465" s="81" cm="1">
        <f t="array" ref="H4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1.7759399040145556</v>
      </c>
      <c r="I465" s="81" cm="1">
        <f t="array" ref="I4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1.7847200312210445</v>
      </c>
      <c r="J465" s="81" cm="1">
        <f t="array" ref="J4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1.7919290759363606</v>
      </c>
      <c r="K465" s="81" cm="1">
        <f t="array" ref="K4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1.80654327750545</v>
      </c>
      <c r="L465" s="81" cm="1">
        <f t="array" ref="L4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1.8253889002202501</v>
      </c>
      <c r="M465" s="37">
        <f t="shared" si="51"/>
        <v>3.060337349089437E-2</v>
      </c>
      <c r="N465" s="43">
        <f t="shared" si="52"/>
        <v>8.780127206488908E-3</v>
      </c>
      <c r="O465" s="43">
        <f t="shared" si="53"/>
        <v>1.884562271480017E-2</v>
      </c>
      <c r="P465" s="43">
        <f t="shared" si="54"/>
        <v>0.28690063234699659</v>
      </c>
      <c r="Q465" s="37">
        <f t="shared" si="55"/>
        <v>0.61580213437604958</v>
      </c>
      <c r="R465" s="37">
        <v>1.44E-2</v>
      </c>
      <c r="S465" s="44" t="s">
        <v>1391</v>
      </c>
      <c r="T465" s="45">
        <v>9.2946578599999996E-2</v>
      </c>
      <c r="U465" s="45">
        <v>2.5533079E-2</v>
      </c>
      <c r="V465" s="45">
        <v>0.38047610900000001</v>
      </c>
      <c r="W465" s="45">
        <v>67.997765900000005</v>
      </c>
      <c r="X465" s="45">
        <v>6.2926060500000006E-2</v>
      </c>
      <c r="Y465" s="45">
        <v>9.0192914299999996E-3</v>
      </c>
      <c r="Z465" s="36">
        <v>3.25</v>
      </c>
      <c r="AA465" s="38">
        <v>605</v>
      </c>
      <c r="AB465" s="38">
        <v>704</v>
      </c>
      <c r="AC465" s="49" t="s">
        <v>506</v>
      </c>
      <c r="AD465" s="49" t="s">
        <v>506</v>
      </c>
      <c r="AE465" s="48"/>
    </row>
    <row r="466" spans="1:31" ht="15" thickBot="1">
      <c r="A466" s="34">
        <v>464</v>
      </c>
      <c r="B466" s="34" t="s">
        <v>290</v>
      </c>
      <c r="C466" s="41" t="s">
        <v>1356</v>
      </c>
      <c r="D466" s="34" t="s">
        <v>351</v>
      </c>
      <c r="E466" s="80">
        <f t="shared" si="49"/>
        <v>1.7407700280884166</v>
      </c>
      <c r="F466" s="35">
        <f t="shared" si="50"/>
        <v>27.744968262419242</v>
      </c>
      <c r="G466" s="42" cm="1">
        <f t="array" ref="G46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27.525142087006433</v>
      </c>
      <c r="H466" s="81" cm="1">
        <f t="array" ref="H4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1.7330690542730594</v>
      </c>
      <c r="I466" s="81" cm="1">
        <f t="array" ref="I4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1.7407700280884166</v>
      </c>
      <c r="J466" s="81" cm="1">
        <f t="array" ref="J4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1.7470670486755688</v>
      </c>
      <c r="K466" s="81" cm="1">
        <f t="array" ref="K4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1.7597683109123901</v>
      </c>
      <c r="L466" s="81" cm="1">
        <f t="array" ref="L4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1.7760244834043433</v>
      </c>
      <c r="M466" s="37">
        <f t="shared" si="51"/>
        <v>2.6699256639330704E-2</v>
      </c>
      <c r="N466" s="43">
        <f t="shared" si="52"/>
        <v>7.7009738153572815E-3</v>
      </c>
      <c r="O466" s="43">
        <f t="shared" si="53"/>
        <v>1.6256172491953214E-2</v>
      </c>
      <c r="P466" s="43">
        <f t="shared" si="54"/>
        <v>0.2884340159498287</v>
      </c>
      <c r="Q466" s="37">
        <f t="shared" si="55"/>
        <v>0.60886236315681641</v>
      </c>
      <c r="R466" s="37">
        <v>1.0999999999999999E-2</v>
      </c>
      <c r="S466" s="44" t="s">
        <v>1391</v>
      </c>
      <c r="T466" s="45">
        <v>0.11255048600000001</v>
      </c>
      <c r="U466" s="45">
        <v>2.33049439E-2</v>
      </c>
      <c r="V466" s="45">
        <v>0.36635452299999999</v>
      </c>
      <c r="W466" s="45">
        <v>80.796947299999999</v>
      </c>
      <c r="X466" s="45">
        <v>6.1318733700000003E-2</v>
      </c>
      <c r="Y466" s="45">
        <v>8.6380411000000004E-3</v>
      </c>
      <c r="Z466" s="36">
        <v>3.1</v>
      </c>
      <c r="AA466" s="38">
        <v>604</v>
      </c>
      <c r="AB466" s="38">
        <v>704</v>
      </c>
      <c r="AC466" s="49" t="s">
        <v>506</v>
      </c>
      <c r="AD466" s="49" t="s">
        <v>506</v>
      </c>
      <c r="AE466" s="48"/>
    </row>
    <row r="467" spans="1:31" ht="15" thickBot="1">
      <c r="A467" s="34">
        <v>465</v>
      </c>
      <c r="B467" s="34" t="s">
        <v>290</v>
      </c>
      <c r="C467" s="41" t="s">
        <v>1356</v>
      </c>
      <c r="D467" s="34" t="s">
        <v>352</v>
      </c>
      <c r="E467" s="80">
        <f t="shared" si="49"/>
        <v>1.7618200318058894</v>
      </c>
      <c r="F467" s="35">
        <f t="shared" si="50"/>
        <v>26.588849872538436</v>
      </c>
      <c r="G467" s="42" cm="1">
        <f t="array" ref="G46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26.376377235335074</v>
      </c>
      <c r="H467" s="81" cm="1">
        <f t="array" ref="H4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1.7535794971986034</v>
      </c>
      <c r="I467" s="81" cm="1">
        <f t="array" ref="I4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1.7618200318058894</v>
      </c>
      <c r="J467" s="81" cm="1">
        <f t="array" ref="J4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1.7685727203245569</v>
      </c>
      <c r="K467" s="81" cm="1">
        <f t="array" ref="K4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1.7822313582402769</v>
      </c>
      <c r="L467" s="81" cm="1">
        <f t="array" ref="L4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1.7997899529805506</v>
      </c>
      <c r="M467" s="37">
        <f t="shared" si="51"/>
        <v>2.8651861041673499E-2</v>
      </c>
      <c r="N467" s="43">
        <f t="shared" si="52"/>
        <v>8.2405346072860208E-3</v>
      </c>
      <c r="O467" s="43">
        <f t="shared" si="53"/>
        <v>1.7558594740273659E-2</v>
      </c>
      <c r="P467" s="43">
        <f t="shared" si="54"/>
        <v>0.2876090525254309</v>
      </c>
      <c r="Q467" s="37">
        <f t="shared" si="55"/>
        <v>0.61282562814105057</v>
      </c>
      <c r="R467" s="37">
        <v>1.2999999999999999E-2</v>
      </c>
      <c r="S467" s="44" t="s">
        <v>1391</v>
      </c>
      <c r="T467" s="45">
        <v>0.10534476600000001</v>
      </c>
      <c r="U467" s="45">
        <v>2.43859017E-2</v>
      </c>
      <c r="V467" s="45">
        <v>0.37315167300000002</v>
      </c>
      <c r="W467" s="45">
        <v>74.826597000000007</v>
      </c>
      <c r="X467" s="45">
        <v>6.2421783699999997E-2</v>
      </c>
      <c r="Y467" s="45">
        <v>8.8302880499999993E-3</v>
      </c>
      <c r="Z467" s="36">
        <v>3.17</v>
      </c>
      <c r="AA467" s="38">
        <v>617</v>
      </c>
      <c r="AB467" s="38">
        <v>716</v>
      </c>
      <c r="AC467" s="49" t="s">
        <v>506</v>
      </c>
      <c r="AD467" s="49" t="s">
        <v>506</v>
      </c>
      <c r="AE467" s="48"/>
    </row>
    <row r="468" spans="1:31" ht="15" thickBot="1">
      <c r="A468" s="34">
        <v>466</v>
      </c>
      <c r="B468" s="34" t="s">
        <v>290</v>
      </c>
      <c r="C468" s="41" t="s">
        <v>1356</v>
      </c>
      <c r="D468" s="34" t="s">
        <v>353</v>
      </c>
      <c r="E468" s="80">
        <f t="shared" si="49"/>
        <v>1.6989500241809021</v>
      </c>
      <c r="F468" s="35">
        <f t="shared" si="50"/>
        <v>30.134869832999229</v>
      </c>
      <c r="G468" s="42" cm="1">
        <f t="array" ref="G46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29.898424057038877</v>
      </c>
      <c r="H468" s="81" cm="1">
        <f t="array" ref="H4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1.6922268981409669</v>
      </c>
      <c r="I468" s="81" cm="1">
        <f t="array" ref="I4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1.6989500241809021</v>
      </c>
      <c r="J468" s="81" cm="1">
        <f t="array" ref="J4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1.7044269153468732</v>
      </c>
      <c r="K468" s="81" cm="1">
        <f t="array" ref="K4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1.7154209596402974</v>
      </c>
      <c r="L468" s="81" cm="1">
        <f t="array" ref="L4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1.7293887869677727</v>
      </c>
      <c r="M468" s="37">
        <f t="shared" si="51"/>
        <v>2.3194061499330454E-2</v>
      </c>
      <c r="N468" s="43">
        <f t="shared" si="52"/>
        <v>6.72312603993519E-3</v>
      </c>
      <c r="O468" s="43">
        <f t="shared" si="53"/>
        <v>1.3967827327475257E-2</v>
      </c>
      <c r="P468" s="43">
        <f t="shared" si="54"/>
        <v>0.28986411198958267</v>
      </c>
      <c r="Q468" s="37">
        <f t="shared" si="55"/>
        <v>0.6022156717950613</v>
      </c>
      <c r="R468" s="37">
        <v>8.3000000000000001E-3</v>
      </c>
      <c r="S468" s="44" t="s">
        <v>1391</v>
      </c>
      <c r="T468" s="45">
        <v>0.11192242199999999</v>
      </c>
      <c r="U468" s="45">
        <v>2.0815031500000001E-2</v>
      </c>
      <c r="V468" s="45">
        <v>0.35266192800000001</v>
      </c>
      <c r="W468" s="45">
        <v>83.193190099999995</v>
      </c>
      <c r="X468" s="45">
        <v>5.9820800700000003E-2</v>
      </c>
      <c r="Y468" s="45">
        <v>8.2944724699999996E-3</v>
      </c>
      <c r="Z468" s="36">
        <v>2.95</v>
      </c>
      <c r="AA468" s="38">
        <v>571</v>
      </c>
      <c r="AB468" s="38">
        <v>675</v>
      </c>
      <c r="AC468" s="49" t="s">
        <v>506</v>
      </c>
      <c r="AD468" s="49" t="s">
        <v>506</v>
      </c>
      <c r="AE468" s="48"/>
    </row>
    <row r="469" spans="1:31" ht="15" thickBot="1">
      <c r="A469" s="34">
        <v>467</v>
      </c>
      <c r="B469" s="34" t="s">
        <v>290</v>
      </c>
      <c r="C469" s="41" t="s">
        <v>1356</v>
      </c>
      <c r="D469" s="34" t="s">
        <v>354</v>
      </c>
      <c r="E469" s="80">
        <f t="shared" si="49"/>
        <v>1.8466600388334604</v>
      </c>
      <c r="F469" s="35">
        <f t="shared" si="50"/>
        <v>23.801033140476534</v>
      </c>
      <c r="G469" s="42" cm="1">
        <f t="array" ref="G46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23.609906307839871</v>
      </c>
      <c r="H469" s="81" cm="1">
        <f t="array" ref="H4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1.836503586487976</v>
      </c>
      <c r="I469" s="81" cm="1">
        <f t="array" ref="I4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1.8466600388334604</v>
      </c>
      <c r="J469" s="81" cm="1">
        <f t="array" ref="J4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1.8550308546595855</v>
      </c>
      <c r="K469" s="81" cm="1">
        <f t="array" ref="K4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1.8720759935274676</v>
      </c>
      <c r="L469" s="81" cm="1">
        <f t="array" ref="L4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1.8941924159246282</v>
      </c>
      <c r="M469" s="37">
        <f t="shared" si="51"/>
        <v>3.5572407039491605E-2</v>
      </c>
      <c r="N469" s="43">
        <f t="shared" si="52"/>
        <v>1.0156452345484457E-2</v>
      </c>
      <c r="O469" s="43">
        <f t="shared" si="53"/>
        <v>2.2116422397160607E-2</v>
      </c>
      <c r="P469" s="43">
        <f t="shared" si="54"/>
        <v>0.28551490300358406</v>
      </c>
      <c r="Q469" s="37">
        <f t="shared" si="55"/>
        <v>0.62172971237531105</v>
      </c>
      <c r="R469" s="37">
        <v>1.7100000000000001E-2</v>
      </c>
      <c r="S469" s="44" t="s">
        <v>1391</v>
      </c>
      <c r="T469" s="45">
        <v>0.111923941</v>
      </c>
      <c r="U469" s="45">
        <v>3.0484131899999999E-2</v>
      </c>
      <c r="V469" s="45">
        <v>0.39797327300000002</v>
      </c>
      <c r="W469" s="45">
        <v>82.841007399999995</v>
      </c>
      <c r="X469" s="45">
        <v>6.2369929400000003E-2</v>
      </c>
      <c r="Y469" s="45">
        <v>9.1016660999999992E-3</v>
      </c>
      <c r="Z469" s="36">
        <v>3.53</v>
      </c>
      <c r="AA469" s="38">
        <v>615</v>
      </c>
      <c r="AB469" s="38"/>
      <c r="AC469" s="49" t="s">
        <v>506</v>
      </c>
      <c r="AD469" s="39" t="s">
        <v>1371</v>
      </c>
      <c r="AE469" s="48"/>
    </row>
    <row r="470" spans="1:31" ht="15" thickBot="1">
      <c r="A470" s="34">
        <v>468</v>
      </c>
      <c r="B470" s="34" t="s">
        <v>290</v>
      </c>
      <c r="C470" s="41" t="s">
        <v>1356</v>
      </c>
      <c r="D470" s="34" t="s">
        <v>355</v>
      </c>
      <c r="E470" s="80">
        <f t="shared" si="49"/>
        <v>1.8466600388334604</v>
      </c>
      <c r="F470" s="35">
        <f t="shared" si="50"/>
        <v>23.801033140476534</v>
      </c>
      <c r="G470" s="42" cm="1">
        <f t="array" ref="G47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23.609906307839871</v>
      </c>
      <c r="H470" s="81" cm="1">
        <f t="array" ref="H4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1.836503586487976</v>
      </c>
      <c r="I470" s="81" cm="1">
        <f t="array" ref="I4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1.8466600388334604</v>
      </c>
      <c r="J470" s="81" cm="1">
        <f t="array" ref="J4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1.8550308546595855</v>
      </c>
      <c r="K470" s="81" cm="1">
        <f t="array" ref="K4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1.8720759935274676</v>
      </c>
      <c r="L470" s="81" cm="1">
        <f t="array" ref="L4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1.8941924159246282</v>
      </c>
      <c r="M470" s="37">
        <f t="shared" si="51"/>
        <v>3.5572407039491605E-2</v>
      </c>
      <c r="N470" s="43">
        <f t="shared" si="52"/>
        <v>1.0156452345484457E-2</v>
      </c>
      <c r="O470" s="43">
        <f t="shared" si="53"/>
        <v>2.2116422397160607E-2</v>
      </c>
      <c r="P470" s="43">
        <f t="shared" si="54"/>
        <v>0.28551490300358406</v>
      </c>
      <c r="Q470" s="37">
        <f t="shared" si="55"/>
        <v>0.62172971237531105</v>
      </c>
      <c r="R470" s="37">
        <v>1.7100000000000001E-2</v>
      </c>
      <c r="S470" s="44" t="s">
        <v>1391</v>
      </c>
      <c r="T470" s="45">
        <v>0.111923941</v>
      </c>
      <c r="U470" s="45">
        <v>3.0484131899999999E-2</v>
      </c>
      <c r="V470" s="45">
        <v>0.39797327300000002</v>
      </c>
      <c r="W470" s="45">
        <v>82.841007399999995</v>
      </c>
      <c r="X470" s="45">
        <v>6.2369929400000003E-2</v>
      </c>
      <c r="Y470" s="45">
        <v>9.1016660999999992E-3</v>
      </c>
      <c r="Z470" s="36">
        <v>3.53</v>
      </c>
      <c r="AA470" s="38">
        <v>615</v>
      </c>
      <c r="AB470" s="38"/>
      <c r="AC470" s="49" t="s">
        <v>506</v>
      </c>
      <c r="AD470" s="39" t="s">
        <v>1371</v>
      </c>
      <c r="AE470" s="46" t="s">
        <v>770</v>
      </c>
    </row>
    <row r="471" spans="1:31" ht="15" thickBot="1">
      <c r="A471" s="34">
        <v>469</v>
      </c>
      <c r="B471" s="34" t="s">
        <v>290</v>
      </c>
      <c r="C471" s="41" t="s">
        <v>1356</v>
      </c>
      <c r="D471" s="34" t="s">
        <v>356</v>
      </c>
      <c r="E471" s="80">
        <f t="shared" si="49"/>
        <v>1.7847000327533171</v>
      </c>
      <c r="F471" s="35">
        <f t="shared" si="50"/>
        <v>26.270675662579645</v>
      </c>
      <c r="G471" s="42" cm="1">
        <f t="array" ref="G47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26.061053750633128</v>
      </c>
      <c r="H471" s="81" cm="1">
        <f t="array" ref="H4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1.776115825966323</v>
      </c>
      <c r="I471" s="81" cm="1">
        <f t="array" ref="I4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1.7847000327533171</v>
      </c>
      <c r="J471" s="81" cm="1">
        <f t="array" ref="J4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1.791739564582461</v>
      </c>
      <c r="K471" s="81" cm="1">
        <f t="array" ref="K4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1.805985633763884</v>
      </c>
      <c r="L471" s="81" cm="1">
        <f t="array" ref="L4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1.8243015116967811</v>
      </c>
      <c r="M471" s="37">
        <f t="shared" si="51"/>
        <v>2.9869807797560988E-2</v>
      </c>
      <c r="N471" s="43">
        <f t="shared" si="52"/>
        <v>8.5842067869941197E-3</v>
      </c>
      <c r="O471" s="43">
        <f t="shared" si="53"/>
        <v>1.8315877932897129E-2</v>
      </c>
      <c r="P471" s="43">
        <f t="shared" si="54"/>
        <v>0.28738741290779451</v>
      </c>
      <c r="Q471" s="37">
        <f t="shared" si="55"/>
        <v>0.61319035117436238</v>
      </c>
      <c r="R471" s="37">
        <v>1.2800000000000001E-2</v>
      </c>
      <c r="S471" s="44" t="s">
        <v>1391</v>
      </c>
      <c r="T471" s="45">
        <v>9.3335271900000003E-2</v>
      </c>
      <c r="U471" s="45">
        <v>2.6683499699999998E-2</v>
      </c>
      <c r="V471" s="45">
        <v>0.37967292899999999</v>
      </c>
      <c r="W471" s="45">
        <v>67.949920700000007</v>
      </c>
      <c r="X471" s="45">
        <v>6.0967309800000001E-2</v>
      </c>
      <c r="Y471" s="45">
        <v>8.70602218E-3</v>
      </c>
      <c r="Z471" s="36">
        <v>3.28</v>
      </c>
      <c r="AA471" s="38">
        <v>581</v>
      </c>
      <c r="AB471" s="38">
        <v>691</v>
      </c>
      <c r="AC471" s="49" t="s">
        <v>506</v>
      </c>
      <c r="AD471" s="49" t="s">
        <v>506</v>
      </c>
      <c r="AE471" s="48"/>
    </row>
    <row r="472" spans="1:31" ht="15" thickBot="1">
      <c r="A472" s="34">
        <v>470</v>
      </c>
      <c r="B472" s="34" t="s">
        <v>290</v>
      </c>
      <c r="C472" s="41" t="s">
        <v>1357</v>
      </c>
      <c r="D472" s="34" t="s">
        <v>357</v>
      </c>
      <c r="E472" s="80">
        <f t="shared" si="49"/>
        <v>1.8080900383248046</v>
      </c>
      <c r="F472" s="35">
        <f t="shared" si="50"/>
        <v>22.744356114522045</v>
      </c>
      <c r="G472" s="42" cm="1">
        <f t="array" ref="G47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22.557050167151722</v>
      </c>
      <c r="H472" s="81" cm="1">
        <f t="array" ref="H4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1.7979868809034709</v>
      </c>
      <c r="I472" s="81" cm="1">
        <f t="array" ref="I4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1.8080900383248046</v>
      </c>
      <c r="J472" s="81" cm="1">
        <f t="array" ref="J4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1.8164387291635746</v>
      </c>
      <c r="K472" s="81" cm="1">
        <f t="array" ref="K4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1.8335161363484667</v>
      </c>
      <c r="L472" s="81" cm="1">
        <f t="array" ref="L4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1.8558608944351929</v>
      </c>
      <c r="M472" s="37">
        <f t="shared" si="51"/>
        <v>3.5529255444995744E-2</v>
      </c>
      <c r="N472" s="43">
        <f t="shared" si="52"/>
        <v>1.0103157421333719E-2</v>
      </c>
      <c r="O472" s="43">
        <f t="shared" si="53"/>
        <v>2.2344758086726202E-2</v>
      </c>
      <c r="P472" s="43">
        <f t="shared" si="54"/>
        <v>0.28436164211138115</v>
      </c>
      <c r="Q472" s="37">
        <f t="shared" si="55"/>
        <v>0.62891152113556148</v>
      </c>
      <c r="R472" s="37">
        <v>2.2599999999999999E-2</v>
      </c>
      <c r="S472" s="44" t="s">
        <v>1391</v>
      </c>
      <c r="T472" s="45">
        <v>9.8573045200000001E-2</v>
      </c>
      <c r="U472" s="45">
        <v>3.0415879900000001E-2</v>
      </c>
      <c r="V472" s="45">
        <v>0.38291699200000001</v>
      </c>
      <c r="W472" s="45">
        <v>67.241200399999997</v>
      </c>
      <c r="X472" s="45">
        <v>6.5341391900000004E-2</v>
      </c>
      <c r="Y472" s="45">
        <v>9.4081316399999993E-3</v>
      </c>
      <c r="Z472" s="36">
        <v>3.31</v>
      </c>
      <c r="AA472" s="38">
        <v>581</v>
      </c>
      <c r="AB472" s="38">
        <v>676</v>
      </c>
      <c r="AC472" s="49" t="s">
        <v>506</v>
      </c>
      <c r="AD472" s="49" t="s">
        <v>506</v>
      </c>
      <c r="AE472" s="48"/>
    </row>
    <row r="473" spans="1:31" ht="15" thickBot="1">
      <c r="A473" s="34">
        <v>471</v>
      </c>
      <c r="B473" s="34" t="s">
        <v>290</v>
      </c>
      <c r="C473" s="41" t="s">
        <v>1357</v>
      </c>
      <c r="D473" s="34" t="s">
        <v>873</v>
      </c>
      <c r="E473" s="80">
        <f t="shared" si="49"/>
        <v>1.8080900383248046</v>
      </c>
      <c r="F473" s="35">
        <f t="shared" si="50"/>
        <v>22.744356114522045</v>
      </c>
      <c r="G473" s="42" cm="1">
        <f t="array" ref="G47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22.557050167151722</v>
      </c>
      <c r="H473" s="81" cm="1">
        <f t="array" ref="H4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1.7979868809034709</v>
      </c>
      <c r="I473" s="81" cm="1">
        <f t="array" ref="I4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1.8080900383248046</v>
      </c>
      <c r="J473" s="81" cm="1">
        <f t="array" ref="J4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1.8164387291635746</v>
      </c>
      <c r="K473" s="81" cm="1">
        <f t="array" ref="K4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1.8335161363484667</v>
      </c>
      <c r="L473" s="81" cm="1">
        <f t="array" ref="L4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1.8558608944351929</v>
      </c>
      <c r="M473" s="37">
        <f t="shared" si="51"/>
        <v>3.5529255444995744E-2</v>
      </c>
      <c r="N473" s="43">
        <f t="shared" si="52"/>
        <v>1.0103157421333719E-2</v>
      </c>
      <c r="O473" s="43">
        <f t="shared" si="53"/>
        <v>2.2344758086726202E-2</v>
      </c>
      <c r="P473" s="43">
        <f t="shared" si="54"/>
        <v>0.28436164211138115</v>
      </c>
      <c r="Q473" s="37">
        <f t="shared" si="55"/>
        <v>0.62891152113556148</v>
      </c>
      <c r="R473" s="37">
        <v>2.2599999999999999E-2</v>
      </c>
      <c r="S473" s="44" t="s">
        <v>1391</v>
      </c>
      <c r="T473" s="45">
        <v>9.8573045200000001E-2</v>
      </c>
      <c r="U473" s="45">
        <v>3.0415879900000001E-2</v>
      </c>
      <c r="V473" s="45">
        <v>0.38291699200000001</v>
      </c>
      <c r="W473" s="45">
        <v>67.241200399999997</v>
      </c>
      <c r="X473" s="45">
        <v>6.5341391900000004E-2</v>
      </c>
      <c r="Y473" s="45">
        <v>9.4081316399999993E-3</v>
      </c>
      <c r="Z473" s="36">
        <v>3.31</v>
      </c>
      <c r="AA473" s="38">
        <v>581</v>
      </c>
      <c r="AB473" s="38">
        <v>676</v>
      </c>
      <c r="AC473" s="49" t="s">
        <v>506</v>
      </c>
      <c r="AD473" s="49" t="s">
        <v>506</v>
      </c>
      <c r="AE473" s="48" t="s">
        <v>770</v>
      </c>
    </row>
    <row r="474" spans="1:31" ht="15" thickBot="1">
      <c r="A474" s="34">
        <v>472</v>
      </c>
      <c r="B474" s="34" t="s">
        <v>290</v>
      </c>
      <c r="C474" s="41" t="s">
        <v>1357</v>
      </c>
      <c r="D474" s="34" t="s">
        <v>358</v>
      </c>
      <c r="E474" s="80">
        <f t="shared" si="49"/>
        <v>1.860740039147009</v>
      </c>
      <c r="F474" s="35">
        <f t="shared" si="50"/>
        <v>23.08303266782071</v>
      </c>
      <c r="G474" s="42" cm="1">
        <f t="array" ref="G47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22.895823077877321</v>
      </c>
      <c r="H474" s="81" cm="1">
        <f t="array" ref="H4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1.8501182701645418</v>
      </c>
      <c r="I474" s="81" cm="1">
        <f t="array" ref="I4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1.860740039147009</v>
      </c>
      <c r="J474" s="81" cm="1">
        <f t="array" ref="J4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1.8695069954694274</v>
      </c>
      <c r="K474" s="81" cm="1">
        <f t="array" ref="K4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1.8874071330073752</v>
      </c>
      <c r="L474" s="81" cm="1">
        <f t="array" ref="L4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1.9107496004439457</v>
      </c>
      <c r="M474" s="37">
        <f t="shared" si="51"/>
        <v>3.7288862842833392E-2</v>
      </c>
      <c r="N474" s="43">
        <f t="shared" si="52"/>
        <v>1.062176898246725E-2</v>
      </c>
      <c r="O474" s="43">
        <f t="shared" si="53"/>
        <v>2.3342467436570535E-2</v>
      </c>
      <c r="P474" s="43">
        <f t="shared" si="54"/>
        <v>0.28485097620799837</v>
      </c>
      <c r="Q474" s="37">
        <f t="shared" si="55"/>
        <v>0.62599032678886757</v>
      </c>
      <c r="R474" s="37">
        <v>2.0199999999999999E-2</v>
      </c>
      <c r="S474" s="44" t="s">
        <v>1391</v>
      </c>
      <c r="T474" s="45">
        <v>0.110507518</v>
      </c>
      <c r="U474" s="45">
        <v>3.1895762500000001E-2</v>
      </c>
      <c r="V474" s="45">
        <v>0.40141575699999998</v>
      </c>
      <c r="W474" s="45">
        <v>73.954133799999994</v>
      </c>
      <c r="X474" s="45">
        <v>6.3461591400000003E-2</v>
      </c>
      <c r="Y474" s="45">
        <v>9.0524260899999993E-3</v>
      </c>
      <c r="Z474" s="36">
        <v>3.82</v>
      </c>
      <c r="AA474" s="38">
        <v>589</v>
      </c>
      <c r="AB474" s="38">
        <v>696</v>
      </c>
      <c r="AC474" s="49" t="s">
        <v>506</v>
      </c>
      <c r="AD474" s="49" t="s">
        <v>506</v>
      </c>
      <c r="AE474" s="48"/>
    </row>
    <row r="475" spans="1:31" ht="15" thickBot="1">
      <c r="A475" s="34">
        <v>473</v>
      </c>
      <c r="B475" s="34" t="s">
        <v>290</v>
      </c>
      <c r="C475" s="41" t="s">
        <v>1357</v>
      </c>
      <c r="D475" s="34" t="s">
        <v>875</v>
      </c>
      <c r="E475" s="80">
        <f t="shared" si="49"/>
        <v>1.6638200264118024</v>
      </c>
      <c r="F475" s="35">
        <f t="shared" si="50"/>
        <v>27.360194375126202</v>
      </c>
      <c r="G475" s="42" cm="1">
        <f t="array" ref="G47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27.087398000449618</v>
      </c>
      <c r="H475" s="81" cm="1">
        <f t="array" ref="H4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1.6569151004245279</v>
      </c>
      <c r="I475" s="81" cm="1">
        <f t="array" ref="I4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1.6638200264118024</v>
      </c>
      <c r="J475" s="81" cm="1">
        <f t="array" ref="J4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1.6695161940406427</v>
      </c>
      <c r="K475" s="81" cm="1">
        <f t="array" ref="K4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1.6811773559228038</v>
      </c>
      <c r="L475" s="81" cm="1">
        <f t="array" ref="L4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1.696522641365104</v>
      </c>
      <c r="M475" s="37">
        <f t="shared" si="51"/>
        <v>2.4262255498275875E-2</v>
      </c>
      <c r="N475" s="43">
        <f t="shared" si="52"/>
        <v>6.9049259872744351E-3</v>
      </c>
      <c r="O475" s="43">
        <f t="shared" si="53"/>
        <v>1.5345285442300183E-2</v>
      </c>
      <c r="P475" s="43">
        <f t="shared" si="54"/>
        <v>0.28459538676299545</v>
      </c>
      <c r="Q475" s="37">
        <f t="shared" si="55"/>
        <v>0.63247563456706035</v>
      </c>
      <c r="R475" s="37">
        <v>3.3399999999999999E-2</v>
      </c>
      <c r="S475" s="44" t="s">
        <v>1391</v>
      </c>
      <c r="T475" s="45">
        <v>9.8122416800000001E-2</v>
      </c>
      <c r="U475" s="45">
        <v>1.98027993E-2</v>
      </c>
      <c r="V475" s="45">
        <v>0.33803234999999998</v>
      </c>
      <c r="W475" s="45">
        <v>69.891629699999996</v>
      </c>
      <c r="X475" s="45">
        <v>7.2093806799999993E-2</v>
      </c>
      <c r="Y475" s="45">
        <v>8.2439422300000006E-3</v>
      </c>
      <c r="Z475" s="36">
        <v>2.89</v>
      </c>
      <c r="AA475" s="38">
        <v>476</v>
      </c>
      <c r="AB475" s="38">
        <v>575</v>
      </c>
      <c r="AC475" s="49" t="s">
        <v>506</v>
      </c>
      <c r="AD475" s="39" t="s">
        <v>1371</v>
      </c>
      <c r="AE475" s="48"/>
    </row>
    <row r="476" spans="1:31" ht="15" thickBot="1">
      <c r="A476" s="34">
        <v>474</v>
      </c>
      <c r="B476" s="34" t="s">
        <v>290</v>
      </c>
      <c r="C476" s="41" t="s">
        <v>1357</v>
      </c>
      <c r="D476" s="34" t="s">
        <v>874</v>
      </c>
      <c r="E476" s="80">
        <f t="shared" si="49"/>
        <v>1.7557500328076128</v>
      </c>
      <c r="F476" s="35">
        <f t="shared" si="50"/>
        <v>24.724410386149223</v>
      </c>
      <c r="G476" s="42" cm="1">
        <f t="array" ref="G47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24.504928522053046</v>
      </c>
      <c r="H476" s="81" cm="1">
        <f t="array" ref="H4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1.7470423210268611</v>
      </c>
      <c r="I476" s="81" cm="1">
        <f t="array" ref="I4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1.7557500328076128</v>
      </c>
      <c r="J476" s="81" cm="1">
        <f t="array" ref="J4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1.7629308093550313</v>
      </c>
      <c r="K476" s="81" cm="1">
        <f t="array" ref="K4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1.7776092797936913</v>
      </c>
      <c r="L476" s="81" cm="1">
        <f t="array" ref="L4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1.7968525682120009</v>
      </c>
      <c r="M476" s="37">
        <f t="shared" si="51"/>
        <v>3.0566958766830243E-2</v>
      </c>
      <c r="N476" s="43">
        <f t="shared" si="52"/>
        <v>8.7077117807516924E-3</v>
      </c>
      <c r="O476" s="43">
        <f t="shared" si="53"/>
        <v>1.9243288418309579E-2</v>
      </c>
      <c r="P476" s="43">
        <f t="shared" si="54"/>
        <v>0.28487334468487824</v>
      </c>
      <c r="Q476" s="37">
        <f t="shared" si="55"/>
        <v>0.62954540440547346</v>
      </c>
      <c r="R476" s="37">
        <v>2.6200000000000001E-2</v>
      </c>
      <c r="S476" s="44" t="s">
        <v>1391</v>
      </c>
      <c r="T476" s="45">
        <v>9.7567323999999997E-2</v>
      </c>
      <c r="U476" s="45">
        <v>2.2913040400000001E-2</v>
      </c>
      <c r="V476" s="45">
        <v>0.371469828</v>
      </c>
      <c r="W476" s="45">
        <v>62.4777153</v>
      </c>
      <c r="X476" s="45">
        <v>7.0296718600000002E-2</v>
      </c>
      <c r="Y476" s="45">
        <v>9.1013716700000004E-3</v>
      </c>
      <c r="Z476" s="36">
        <v>3.19</v>
      </c>
      <c r="AA476" s="38">
        <v>540</v>
      </c>
      <c r="AB476" s="38">
        <v>656</v>
      </c>
      <c r="AC476" s="49" t="s">
        <v>506</v>
      </c>
      <c r="AD476" s="39" t="s">
        <v>1371</v>
      </c>
      <c r="AE476" s="48"/>
    </row>
    <row r="477" spans="1:31" ht="15" thickBot="1">
      <c r="A477" s="34">
        <v>475</v>
      </c>
      <c r="B477" s="34" t="s">
        <v>290</v>
      </c>
      <c r="C477" s="41" t="s">
        <v>1357</v>
      </c>
      <c r="D477" s="34" t="s">
        <v>876</v>
      </c>
      <c r="E477" s="80">
        <f t="shared" si="49"/>
        <v>1.7133800300579303</v>
      </c>
      <c r="F477" s="35">
        <f t="shared" si="50"/>
        <v>26.047510530857267</v>
      </c>
      <c r="G477" s="42" cm="1">
        <f t="array" ref="G47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25.803188290731139</v>
      </c>
      <c r="H477" s="81" cm="1">
        <f t="array" ref="H4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1.7055792901719375</v>
      </c>
      <c r="I477" s="81" cm="1">
        <f t="array" ref="I4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1.7133800300579303</v>
      </c>
      <c r="J477" s="81" cm="1">
        <f t="array" ref="J4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1.7198135015951148</v>
      </c>
      <c r="K477" s="81" cm="1">
        <f t="array" ref="K4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1.7329669374180274</v>
      </c>
      <c r="L477" s="81" cm="1">
        <f t="array" ref="L4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1.7502188070677296</v>
      </c>
      <c r="M477" s="37">
        <f t="shared" si="51"/>
        <v>2.7387647246089886E-2</v>
      </c>
      <c r="N477" s="43">
        <f t="shared" si="52"/>
        <v>7.8007398859927246E-3</v>
      </c>
      <c r="O477" s="43">
        <f t="shared" si="53"/>
        <v>1.7251869649702156E-2</v>
      </c>
      <c r="P477" s="43">
        <f t="shared" si="54"/>
        <v>0.28482694464039554</v>
      </c>
      <c r="Q477" s="37">
        <f t="shared" si="55"/>
        <v>0.62991426370752579</v>
      </c>
      <c r="R477" s="37">
        <v>2.9000000000000001E-2</v>
      </c>
      <c r="S477" s="44" t="s">
        <v>1391</v>
      </c>
      <c r="T477" s="45">
        <v>9.2738927700000001E-2</v>
      </c>
      <c r="U477" s="45">
        <v>2.17316868E-2</v>
      </c>
      <c r="V477" s="45">
        <v>0.35621013699999998</v>
      </c>
      <c r="W477" s="45">
        <v>64.546205700000002</v>
      </c>
      <c r="X477" s="45">
        <v>7.0471898500000005E-2</v>
      </c>
      <c r="Y477" s="45">
        <v>8.6576901099999996E-3</v>
      </c>
      <c r="Z477" s="36">
        <v>3.09</v>
      </c>
      <c r="AA477" s="38">
        <v>524</v>
      </c>
      <c r="AB477" s="38">
        <v>620</v>
      </c>
      <c r="AC477" s="49" t="s">
        <v>506</v>
      </c>
      <c r="AD477" s="39" t="s">
        <v>1371</v>
      </c>
      <c r="AE477" s="48"/>
    </row>
    <row r="478" spans="1:31" ht="15" thickBot="1">
      <c r="A478" s="34">
        <v>476</v>
      </c>
      <c r="B478" s="34" t="s">
        <v>290</v>
      </c>
      <c r="C478" s="41" t="s">
        <v>1357</v>
      </c>
      <c r="D478" s="34" t="s">
        <v>1146</v>
      </c>
      <c r="E478" s="80">
        <f t="shared" si="49"/>
        <v>1.6220000216110888</v>
      </c>
      <c r="F478" s="35">
        <f t="shared" si="50"/>
        <v>30.666394445665269</v>
      </c>
      <c r="G478" s="42" cm="1">
        <f t="array" ref="G47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30.358741633166396</v>
      </c>
      <c r="H478" s="81" cm="1">
        <f t="array" ref="H4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1.6161942294058196</v>
      </c>
      <c r="I478" s="81" cm="1">
        <f t="array" ref="I4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1.6220000216110888</v>
      </c>
      <c r="J478" s="81" cm="1">
        <f t="array" ref="J4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1.6267686423190928</v>
      </c>
      <c r="K478" s="81" cm="1">
        <f t="array" ref="K4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1.6364770188518742</v>
      </c>
      <c r="L478" s="81" cm="1">
        <f t="array" ref="L4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1.6491517335892687</v>
      </c>
      <c r="M478" s="37">
        <f t="shared" si="51"/>
        <v>2.0282789446054661E-2</v>
      </c>
      <c r="N478" s="43">
        <f t="shared" si="52"/>
        <v>5.8057922052692224E-3</v>
      </c>
      <c r="O478" s="43">
        <f t="shared" si="53"/>
        <v>1.2674714737394455E-2</v>
      </c>
      <c r="P478" s="43">
        <f t="shared" si="54"/>
        <v>0.28624229525779282</v>
      </c>
      <c r="Q478" s="37">
        <f t="shared" si="55"/>
        <v>0.62489998089783927</v>
      </c>
      <c r="R478" s="37">
        <v>3.1899999999999998E-2</v>
      </c>
      <c r="S478" s="44" t="s">
        <v>1391</v>
      </c>
      <c r="T478" s="45">
        <v>6.6764015199999999E-2</v>
      </c>
      <c r="U478" s="45">
        <v>1.5245775E-2</v>
      </c>
      <c r="V478" s="45">
        <v>0.32560371500000002</v>
      </c>
      <c r="W478" s="45">
        <v>52.4116669</v>
      </c>
      <c r="X478" s="45">
        <v>7.3129673000000006E-2</v>
      </c>
      <c r="Y478" s="45">
        <v>7.9464072599999998E-3</v>
      </c>
      <c r="Z478" s="36">
        <v>2.81</v>
      </c>
      <c r="AA478" s="38">
        <v>422</v>
      </c>
      <c r="AB478" s="38">
        <v>528</v>
      </c>
      <c r="AC478" s="49" t="s">
        <v>506</v>
      </c>
      <c r="AD478" s="39" t="s">
        <v>1371</v>
      </c>
      <c r="AE478" s="48"/>
    </row>
    <row r="479" spans="1:31" ht="15" thickBot="1">
      <c r="A479" s="34">
        <v>477</v>
      </c>
      <c r="B479" s="34" t="s">
        <v>290</v>
      </c>
      <c r="C479" s="41" t="s">
        <v>1357</v>
      </c>
      <c r="D479" s="34" t="s">
        <v>1147</v>
      </c>
      <c r="E479" s="80">
        <f t="shared" si="49"/>
        <v>1.7963100373360781</v>
      </c>
      <c r="F479" s="35">
        <f t="shared" si="50"/>
        <v>22.611476526738937</v>
      </c>
      <c r="G479" s="42" cm="1">
        <f t="array" ref="G47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22.402064577798736</v>
      </c>
      <c r="H479" s="81" cm="1">
        <f t="array" ref="H4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1.7863612311937604</v>
      </c>
      <c r="I479" s="81" cm="1">
        <f t="array" ref="I4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1.7963100373360781</v>
      </c>
      <c r="J479" s="81" cm="1">
        <f t="array" ref="J4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1.804565402890757</v>
      </c>
      <c r="K479" s="81" cm="1">
        <f t="array" ref="K4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1.8215783049834535</v>
      </c>
      <c r="L479" s="81" cm="1">
        <f t="array" ref="L4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1.844168514586306</v>
      </c>
      <c r="M479" s="37">
        <f t="shared" si="51"/>
        <v>3.5217073789693076E-2</v>
      </c>
      <c r="N479" s="43">
        <f t="shared" si="52"/>
        <v>9.9488061423176344E-3</v>
      </c>
      <c r="O479" s="43">
        <f t="shared" si="53"/>
        <v>2.2590209602852518E-2</v>
      </c>
      <c r="P479" s="43">
        <f t="shared" si="54"/>
        <v>0.2824995115076635</v>
      </c>
      <c r="Q479" s="37">
        <f t="shared" si="55"/>
        <v>0.64145617940193422</v>
      </c>
      <c r="R479" s="37">
        <v>3.4599999999999999E-2</v>
      </c>
      <c r="S479" s="44" t="s">
        <v>1391</v>
      </c>
      <c r="T479" s="45">
        <v>6.6105679299999998E-2</v>
      </c>
      <c r="U479" s="45">
        <v>2.6346151299999999E-2</v>
      </c>
      <c r="V479" s="45">
        <v>0.382646761</v>
      </c>
      <c r="W479" s="45">
        <v>43.4911247</v>
      </c>
      <c r="X479" s="45">
        <v>7.2051344700000006E-2</v>
      </c>
      <c r="Y479" s="45">
        <v>9.3180522399999993E-3</v>
      </c>
      <c r="Z479" s="36">
        <v>3.31</v>
      </c>
      <c r="AA479" s="38">
        <v>598</v>
      </c>
      <c r="AB479" s="38">
        <v>697</v>
      </c>
      <c r="AC479" s="49" t="s">
        <v>506</v>
      </c>
      <c r="AD479" s="39" t="s">
        <v>1371</v>
      </c>
      <c r="AE479" s="48"/>
    </row>
    <row r="480" spans="1:31" ht="15" thickBot="1">
      <c r="A480" s="34">
        <v>478</v>
      </c>
      <c r="B480" s="34" t="s">
        <v>290</v>
      </c>
      <c r="C480" s="41" t="s">
        <v>1358</v>
      </c>
      <c r="D480" s="34" t="s">
        <v>359</v>
      </c>
      <c r="E480" s="80">
        <f t="shared" si="49"/>
        <v>1.6516000112121854</v>
      </c>
      <c r="F480" s="35">
        <f t="shared" si="50"/>
        <v>58.571681079906533</v>
      </c>
      <c r="G480" s="42" cm="1">
        <f t="array" ref="G48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58.335084088062793</v>
      </c>
      <c r="H480" s="81" cm="1">
        <f t="array" ref="H4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1.6482059908595303</v>
      </c>
      <c r="I480" s="81" cm="1">
        <f t="array" ref="I4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1.6516000112121854</v>
      </c>
      <c r="J480" s="81" cm="1">
        <f t="array" ref="J4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1.6542531881339426</v>
      </c>
      <c r="K480" s="81" cm="1">
        <f t="array" ref="K4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1.6593308211392561</v>
      </c>
      <c r="L480" s="81" cm="1">
        <f t="array" ref="L4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1.6653569371097856</v>
      </c>
      <c r="M480" s="37">
        <f t="shared" si="51"/>
        <v>1.1124830279725773E-2</v>
      </c>
      <c r="N480" s="43">
        <f t="shared" si="52"/>
        <v>3.3940203526550139E-3</v>
      </c>
      <c r="O480" s="43">
        <f t="shared" si="53"/>
        <v>6.0261159705294887E-3</v>
      </c>
      <c r="P480" s="43">
        <f t="shared" si="54"/>
        <v>0.30508513544160576</v>
      </c>
      <c r="Q480" s="37">
        <f t="shared" si="55"/>
        <v>0.54168160942748622</v>
      </c>
      <c r="R480" s="37">
        <v>-4.4999999999999997E-3</v>
      </c>
      <c r="S480" s="44" t="s">
        <v>1391</v>
      </c>
      <c r="T480" s="45">
        <v>0.12336788999999999</v>
      </c>
      <c r="U480" s="45">
        <v>7.8674463700000002E-2</v>
      </c>
      <c r="V480" s="45">
        <v>0.28063811399999999</v>
      </c>
      <c r="W480" s="45">
        <v>75.028142200000005</v>
      </c>
      <c r="X480" s="45">
        <v>1.56987933E-2</v>
      </c>
      <c r="Y480" s="45">
        <v>3.60652473E-3</v>
      </c>
      <c r="Z480" s="36">
        <v>3.3</v>
      </c>
      <c r="AA480" s="38">
        <v>651</v>
      </c>
      <c r="AB480" s="38">
        <v>736</v>
      </c>
      <c r="AC480" s="49" t="s">
        <v>506</v>
      </c>
      <c r="AD480" s="49" t="s">
        <v>506</v>
      </c>
      <c r="AE480" s="48"/>
    </row>
    <row r="481" spans="1:31" ht="15" thickBot="1">
      <c r="A481" s="34">
        <v>479</v>
      </c>
      <c r="B481" s="34" t="s">
        <v>290</v>
      </c>
      <c r="C481" s="41" t="s">
        <v>1358</v>
      </c>
      <c r="D481" s="34" t="s">
        <v>360</v>
      </c>
      <c r="E481" s="80">
        <f t="shared" si="49"/>
        <v>1.6516000115051088</v>
      </c>
      <c r="F481" s="35">
        <f t="shared" si="50"/>
        <v>58.621758720256345</v>
      </c>
      <c r="G481" s="42" cm="1">
        <f t="array" ref="G48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58.392018484404389</v>
      </c>
      <c r="H481" s="81" cm="1">
        <f t="array" ref="H4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1.648205811188054</v>
      </c>
      <c r="I481" s="81" cm="1">
        <f t="array" ref="I4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1.6516000115051088</v>
      </c>
      <c r="J481" s="81" cm="1">
        <f t="array" ref="J4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1.6542509638528533</v>
      </c>
      <c r="K481" s="81" cm="1">
        <f t="array" ref="K4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1.6593211380859478</v>
      </c>
      <c r="L481" s="81" cm="1">
        <f t="array" ref="L4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1.6653351680671804</v>
      </c>
      <c r="M481" s="37">
        <f t="shared" si="51"/>
        <v>1.1115326897893851E-2</v>
      </c>
      <c r="N481" s="43">
        <f t="shared" si="52"/>
        <v>3.3942003170548407E-3</v>
      </c>
      <c r="O481" s="43">
        <f t="shared" si="53"/>
        <v>6.0140299812325715E-3</v>
      </c>
      <c r="P481" s="43">
        <f t="shared" si="54"/>
        <v>0.30536216777375919</v>
      </c>
      <c r="Q481" s="37">
        <f t="shared" si="55"/>
        <v>0.54105740986998041</v>
      </c>
      <c r="R481" s="37">
        <v>-5.1000000000000004E-3</v>
      </c>
      <c r="S481" s="44" t="s">
        <v>1391</v>
      </c>
      <c r="T481" s="45">
        <v>0.12654264200000001</v>
      </c>
      <c r="U481" s="45">
        <v>0.16095959300000001</v>
      </c>
      <c r="V481" s="45">
        <v>0.19839985399999999</v>
      </c>
      <c r="W481" s="45">
        <v>74.416411299999993</v>
      </c>
      <c r="X481" s="45">
        <v>1.203009E-2</v>
      </c>
      <c r="Y481" s="45">
        <v>1.51065344E-3</v>
      </c>
      <c r="Z481" s="36">
        <v>3.34</v>
      </c>
      <c r="AA481" s="38">
        <v>650</v>
      </c>
      <c r="AB481" s="38">
        <v>741</v>
      </c>
      <c r="AC481" s="49" t="s">
        <v>506</v>
      </c>
      <c r="AD481" s="49" t="s">
        <v>506</v>
      </c>
      <c r="AE481" s="48" t="s">
        <v>769</v>
      </c>
    </row>
    <row r="482" spans="1:31" ht="15" thickBot="1">
      <c r="A482" s="34">
        <v>480</v>
      </c>
      <c r="B482" s="34" t="s">
        <v>290</v>
      </c>
      <c r="C482" s="41" t="s">
        <v>1358</v>
      </c>
      <c r="D482" s="34" t="s">
        <v>361</v>
      </c>
      <c r="E482" s="80">
        <f t="shared" si="49"/>
        <v>1.7130000145426949</v>
      </c>
      <c r="F482" s="35">
        <f t="shared" si="50"/>
        <v>53.955834295599253</v>
      </c>
      <c r="G482" s="42" cm="1">
        <f t="array" ref="G48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53.72880333019728</v>
      </c>
      <c r="H482" s="81" cm="1">
        <f t="array" ref="H4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1.7089826565290358</v>
      </c>
      <c r="I482" s="81" cm="1">
        <f t="array" ref="I4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1.7130000145426949</v>
      </c>
      <c r="J482" s="81" cm="1">
        <f t="array" ref="J4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1.7161500240837595</v>
      </c>
      <c r="K482" s="81" cm="1">
        <f t="array" ref="K4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1.7221971684321693</v>
      </c>
      <c r="L482" s="81" cm="1">
        <f t="array" ref="L4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1.7294018251969616</v>
      </c>
      <c r="M482" s="37">
        <f t="shared" si="51"/>
        <v>1.3214511903133497E-2</v>
      </c>
      <c r="N482" s="43">
        <f t="shared" si="52"/>
        <v>4.0173580136591003E-3</v>
      </c>
      <c r="O482" s="43">
        <f t="shared" si="53"/>
        <v>7.2046567647923165E-3</v>
      </c>
      <c r="P482" s="43">
        <f t="shared" si="54"/>
        <v>0.30401107835897312</v>
      </c>
      <c r="Q482" s="37">
        <f t="shared" si="55"/>
        <v>0.54520793636607257</v>
      </c>
      <c r="R482" s="37">
        <v>-8.6E-3</v>
      </c>
      <c r="S482" s="44" t="s">
        <v>1391</v>
      </c>
      <c r="T482" s="45">
        <v>0.118244084</v>
      </c>
      <c r="U482" s="45">
        <v>3.5456974600000003E-2</v>
      </c>
      <c r="V482" s="45">
        <v>0.34956430900000002</v>
      </c>
      <c r="W482" s="45">
        <v>67.936547899999994</v>
      </c>
      <c r="X482" s="45">
        <v>2.2796342000000001E-2</v>
      </c>
      <c r="Y482" s="45">
        <v>4.9598531099999997E-3</v>
      </c>
      <c r="Z482" s="36">
        <v>3.72</v>
      </c>
      <c r="AA482" s="38">
        <v>652</v>
      </c>
      <c r="AB482" s="38">
        <v>736</v>
      </c>
      <c r="AC482" s="49" t="s">
        <v>506</v>
      </c>
      <c r="AD482" s="49" t="s">
        <v>506</v>
      </c>
      <c r="AE482" s="48"/>
    </row>
    <row r="483" spans="1:31" ht="15" thickBot="1">
      <c r="A483" s="34">
        <v>481</v>
      </c>
      <c r="B483" s="34" t="s">
        <v>290</v>
      </c>
      <c r="C483" s="41" t="s">
        <v>1358</v>
      </c>
      <c r="D483" s="34" t="s">
        <v>362</v>
      </c>
      <c r="E483" s="80">
        <f t="shared" si="49"/>
        <v>1.7199900162076103</v>
      </c>
      <c r="F483" s="35">
        <f t="shared" si="50"/>
        <v>50.26682571858737</v>
      </c>
      <c r="G483" s="42" cm="1">
        <f t="array" ref="G48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50.011667457461527</v>
      </c>
      <c r="H483" s="81" cm="1">
        <f t="array" ref="H4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1.7156720741066851</v>
      </c>
      <c r="I483" s="81" cm="1">
        <f t="array" ref="I4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1.7199900162076103</v>
      </c>
      <c r="J483" s="81" cm="1">
        <f t="array" ref="J4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1.7234013611700241</v>
      </c>
      <c r="K483" s="81" cm="1">
        <f t="array" ref="K4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1.7299954375957263</v>
      </c>
      <c r="L483" s="81" cm="1">
        <f t="array" ref="L4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1.737911567164705</v>
      </c>
      <c r="M483" s="37">
        <f t="shared" si="51"/>
        <v>1.4323363489041174E-2</v>
      </c>
      <c r="N483" s="43">
        <f t="shared" si="52"/>
        <v>4.3179421009251762E-3</v>
      </c>
      <c r="O483" s="43">
        <f t="shared" si="53"/>
        <v>7.9161295689786915E-3</v>
      </c>
      <c r="P483" s="43">
        <f t="shared" si="54"/>
        <v>0.30146146219279013</v>
      </c>
      <c r="Q483" s="37">
        <f t="shared" si="55"/>
        <v>0.55267253219087353</v>
      </c>
      <c r="R483" s="37">
        <v>-7.3000000000000001E-3</v>
      </c>
      <c r="S483" s="44" t="s">
        <v>1391</v>
      </c>
      <c r="T483" s="45">
        <v>0.118612501</v>
      </c>
      <c r="U483" s="45">
        <v>4.1881252600000002E-2</v>
      </c>
      <c r="V483" s="45">
        <v>0.345358995</v>
      </c>
      <c r="W483" s="45">
        <v>78.674079500000005</v>
      </c>
      <c r="X483" s="45">
        <v>2.4332436799999999E-2</v>
      </c>
      <c r="Y483" s="45">
        <v>4.9935503499999997E-3</v>
      </c>
      <c r="Z483" s="36">
        <v>3.74</v>
      </c>
      <c r="AA483" s="38">
        <v>629</v>
      </c>
      <c r="AB483" s="38">
        <v>726</v>
      </c>
      <c r="AC483" s="49" t="s">
        <v>506</v>
      </c>
      <c r="AD483" s="49" t="s">
        <v>506</v>
      </c>
      <c r="AE483" s="48"/>
    </row>
    <row r="484" spans="1:31" ht="15" thickBot="1">
      <c r="A484" s="34">
        <v>482</v>
      </c>
      <c r="B484" s="34" t="s">
        <v>290</v>
      </c>
      <c r="C484" s="41" t="s">
        <v>1358</v>
      </c>
      <c r="D484" s="34" t="s">
        <v>363</v>
      </c>
      <c r="E484" s="80">
        <f t="shared" si="49"/>
        <v>1.6779000130602801</v>
      </c>
      <c r="F484" s="35">
        <f t="shared" si="50"/>
        <v>55.34745476860023</v>
      </c>
      <c r="G484" s="42" cm="1">
        <f t="array" ref="G48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55.086873069410139</v>
      </c>
      <c r="H484" s="81" cm="1">
        <f t="array" ref="H4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1.6741873192691021</v>
      </c>
      <c r="I484" s="81" cm="1">
        <f t="array" ref="I4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1.6779000130602801</v>
      </c>
      <c r="J484" s="81" cm="1">
        <f t="array" ref="J4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1.6808195154819858</v>
      </c>
      <c r="K484" s="81" cm="1">
        <f t="array" ref="K4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1.6864353985329903</v>
      </c>
      <c r="L484" s="81" cm="1">
        <f t="array" ref="L4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1.6931356935786759</v>
      </c>
      <c r="M484" s="37">
        <f t="shared" si="51"/>
        <v>1.2248079263888156E-2</v>
      </c>
      <c r="N484" s="43">
        <f t="shared" si="52"/>
        <v>3.7126937911780011E-3</v>
      </c>
      <c r="O484" s="43">
        <f t="shared" si="53"/>
        <v>6.7002950456855892E-3</v>
      </c>
      <c r="P484" s="43">
        <f t="shared" si="54"/>
        <v>0.30312457252986502</v>
      </c>
      <c r="Q484" s="37">
        <f t="shared" si="55"/>
        <v>0.54704863524524405</v>
      </c>
      <c r="R484" s="37">
        <v>-4.4999999999999997E-3</v>
      </c>
      <c r="S484" s="44" t="s">
        <v>1391</v>
      </c>
      <c r="T484" s="45">
        <v>0.118309052</v>
      </c>
      <c r="U484" s="45">
        <v>4.4552752100000002E-2</v>
      </c>
      <c r="V484" s="45">
        <v>0.32565649299999999</v>
      </c>
      <c r="W484" s="45">
        <v>79.7713112</v>
      </c>
      <c r="X484" s="45">
        <v>2.0786643E-2</v>
      </c>
      <c r="Y484" s="45">
        <v>4.6462975100000003E-3</v>
      </c>
      <c r="Z484" s="36">
        <v>3.78</v>
      </c>
      <c r="AA484" s="38">
        <v>640</v>
      </c>
      <c r="AB484" s="38">
        <v>726</v>
      </c>
      <c r="AC484" s="49" t="s">
        <v>506</v>
      </c>
      <c r="AD484" s="49" t="s">
        <v>506</v>
      </c>
      <c r="AE484" s="48"/>
    </row>
    <row r="485" spans="1:31" ht="15" thickBot="1">
      <c r="A485" s="34">
        <v>483</v>
      </c>
      <c r="B485" s="34" t="s">
        <v>290</v>
      </c>
      <c r="C485" s="41" t="s">
        <v>1358</v>
      </c>
      <c r="D485" s="34" t="s">
        <v>364</v>
      </c>
      <c r="E485" s="80">
        <f t="shared" si="49"/>
        <v>1.6935000132756686</v>
      </c>
      <c r="F485" s="35">
        <f t="shared" si="50"/>
        <v>53.205177692375884</v>
      </c>
      <c r="G485" s="42" cm="1">
        <f t="array" ref="G48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52.959822328600126</v>
      </c>
      <c r="H485" s="81" cm="1">
        <f t="array" ref="H4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1.6895506001206739</v>
      </c>
      <c r="I485" s="81" cm="1">
        <f t="array" ref="I4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1.6935000132756686</v>
      </c>
      <c r="J485" s="81" cm="1">
        <f t="array" ref="J4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1.6966062140438412</v>
      </c>
      <c r="K485" s="81" cm="1">
        <f t="array" ref="K4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1.702585046077896</v>
      </c>
      <c r="L485" s="81" cm="1">
        <f t="array" ref="L4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1.7097272357318221</v>
      </c>
      <c r="M485" s="37">
        <f t="shared" si="51"/>
        <v>1.3034445957222029E-2</v>
      </c>
      <c r="N485" s="43">
        <f t="shared" si="52"/>
        <v>3.949413154994641E-3</v>
      </c>
      <c r="O485" s="43">
        <f t="shared" si="53"/>
        <v>7.1421896539261009E-3</v>
      </c>
      <c r="P485" s="43">
        <f t="shared" si="54"/>
        <v>0.30299816102320631</v>
      </c>
      <c r="Q485" s="37">
        <f t="shared" si="55"/>
        <v>0.54794731416787301</v>
      </c>
      <c r="R485" s="37">
        <v>-7.1000000000000004E-3</v>
      </c>
      <c r="S485" s="44" t="s">
        <v>1391</v>
      </c>
      <c r="T485" s="45">
        <v>0.116019105</v>
      </c>
      <c r="U485" s="45">
        <v>6.5206385500000005E-2</v>
      </c>
      <c r="V485" s="45">
        <v>0.31143362600000002</v>
      </c>
      <c r="W485" s="45">
        <v>72.627572299999997</v>
      </c>
      <c r="X485" s="45">
        <v>1.9118618E-2</v>
      </c>
      <c r="Y485" s="45">
        <v>4.1772488799999997E-3</v>
      </c>
      <c r="Z485" s="36">
        <v>3.69</v>
      </c>
      <c r="AA485" s="38">
        <v>619</v>
      </c>
      <c r="AB485" s="38">
        <v>711</v>
      </c>
      <c r="AC485" s="49" t="s">
        <v>506</v>
      </c>
      <c r="AD485" s="49" t="s">
        <v>506</v>
      </c>
      <c r="AE485" s="48"/>
    </row>
    <row r="486" spans="1:31" ht="15" thickBot="1">
      <c r="A486" s="34">
        <v>484</v>
      </c>
      <c r="B486" s="34" t="s">
        <v>290</v>
      </c>
      <c r="C486" s="41" t="s">
        <v>1358</v>
      </c>
      <c r="D486" s="34" t="s">
        <v>365</v>
      </c>
      <c r="E486" s="80">
        <f t="shared" si="49"/>
        <v>1.6968000148932223</v>
      </c>
      <c r="F486" s="35">
        <f t="shared" si="50"/>
        <v>55.520919032798474</v>
      </c>
      <c r="G486" s="42" cm="1">
        <f t="array" ref="G48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55.300915593958649</v>
      </c>
      <c r="H486" s="81" cm="1">
        <f t="array" ref="H4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1.692974549473905</v>
      </c>
      <c r="I486" s="81" cm="1">
        <f t="array" ref="I4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1.6968000148932223</v>
      </c>
      <c r="J486" s="81" cm="1">
        <f t="array" ref="J4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1.6997922334658937</v>
      </c>
      <c r="K486" s="81" cm="1">
        <f t="array" ref="K4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1.7055247742726263</v>
      </c>
      <c r="L486" s="81" cm="1">
        <f t="array" ref="L4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1.7123401899952693</v>
      </c>
      <c r="M486" s="37">
        <f t="shared" si="51"/>
        <v>1.2550224798721255E-2</v>
      </c>
      <c r="N486" s="43">
        <f t="shared" si="52"/>
        <v>3.8254654193172755E-3</v>
      </c>
      <c r="O486" s="43">
        <f t="shared" si="53"/>
        <v>6.8154157226429923E-3</v>
      </c>
      <c r="P486" s="43">
        <f t="shared" si="54"/>
        <v>0.30481250182124653</v>
      </c>
      <c r="Q486" s="37">
        <f t="shared" si="55"/>
        <v>0.54305128648671031</v>
      </c>
      <c r="R486" s="37">
        <v>-8.2000000000000007E-3</v>
      </c>
      <c r="S486" s="44" t="s">
        <v>1391</v>
      </c>
      <c r="T486" s="45">
        <v>0.129541724</v>
      </c>
      <c r="U486" s="45">
        <v>9.7374025200000006E-2</v>
      </c>
      <c r="V486" s="45">
        <v>0.281115754</v>
      </c>
      <c r="W486" s="45">
        <v>71.483169099999998</v>
      </c>
      <c r="X486" s="45">
        <v>1.55700037E-2</v>
      </c>
      <c r="Y486" s="45">
        <v>3.2555141100000001E-3</v>
      </c>
      <c r="Z486" s="36">
        <v>3.63</v>
      </c>
      <c r="AA486" s="38">
        <v>662</v>
      </c>
      <c r="AB486" s="38">
        <v>739</v>
      </c>
      <c r="AC486" s="49" t="s">
        <v>506</v>
      </c>
      <c r="AD486" s="39" t="s">
        <v>1371</v>
      </c>
      <c r="AE486" s="48"/>
    </row>
    <row r="487" spans="1:31" ht="15" thickBot="1">
      <c r="A487" s="34">
        <v>485</v>
      </c>
      <c r="B487" s="34" t="s">
        <v>290</v>
      </c>
      <c r="C487" s="41" t="s">
        <v>1358</v>
      </c>
      <c r="D487" s="34" t="s">
        <v>366</v>
      </c>
      <c r="E487" s="80">
        <f t="shared" si="49"/>
        <v>1.7291600137114849</v>
      </c>
      <c r="F487" s="35">
        <f t="shared" si="50"/>
        <v>54.611410170675754</v>
      </c>
      <c r="G487" s="42" cm="1">
        <f t="array" ref="G48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54.385453026549982</v>
      </c>
      <c r="H487" s="81" cm="1">
        <f t="array" ref="H4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1.7250975813134823</v>
      </c>
      <c r="I487" s="81" cm="1">
        <f t="array" ref="I4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1.7291600137114849</v>
      </c>
      <c r="J487" s="81" cm="1">
        <f t="array" ref="J4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1.7323431650097776</v>
      </c>
      <c r="K487" s="81" cm="1">
        <f t="array" ref="K4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1.7384493700959485</v>
      </c>
      <c r="L487" s="81" cm="1">
        <f t="array" ref="L4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1.7457166577611689</v>
      </c>
      <c r="M487" s="37">
        <f t="shared" si="51"/>
        <v>1.3351788782466123E-2</v>
      </c>
      <c r="N487" s="43">
        <f t="shared" si="52"/>
        <v>4.0624323980025245E-3</v>
      </c>
      <c r="O487" s="43">
        <f t="shared" si="53"/>
        <v>7.2672876652204454E-3</v>
      </c>
      <c r="P487" s="43">
        <f t="shared" si="54"/>
        <v>0.30426128395151103</v>
      </c>
      <c r="Q487" s="37">
        <f t="shared" si="55"/>
        <v>0.54429318674992933</v>
      </c>
      <c r="R487" s="37">
        <v>-8.5000000000000006E-3</v>
      </c>
      <c r="S487" s="44" t="s">
        <v>1391</v>
      </c>
      <c r="T487" s="45">
        <v>0.11829341</v>
      </c>
      <c r="U487" s="45">
        <v>7.7333545899999995E-2</v>
      </c>
      <c r="V487" s="45">
        <v>0.31449723200000002</v>
      </c>
      <c r="W487" s="45">
        <v>67.008218099999993</v>
      </c>
      <c r="X487" s="45">
        <v>1.6941812600000002E-2</v>
      </c>
      <c r="Y487" s="45">
        <v>3.8939825399999998E-3</v>
      </c>
      <c r="Z487" s="36">
        <v>4.17</v>
      </c>
      <c r="AA487" s="38">
        <v>668</v>
      </c>
      <c r="AB487" s="38">
        <v>742</v>
      </c>
      <c r="AC487" s="49" t="s">
        <v>506</v>
      </c>
      <c r="AD487" s="49" t="s">
        <v>506</v>
      </c>
      <c r="AE487" s="48"/>
    </row>
    <row r="488" spans="1:31" ht="15" thickBot="1">
      <c r="A488" s="34">
        <v>486</v>
      </c>
      <c r="B488" s="34" t="s">
        <v>290</v>
      </c>
      <c r="C488" s="41" t="s">
        <v>1358</v>
      </c>
      <c r="D488" s="34" t="s">
        <v>367</v>
      </c>
      <c r="E488" s="80">
        <f t="shared" si="49"/>
        <v>1.6400000127523873</v>
      </c>
      <c r="F488" s="35">
        <f t="shared" si="50"/>
        <v>60.192618033668268</v>
      </c>
      <c r="G488" s="42" cm="1">
        <f t="array" ref="G48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59.986797906562153</v>
      </c>
      <c r="H488" s="81" cm="1">
        <f t="array" ref="H4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1.6367390695795085</v>
      </c>
      <c r="I488" s="81" cm="1">
        <f t="array" ref="I4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1.6400000127523873</v>
      </c>
      <c r="J488" s="81" cm="1">
        <f t="array" ref="J4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1.6425365168051276</v>
      </c>
      <c r="K488" s="81" cm="1">
        <f t="array" ref="K4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1.6473716028312506</v>
      </c>
      <c r="L488" s="81" cm="1">
        <f t="array" ref="L4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1.6530890025546965</v>
      </c>
      <c r="M488" s="37">
        <f t="shared" si="51"/>
        <v>1.0632533251742071E-2</v>
      </c>
      <c r="N488" s="43">
        <f t="shared" si="52"/>
        <v>3.2609431728787275E-3</v>
      </c>
      <c r="O488" s="43">
        <f t="shared" si="53"/>
        <v>5.7173997234458707E-3</v>
      </c>
      <c r="P488" s="43">
        <f t="shared" si="54"/>
        <v>0.30669484831796251</v>
      </c>
      <c r="Q488" s="37">
        <f t="shared" si="55"/>
        <v>0.5377269544404305</v>
      </c>
      <c r="R488" s="37">
        <v>-5.5999999999999999E-3</v>
      </c>
      <c r="S488" s="44" t="s">
        <v>1391</v>
      </c>
      <c r="T488" s="45">
        <v>0.12978404199999999</v>
      </c>
      <c r="U488" s="45">
        <v>7.9537565199999993E-2</v>
      </c>
      <c r="V488" s="45">
        <v>0.27497227299999999</v>
      </c>
      <c r="W488" s="45">
        <v>70.973112400000005</v>
      </c>
      <c r="X488" s="45">
        <v>1.5115946700000001E-2</v>
      </c>
      <c r="Y488" s="45">
        <v>3.4419544300000001E-3</v>
      </c>
      <c r="Z488" s="36">
        <v>3.01</v>
      </c>
      <c r="AA488" s="38">
        <v>655</v>
      </c>
      <c r="AB488" s="38">
        <v>736</v>
      </c>
      <c r="AC488" s="49" t="s">
        <v>506</v>
      </c>
      <c r="AD488" s="49" t="s">
        <v>506</v>
      </c>
      <c r="AE488" s="48"/>
    </row>
    <row r="489" spans="1:31" ht="15" thickBot="1">
      <c r="A489" s="34">
        <v>487</v>
      </c>
      <c r="B489" s="34" t="s">
        <v>290</v>
      </c>
      <c r="C489" s="41" t="s">
        <v>1358</v>
      </c>
      <c r="D489" s="34" t="s">
        <v>368</v>
      </c>
      <c r="E489" s="80">
        <f t="shared" si="49"/>
        <v>1.7340000160031073</v>
      </c>
      <c r="F489" s="35">
        <f t="shared" si="50"/>
        <v>51.505778756629056</v>
      </c>
      <c r="G489" s="42" cm="1">
        <f t="array" ref="G48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51.277770406489537</v>
      </c>
      <c r="H489" s="81" cm="1">
        <f t="array" ref="H4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1.7296804952169629</v>
      </c>
      <c r="I489" s="81" cm="1">
        <f t="array" ref="I4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1.7340000160031073</v>
      </c>
      <c r="J489" s="81" cm="1">
        <f t="array" ref="J4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1.7373958127706624</v>
      </c>
      <c r="K489" s="81" cm="1">
        <f t="array" ref="K4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1.7439313236428633</v>
      </c>
      <c r="L489" s="81" cm="1">
        <f t="array" ref="L4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1.7517410974348815</v>
      </c>
      <c r="M489" s="37">
        <f t="shared" si="51"/>
        <v>1.4250828425900419E-2</v>
      </c>
      <c r="N489" s="43">
        <f t="shared" si="52"/>
        <v>4.3195207861443929E-3</v>
      </c>
      <c r="O489" s="43">
        <f t="shared" si="53"/>
        <v>7.8097737920181931E-3</v>
      </c>
      <c r="P489" s="43">
        <f t="shared" si="54"/>
        <v>0.30310664454382202</v>
      </c>
      <c r="Q489" s="37">
        <f t="shared" si="55"/>
        <v>0.54802244182690329</v>
      </c>
      <c r="R489" s="37">
        <v>-9.9000000000000008E-3</v>
      </c>
      <c r="S489" s="44" t="s">
        <v>1391</v>
      </c>
      <c r="T489" s="45">
        <v>0.114720056</v>
      </c>
      <c r="U489" s="45">
        <v>3.4184606999999999E-2</v>
      </c>
      <c r="V489" s="45">
        <v>0.35915359099999999</v>
      </c>
      <c r="W489" s="45">
        <v>66.272594699999999</v>
      </c>
      <c r="X489" s="45">
        <v>2.44930862E-2</v>
      </c>
      <c r="Y489" s="45">
        <v>5.1712561100000004E-3</v>
      </c>
      <c r="Z489" s="36">
        <v>4</v>
      </c>
      <c r="AA489" s="38">
        <v>640</v>
      </c>
      <c r="AB489" s="38">
        <v>727</v>
      </c>
      <c r="AC489" s="49" t="s">
        <v>506</v>
      </c>
      <c r="AD489" s="49" t="s">
        <v>506</v>
      </c>
      <c r="AE489" s="48"/>
    </row>
    <row r="490" spans="1:31" ht="15" thickBot="1">
      <c r="A490" s="34">
        <v>488</v>
      </c>
      <c r="B490" s="34" t="s">
        <v>290</v>
      </c>
      <c r="C490" s="41" t="s">
        <v>1358</v>
      </c>
      <c r="D490" s="34" t="s">
        <v>369</v>
      </c>
      <c r="E490" s="80">
        <f t="shared" si="49"/>
        <v>1.74100001623909</v>
      </c>
      <c r="F490" s="35">
        <f t="shared" si="50"/>
        <v>52.765352675159413</v>
      </c>
      <c r="G490" s="42" cm="1">
        <f t="array" ref="G49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52.530231379868567</v>
      </c>
      <c r="H490" s="81" cm="1">
        <f t="array" ref="H4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1.7367414160138759</v>
      </c>
      <c r="I490" s="81" cm="1">
        <f t="array" ref="I4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1.74100001623909</v>
      </c>
      <c r="J490" s="81" cm="1">
        <f t="array" ref="J4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1.744346990704325</v>
      </c>
      <c r="K490" s="81" cm="1">
        <f t="array" ref="K4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1.75078472243885</v>
      </c>
      <c r="L490" s="81" cm="1">
        <f t="array" ref="L4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1.7584685459152876</v>
      </c>
      <c r="M490" s="37">
        <f t="shared" si="51"/>
        <v>1.4043306424974089E-2</v>
      </c>
      <c r="N490" s="43">
        <f t="shared" si="52"/>
        <v>4.2586002252140709E-3</v>
      </c>
      <c r="O490" s="43">
        <f t="shared" si="53"/>
        <v>7.6838234764375901E-3</v>
      </c>
      <c r="P490" s="43">
        <f t="shared" si="54"/>
        <v>0.30324768942168323</v>
      </c>
      <c r="Q490" s="37">
        <f t="shared" si="55"/>
        <v>0.54715201989561135</v>
      </c>
      <c r="R490" s="37">
        <v>-8.6E-3</v>
      </c>
      <c r="S490" s="44" t="s">
        <v>1391</v>
      </c>
      <c r="T490" s="45">
        <v>0.113952119</v>
      </c>
      <c r="U490" s="45">
        <v>7.1111032599999999E-2</v>
      </c>
      <c r="V490" s="45">
        <v>0.32525840700000003</v>
      </c>
      <c r="W490" s="45">
        <v>67.547838600000006</v>
      </c>
      <c r="X490" s="45">
        <v>1.8274583099999998E-2</v>
      </c>
      <c r="Y490" s="45">
        <v>4.1401453000000001E-3</v>
      </c>
      <c r="Z490" s="36">
        <v>4.1900000000000004</v>
      </c>
      <c r="AA490" s="38">
        <v>655</v>
      </c>
      <c r="AB490" s="38">
        <v>739</v>
      </c>
      <c r="AC490" s="49" t="s">
        <v>506</v>
      </c>
      <c r="AD490" s="39" t="s">
        <v>1371</v>
      </c>
      <c r="AE490" s="48"/>
    </row>
    <row r="491" spans="1:31" ht="15" thickBot="1">
      <c r="A491" s="34">
        <v>489</v>
      </c>
      <c r="B491" s="34" t="s">
        <v>290</v>
      </c>
      <c r="C491" s="41" t="s">
        <v>1358</v>
      </c>
      <c r="D491" s="34" t="s">
        <v>370</v>
      </c>
      <c r="E491" s="80">
        <f t="shared" si="49"/>
        <v>1.7550000157723751</v>
      </c>
      <c r="F491" s="35">
        <f t="shared" si="50"/>
        <v>52.334821603165963</v>
      </c>
      <c r="G491" s="42" cm="1">
        <f t="array" ref="G49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52.099280929430826</v>
      </c>
      <c r="H491" s="81" cm="1">
        <f t="array" ref="H4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1.750627837291918</v>
      </c>
      <c r="I491" s="81" cm="1">
        <f t="array" ref="I4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1.7550000157723751</v>
      </c>
      <c r="J491" s="81" cm="1">
        <f t="array" ref="J4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1.7584381778570732</v>
      </c>
      <c r="K491" s="81" cm="1">
        <f t="array" ref="K4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1.7650541789253573</v>
      </c>
      <c r="L491" s="81" cm="1">
        <f t="array" ref="L4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1.7729542160855576</v>
      </c>
      <c r="M491" s="37">
        <f t="shared" si="51"/>
        <v>1.4426341633439366E-2</v>
      </c>
      <c r="N491" s="43">
        <f t="shared" si="52"/>
        <v>4.3721784804571229E-3</v>
      </c>
      <c r="O491" s="43">
        <f t="shared" si="53"/>
        <v>7.9000371602002684E-3</v>
      </c>
      <c r="P491" s="43">
        <f t="shared" si="54"/>
        <v>0.30306910730040415</v>
      </c>
      <c r="Q491" s="37">
        <f t="shared" si="55"/>
        <v>0.54761195602691615</v>
      </c>
      <c r="R491" s="37">
        <v>-8.9999999999999993E-3</v>
      </c>
      <c r="S491" s="44" t="s">
        <v>1391</v>
      </c>
      <c r="T491" s="45">
        <v>0.109833774</v>
      </c>
      <c r="U491" s="45">
        <v>4.7033759199999997E-2</v>
      </c>
      <c r="V491" s="45">
        <v>0.35493720699999998</v>
      </c>
      <c r="W491" s="45">
        <v>65.603732600000001</v>
      </c>
      <c r="X491" s="45">
        <v>2.1165337400000001E-2</v>
      </c>
      <c r="Y491" s="45">
        <v>4.7861495299999996E-3</v>
      </c>
      <c r="Z491" s="36">
        <v>4.29</v>
      </c>
      <c r="AA491" s="38">
        <v>670</v>
      </c>
      <c r="AB491" s="38">
        <v>747</v>
      </c>
      <c r="AC491" s="49" t="s">
        <v>506</v>
      </c>
      <c r="AD491" s="39" t="s">
        <v>1371</v>
      </c>
      <c r="AE491" s="48"/>
    </row>
    <row r="492" spans="1:31" ht="15" thickBot="1">
      <c r="A492" s="34">
        <v>490</v>
      </c>
      <c r="B492" s="34" t="s">
        <v>290</v>
      </c>
      <c r="C492" s="41" t="s">
        <v>1358</v>
      </c>
      <c r="D492" s="34" t="s">
        <v>371</v>
      </c>
      <c r="E492" s="80">
        <f t="shared" si="49"/>
        <v>1.7440000177624246</v>
      </c>
      <c r="F492" s="35">
        <f t="shared" si="50"/>
        <v>44.807866479233631</v>
      </c>
      <c r="G492" s="42" cm="1">
        <f t="array" ref="G49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44.542537069401043</v>
      </c>
      <c r="H492" s="81" cm="1">
        <f t="array" ref="H4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1.739041970182003</v>
      </c>
      <c r="I492" s="81" cm="1">
        <f t="array" ref="I4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1.7440000177624246</v>
      </c>
      <c r="J492" s="81" cm="1">
        <f t="array" ref="J4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1.747947570665604</v>
      </c>
      <c r="K492" s="81" cm="1">
        <f t="array" ref="K4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1.7556461978817806</v>
      </c>
      <c r="L492" s="81" cm="1">
        <f t="array" ref="L4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1.7650062624237901</v>
      </c>
      <c r="M492" s="37">
        <f t="shared" si="51"/>
        <v>1.6604227699777541E-2</v>
      </c>
      <c r="N492" s="43">
        <f t="shared" si="52"/>
        <v>4.9580475804216206E-3</v>
      </c>
      <c r="O492" s="43">
        <f t="shared" si="53"/>
        <v>9.3600645420095496E-3</v>
      </c>
      <c r="P492" s="43">
        <f t="shared" si="54"/>
        <v>0.29860151703942528</v>
      </c>
      <c r="Q492" s="37">
        <f t="shared" si="55"/>
        <v>0.56371574223442822</v>
      </c>
      <c r="R492" s="37">
        <v>-5.5999999999999999E-3</v>
      </c>
      <c r="S492" s="44" t="s">
        <v>1391</v>
      </c>
      <c r="T492" s="45">
        <v>0.10364352</v>
      </c>
      <c r="U492" s="45">
        <v>1.60518064E-2</v>
      </c>
      <c r="V492" s="45">
        <v>0.38005356600000001</v>
      </c>
      <c r="W492" s="45">
        <v>72.279280600000007</v>
      </c>
      <c r="X492" s="45">
        <v>4.2091216700000003E-2</v>
      </c>
      <c r="Y492" s="45">
        <v>6.3368143799999999E-3</v>
      </c>
      <c r="Z492" s="36">
        <v>4.16</v>
      </c>
      <c r="AA492" s="38">
        <v>620</v>
      </c>
      <c r="AB492" s="38">
        <v>717</v>
      </c>
      <c r="AC492" s="49" t="s">
        <v>506</v>
      </c>
      <c r="AD492" s="49" t="s">
        <v>506</v>
      </c>
      <c r="AE492" s="48"/>
    </row>
    <row r="493" spans="1:31" ht="15" thickBot="1">
      <c r="A493" s="34">
        <v>491</v>
      </c>
      <c r="B493" s="34" t="s">
        <v>290</v>
      </c>
      <c r="C493" s="41" t="s">
        <v>1358</v>
      </c>
      <c r="D493" s="34" t="s">
        <v>372</v>
      </c>
      <c r="E493" s="80">
        <f t="shared" si="49"/>
        <v>1.7170000177822438</v>
      </c>
      <c r="F493" s="35">
        <f t="shared" si="50"/>
        <v>47.978299938791032</v>
      </c>
      <c r="G493" s="42" cm="1">
        <f t="array" ref="G49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47.710034620743457</v>
      </c>
      <c r="H493" s="81" cm="1">
        <f t="array" ref="H4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1.7125169982809891</v>
      </c>
      <c r="I493" s="81" cm="1">
        <f t="array" ref="I4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1.7170000177822438</v>
      </c>
      <c r="J493" s="81" cm="1">
        <f t="array" ref="J4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1.7205558198746957</v>
      </c>
      <c r="K493" s="81" cm="1">
        <f t="array" ref="K4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1.7274612547197743</v>
      </c>
      <c r="L493" s="81" cm="1">
        <f t="array" ref="L4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1.7358088649588941</v>
      </c>
      <c r="M493" s="37">
        <f t="shared" si="51"/>
        <v>1.4944256438785164E-2</v>
      </c>
      <c r="N493" s="43">
        <f t="shared" si="52"/>
        <v>4.4830195012546259E-3</v>
      </c>
      <c r="O493" s="43">
        <f t="shared" si="53"/>
        <v>8.3476102391197848E-3</v>
      </c>
      <c r="P493" s="43">
        <f t="shared" si="54"/>
        <v>0.29998277395854533</v>
      </c>
      <c r="Q493" s="37">
        <f t="shared" si="55"/>
        <v>0.5585831769759414</v>
      </c>
      <c r="R493" s="37">
        <v>-5.3E-3</v>
      </c>
      <c r="S493" s="44" t="s">
        <v>1391</v>
      </c>
      <c r="T493" s="45">
        <v>0.107530916</v>
      </c>
      <c r="U493" s="45">
        <v>1.48535752E-2</v>
      </c>
      <c r="V493" s="45">
        <v>0.37074789200000002</v>
      </c>
      <c r="W493" s="45">
        <v>74.501566100000005</v>
      </c>
      <c r="X493" s="45">
        <v>3.9554161400000003E-2</v>
      </c>
      <c r="Y493" s="45">
        <v>6.1122954000000004E-3</v>
      </c>
      <c r="Z493" s="36">
        <v>3.93</v>
      </c>
      <c r="AA493" s="38">
        <v>640</v>
      </c>
      <c r="AB493" s="38">
        <v>746</v>
      </c>
      <c r="AC493" s="49" t="s">
        <v>506</v>
      </c>
      <c r="AD493" s="49" t="s">
        <v>506</v>
      </c>
      <c r="AE493" s="48"/>
    </row>
    <row r="494" spans="1:31" ht="15" thickBot="1">
      <c r="A494" s="34">
        <v>492</v>
      </c>
      <c r="B494" s="34" t="s">
        <v>290</v>
      </c>
      <c r="C494" s="41" t="s">
        <v>1358</v>
      </c>
      <c r="D494" s="34" t="s">
        <v>373</v>
      </c>
      <c r="E494" s="80">
        <f t="shared" si="49"/>
        <v>1.7495000231396109</v>
      </c>
      <c r="F494" s="35">
        <f t="shared" si="50"/>
        <v>35.25356557002182</v>
      </c>
      <c r="G494" s="42" cm="1">
        <f t="array" ref="G49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34.993542410807976</v>
      </c>
      <c r="H494" s="81" cm="1">
        <f t="array" ref="H4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1.7432713698752789</v>
      </c>
      <c r="I494" s="81" cm="1">
        <f t="array" ref="I4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1.7495000231396109</v>
      </c>
      <c r="J494" s="81" cm="1">
        <f t="array" ref="J4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1.7545325007536896</v>
      </c>
      <c r="K494" s="81" cm="1">
        <f t="array" ref="K4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1.764531631384173</v>
      </c>
      <c r="L494" s="81" cm="1">
        <f t="array" ref="L4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1.777039150233759</v>
      </c>
      <c r="M494" s="37">
        <f t="shared" si="51"/>
        <v>2.1260261508894152E-2</v>
      </c>
      <c r="N494" s="43">
        <f t="shared" si="52"/>
        <v>6.2286532643320847E-3</v>
      </c>
      <c r="O494" s="43">
        <f t="shared" si="53"/>
        <v>1.2507518849586008E-2</v>
      </c>
      <c r="P494" s="43">
        <f t="shared" si="54"/>
        <v>0.29297162039734792</v>
      </c>
      <c r="Q494" s="37">
        <f t="shared" si="55"/>
        <v>0.58830503304738435</v>
      </c>
      <c r="R494" s="37">
        <v>2.8999999999999998E-3</v>
      </c>
      <c r="S494" s="44" t="s">
        <v>1391</v>
      </c>
      <c r="T494" s="45">
        <v>0.1052223</v>
      </c>
      <c r="U494" s="45">
        <v>1.9499588500000001E-2</v>
      </c>
      <c r="V494" s="45">
        <v>0.37658535300000001</v>
      </c>
      <c r="W494" s="45">
        <v>73.380765199999999</v>
      </c>
      <c r="X494" s="45">
        <v>5.4228878699999997E-2</v>
      </c>
      <c r="Y494" s="45">
        <v>7.1647433799999997E-3</v>
      </c>
      <c r="Z494" s="36">
        <v>3.62</v>
      </c>
      <c r="AA494" s="38">
        <v>587</v>
      </c>
      <c r="AB494" s="38"/>
      <c r="AC494" s="49" t="s">
        <v>506</v>
      </c>
      <c r="AD494" s="49" t="s">
        <v>506</v>
      </c>
      <c r="AE494" s="48"/>
    </row>
    <row r="495" spans="1:31" ht="15" thickBot="1">
      <c r="A495" s="34">
        <v>493</v>
      </c>
      <c r="B495" s="34" t="s">
        <v>290</v>
      </c>
      <c r="C495" s="41" t="s">
        <v>1358</v>
      </c>
      <c r="D495" s="34" t="s">
        <v>374</v>
      </c>
      <c r="E495" s="80">
        <f t="shared" si="49"/>
        <v>1.700000016951968</v>
      </c>
      <c r="F495" s="35">
        <f t="shared" si="50"/>
        <v>48.107158922290665</v>
      </c>
      <c r="G495" s="42" cm="1">
        <f t="array" ref="G49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47.822596987569568</v>
      </c>
      <c r="H495" s="81" cm="1">
        <f t="array" ref="H4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1.6956448215663544</v>
      </c>
      <c r="I495" s="81" cm="1">
        <f t="array" ref="I4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1.700000016951968</v>
      </c>
      <c r="J495" s="81" cm="1">
        <f t="array" ref="J4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1.7034614960187289</v>
      </c>
      <c r="K495" s="81" cm="1">
        <f t="array" ref="K4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1.7101956708086201</v>
      </c>
      <c r="L495" s="81" cm="1">
        <f t="array" ref="L4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1.7183507823065227</v>
      </c>
      <c r="M495" s="37">
        <f t="shared" si="51"/>
        <v>1.4550849242265684E-2</v>
      </c>
      <c r="N495" s="43">
        <f t="shared" si="52"/>
        <v>4.355195385613575E-3</v>
      </c>
      <c r="O495" s="43">
        <f t="shared" si="53"/>
        <v>8.1551114979026007E-3</v>
      </c>
      <c r="P495" s="43">
        <f t="shared" si="54"/>
        <v>0.29930867354209739</v>
      </c>
      <c r="Q495" s="37">
        <f t="shared" si="55"/>
        <v>0.56045605051109615</v>
      </c>
      <c r="R495" s="37">
        <v>-3.3E-3</v>
      </c>
      <c r="S495" s="44" t="s">
        <v>1391</v>
      </c>
      <c r="T495" s="45">
        <v>0.124405553</v>
      </c>
      <c r="U495" s="45">
        <v>1.8563318799999999E-2</v>
      </c>
      <c r="V495" s="45">
        <v>0.35989358399999999</v>
      </c>
      <c r="W495" s="45">
        <v>94.042119900000003</v>
      </c>
      <c r="X495" s="45">
        <v>3.72381886E-2</v>
      </c>
      <c r="Y495" s="45">
        <v>5.9023640100000002E-3</v>
      </c>
      <c r="Z495" s="36">
        <v>3.68</v>
      </c>
      <c r="AA495" s="38">
        <v>657</v>
      </c>
      <c r="AB495" s="38">
        <v>776</v>
      </c>
      <c r="AC495" s="49" t="s">
        <v>506</v>
      </c>
      <c r="AD495" s="49" t="s">
        <v>506</v>
      </c>
      <c r="AE495" s="48"/>
    </row>
    <row r="496" spans="1:31" ht="15" thickBot="1">
      <c r="A496" s="34">
        <v>494</v>
      </c>
      <c r="B496" s="34" t="s">
        <v>290</v>
      </c>
      <c r="C496" s="41" t="s">
        <v>1358</v>
      </c>
      <c r="D496" s="34" t="s">
        <v>375</v>
      </c>
      <c r="E496" s="80">
        <f t="shared" si="49"/>
        <v>1.720000017257199</v>
      </c>
      <c r="F496" s="35">
        <f t="shared" si="50"/>
        <v>43.616568346776376</v>
      </c>
      <c r="G496" s="42" cm="1">
        <f t="array" ref="G49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43.335211001948736</v>
      </c>
      <c r="H496" s="81" cm="1">
        <f t="array" ref="H4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1.7150940231850069</v>
      </c>
      <c r="I496" s="81" cm="1">
        <f t="array" ref="I4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1.720000017257199</v>
      </c>
      <c r="J496" s="81" cm="1">
        <f t="array" ref="J4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1.7239220444221603</v>
      </c>
      <c r="K496" s="81" cm="1">
        <f t="array" ref="K4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1.7316015120716335</v>
      </c>
      <c r="L496" s="81" cm="1">
        <f t="array" ref="L4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1.7409851910651029</v>
      </c>
      <c r="M496" s="37">
        <f t="shared" si="51"/>
        <v>1.6507488886626565E-2</v>
      </c>
      <c r="N496" s="43">
        <f t="shared" si="52"/>
        <v>4.9059940721920547E-3</v>
      </c>
      <c r="O496" s="43">
        <f t="shared" si="53"/>
        <v>9.3836789934693687E-3</v>
      </c>
      <c r="P496" s="43">
        <f t="shared" si="54"/>
        <v>0.29719808420810839</v>
      </c>
      <c r="Q496" s="37">
        <f t="shared" si="55"/>
        <v>0.5684498143791874</v>
      </c>
      <c r="R496" s="37">
        <v>-2.8999999999999998E-3</v>
      </c>
      <c r="S496" s="44" t="s">
        <v>1391</v>
      </c>
      <c r="T496" s="45">
        <v>0.10582348699999999</v>
      </c>
      <c r="U496" s="45">
        <v>1.47351472E-2</v>
      </c>
      <c r="V496" s="45">
        <v>0.37118550099999997</v>
      </c>
      <c r="W496" s="45">
        <v>84.804784299999994</v>
      </c>
      <c r="X496" s="45">
        <v>4.5578424100000001E-2</v>
      </c>
      <c r="Y496" s="45">
        <v>6.6019654600000003E-3</v>
      </c>
      <c r="Z496" s="36">
        <v>3.88</v>
      </c>
      <c r="AA496" s="38">
        <v>577</v>
      </c>
      <c r="AB496" s="38">
        <v>716</v>
      </c>
      <c r="AC496" s="49" t="s">
        <v>506</v>
      </c>
      <c r="AD496" s="49" t="s">
        <v>506</v>
      </c>
      <c r="AE496" s="48"/>
    </row>
    <row r="497" spans="1:31" ht="15" thickBot="1">
      <c r="A497" s="34">
        <v>495</v>
      </c>
      <c r="B497" s="34" t="s">
        <v>290</v>
      </c>
      <c r="C497" s="41" t="s">
        <v>1358</v>
      </c>
      <c r="D497" s="34" t="s">
        <v>376</v>
      </c>
      <c r="E497" s="80">
        <f t="shared" si="49"/>
        <v>1.7570000169318873</v>
      </c>
      <c r="F497" s="35">
        <f t="shared" si="50"/>
        <v>47.865927218539071</v>
      </c>
      <c r="G497" s="42" cm="1">
        <f t="array" ref="G49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47.621916726830939</v>
      </c>
      <c r="H497" s="81" cm="1">
        <f t="array" ref="H4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1.7522391227648977</v>
      </c>
      <c r="I497" s="81" cm="1">
        <f t="array" ref="I4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1.7570000169318873</v>
      </c>
      <c r="J497" s="81" cm="1">
        <f t="array" ref="J4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1.7607638044026976</v>
      </c>
      <c r="K497" s="81" cm="1">
        <f t="array" ref="K4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1.7680541306613433</v>
      </c>
      <c r="L497" s="81" cm="1">
        <f t="array" ref="L4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1.7768439419360325</v>
      </c>
      <c r="M497" s="37">
        <f t="shared" si="51"/>
        <v>1.5815007896445632E-2</v>
      </c>
      <c r="N497" s="43">
        <f t="shared" si="52"/>
        <v>4.7608941669896598E-3</v>
      </c>
      <c r="O497" s="43">
        <f t="shared" si="53"/>
        <v>8.789811274689141E-3</v>
      </c>
      <c r="P497" s="43">
        <f t="shared" si="54"/>
        <v>0.30103647106364417</v>
      </c>
      <c r="Q497" s="37">
        <f t="shared" si="55"/>
        <v>0.55578924349855185</v>
      </c>
      <c r="R497" s="37">
        <v>-8.3999999999999995E-3</v>
      </c>
      <c r="S497" s="44" t="s">
        <v>1391</v>
      </c>
      <c r="T497" s="45">
        <v>0.115921577</v>
      </c>
      <c r="U497" s="45">
        <v>2.4380220099999999E-2</v>
      </c>
      <c r="V497" s="45">
        <v>0.37772714400000001</v>
      </c>
      <c r="W497" s="45">
        <v>67.815611099999998</v>
      </c>
      <c r="X497" s="45">
        <v>3.3045493000000002E-2</v>
      </c>
      <c r="Y497" s="45">
        <v>5.5504697700000001E-3</v>
      </c>
      <c r="Z497" s="36">
        <v>4.07</v>
      </c>
      <c r="AA497" s="38">
        <v>648</v>
      </c>
      <c r="AB497" s="38"/>
      <c r="AC497" s="49" t="s">
        <v>506</v>
      </c>
      <c r="AD497" s="49" t="s">
        <v>506</v>
      </c>
      <c r="AE497" s="48"/>
    </row>
    <row r="498" spans="1:31" ht="15" thickBot="1">
      <c r="A498" s="34">
        <v>496</v>
      </c>
      <c r="B498" s="34" t="s">
        <v>290</v>
      </c>
      <c r="C498" s="41" t="s">
        <v>1358</v>
      </c>
      <c r="D498" s="34" t="s">
        <v>377</v>
      </c>
      <c r="E498" s="80">
        <f t="shared" si="49"/>
        <v>1.7620000196606218</v>
      </c>
      <c r="F498" s="35">
        <f t="shared" si="50"/>
        <v>40.120065661824746</v>
      </c>
      <c r="G498" s="42" cm="1">
        <f t="array" ref="G49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39.854851742807092</v>
      </c>
      <c r="H498" s="81" cm="1">
        <f t="array" ref="H4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1.7563807730799634</v>
      </c>
      <c r="I498" s="81" cm="1">
        <f t="array" ref="I4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1.7620000196606218</v>
      </c>
      <c r="J498" s="81" cm="1">
        <f t="array" ref="J4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1.7665098723842825</v>
      </c>
      <c r="K498" s="81" cm="1">
        <f t="array" ref="K4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1.775373763422591</v>
      </c>
      <c r="L498" s="81" cm="1">
        <f t="array" ref="L4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1.786248816898192</v>
      </c>
      <c r="M498" s="37">
        <f t="shared" si="51"/>
        <v>1.899299034262758E-2</v>
      </c>
      <c r="N498" s="43">
        <f t="shared" si="52"/>
        <v>5.6192465806583769E-3</v>
      </c>
      <c r="O498" s="43">
        <f t="shared" si="53"/>
        <v>1.0875053475601026E-2</v>
      </c>
      <c r="P498" s="43">
        <f t="shared" si="54"/>
        <v>0.29585897108822429</v>
      </c>
      <c r="Q498" s="37">
        <f t="shared" si="55"/>
        <v>0.57258247803102502</v>
      </c>
      <c r="R498" s="37">
        <v>-4.5999999999999999E-3</v>
      </c>
      <c r="S498" s="44" t="s">
        <v>1391</v>
      </c>
      <c r="T498" s="45">
        <v>0.112020693</v>
      </c>
      <c r="U498" s="45">
        <v>2.9134318199999999E-2</v>
      </c>
      <c r="V498" s="45">
        <v>0.37305913000000002</v>
      </c>
      <c r="W498" s="45">
        <v>91.920648299999996</v>
      </c>
      <c r="X498" s="45">
        <v>3.8342949600000002E-2</v>
      </c>
      <c r="Y498" s="45">
        <v>6.2591539499999996E-3</v>
      </c>
      <c r="Z498" s="36">
        <v>3.94</v>
      </c>
      <c r="AA498" s="38">
        <v>606</v>
      </c>
      <c r="AB498" s="38">
        <v>727</v>
      </c>
      <c r="AC498" s="49" t="s">
        <v>506</v>
      </c>
      <c r="AD498" s="49" t="s">
        <v>506</v>
      </c>
      <c r="AE498" s="48"/>
    </row>
    <row r="499" spans="1:31" ht="15" thickBot="1">
      <c r="A499" s="34">
        <v>497</v>
      </c>
      <c r="B499" s="34" t="s">
        <v>290</v>
      </c>
      <c r="C499" s="41" t="s">
        <v>1358</v>
      </c>
      <c r="D499" s="34" t="s">
        <v>378</v>
      </c>
      <c r="E499" s="80">
        <f t="shared" si="49"/>
        <v>1.7432000169603301</v>
      </c>
      <c r="F499" s="35">
        <f t="shared" si="50"/>
        <v>49.256949064844555</v>
      </c>
      <c r="G499" s="42" cm="1">
        <f t="array" ref="G49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49.01454940764291</v>
      </c>
      <c r="H499" s="81" cm="1">
        <f t="array" ref="H4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1.7386492427751936</v>
      </c>
      <c r="I499" s="81" cm="1">
        <f t="array" ref="I4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1.7432000169603301</v>
      </c>
      <c r="J499" s="81" cm="1">
        <f t="array" ref="J4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1.7467932846808547</v>
      </c>
      <c r="K499" s="81" cm="1">
        <f t="array" ref="K4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1.7537374695344665</v>
      </c>
      <c r="L499" s="81" cm="1">
        <f t="array" ref="L4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1.7620750007303407</v>
      </c>
      <c r="M499" s="37">
        <f t="shared" si="51"/>
        <v>1.5088226759272905E-2</v>
      </c>
      <c r="N499" s="43">
        <f t="shared" si="52"/>
        <v>4.5507741851364969E-3</v>
      </c>
      <c r="O499" s="43">
        <f t="shared" si="53"/>
        <v>8.3375311958742149E-3</v>
      </c>
      <c r="P499" s="43">
        <f t="shared" si="54"/>
        <v>0.30161093531681499</v>
      </c>
      <c r="Q499" s="37">
        <f t="shared" si="55"/>
        <v>0.55258522614330041</v>
      </c>
      <c r="R499" s="37">
        <v>-9.1999999999999998E-3</v>
      </c>
      <c r="S499" s="44" t="s">
        <v>1391</v>
      </c>
      <c r="T499" s="45">
        <v>0.113189864</v>
      </c>
      <c r="U499" s="45">
        <v>3.8620542299999998E-2</v>
      </c>
      <c r="V499" s="45">
        <v>0.35804931000000001</v>
      </c>
      <c r="W499" s="45">
        <v>70.164876399999997</v>
      </c>
      <c r="X499" s="45">
        <v>2.5449776600000001E-2</v>
      </c>
      <c r="Y499" s="45">
        <v>5.1573496300000004E-3</v>
      </c>
      <c r="Z499" s="36">
        <v>4.1500000000000004</v>
      </c>
      <c r="AA499" s="38">
        <v>597</v>
      </c>
      <c r="AB499" s="38">
        <v>679</v>
      </c>
      <c r="AC499" s="49" t="s">
        <v>506</v>
      </c>
      <c r="AD499" s="49" t="s">
        <v>506</v>
      </c>
      <c r="AE499" s="48"/>
    </row>
    <row r="500" spans="1:31" ht="15" thickBot="1">
      <c r="A500" s="34">
        <v>498</v>
      </c>
      <c r="B500" s="34" t="s">
        <v>290</v>
      </c>
      <c r="C500" s="41" t="s">
        <v>1358</v>
      </c>
      <c r="D500" s="34" t="s">
        <v>379</v>
      </c>
      <c r="E500" s="80">
        <f t="shared" si="49"/>
        <v>1.801000025679331</v>
      </c>
      <c r="F500" s="35">
        <f t="shared" si="50"/>
        <v>34.926163329308189</v>
      </c>
      <c r="G500" s="42" cm="1">
        <f t="array" ref="G50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34.682002018190282</v>
      </c>
      <c r="H500" s="81" cm="1">
        <f t="array" ref="H5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1.7942665923543037</v>
      </c>
      <c r="I500" s="81" cm="1">
        <f t="array" ref="I5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1.801000025679331</v>
      </c>
      <c r="J500" s="81" cm="1">
        <f t="array" ref="J5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1.8064312288265079</v>
      </c>
      <c r="K500" s="81" cm="1">
        <f t="array" ref="K5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1.8172006895847079</v>
      </c>
      <c r="L500" s="81" cm="1">
        <f t="array" ref="L5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1.8306277311307508</v>
      </c>
      <c r="M500" s="37">
        <f t="shared" si="51"/>
        <v>2.2934097230404182E-2</v>
      </c>
      <c r="N500" s="43">
        <f t="shared" si="52"/>
        <v>6.7334333250272937E-3</v>
      </c>
      <c r="O500" s="43">
        <f t="shared" si="53"/>
        <v>1.3427041546042906E-2</v>
      </c>
      <c r="P500" s="43">
        <f t="shared" si="54"/>
        <v>0.29359923163230728</v>
      </c>
      <c r="Q500" s="37">
        <f t="shared" si="55"/>
        <v>0.58546196133861395</v>
      </c>
      <c r="R500" s="37">
        <v>-4.0000000000000002E-4</v>
      </c>
      <c r="S500" s="44" t="s">
        <v>1391</v>
      </c>
      <c r="T500" s="45">
        <v>0.124953414</v>
      </c>
      <c r="U500" s="45">
        <v>2.2789013300000001E-2</v>
      </c>
      <c r="V500" s="45">
        <v>0.39360007299999999</v>
      </c>
      <c r="W500" s="45">
        <v>79.426655199999999</v>
      </c>
      <c r="X500" s="45">
        <v>5.0762399299999997E-2</v>
      </c>
      <c r="Y500" s="45">
        <v>6.9629392600000003E-3</v>
      </c>
      <c r="Z500" s="36">
        <v>3.63</v>
      </c>
      <c r="AA500" s="38">
        <v>632</v>
      </c>
      <c r="AB500" s="38">
        <v>733</v>
      </c>
      <c r="AC500" s="49" t="s">
        <v>506</v>
      </c>
      <c r="AD500" s="49" t="s">
        <v>506</v>
      </c>
      <c r="AE500" s="48"/>
    </row>
    <row r="501" spans="1:31" ht="15" thickBot="1">
      <c r="A501" s="34">
        <v>499</v>
      </c>
      <c r="B501" s="34" t="s">
        <v>290</v>
      </c>
      <c r="C501" s="41" t="s">
        <v>1358</v>
      </c>
      <c r="D501" s="34" t="s">
        <v>380</v>
      </c>
      <c r="E501" s="80">
        <f t="shared" si="49"/>
        <v>1.801000025679331</v>
      </c>
      <c r="F501" s="35">
        <f t="shared" si="50"/>
        <v>34.926163329308189</v>
      </c>
      <c r="G501" s="42" cm="1">
        <f t="array" ref="G50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34.682002018190282</v>
      </c>
      <c r="H501" s="81" cm="1">
        <f t="array" ref="H5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1.7942665923543037</v>
      </c>
      <c r="I501" s="81" cm="1">
        <f t="array" ref="I5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1.801000025679331</v>
      </c>
      <c r="J501" s="81" cm="1">
        <f t="array" ref="J5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1.8064312288265079</v>
      </c>
      <c r="K501" s="81" cm="1">
        <f t="array" ref="K5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1.8172006895847079</v>
      </c>
      <c r="L501" s="81" cm="1">
        <f t="array" ref="L5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1.8306277311307508</v>
      </c>
      <c r="M501" s="37">
        <f t="shared" si="51"/>
        <v>2.2934097230404182E-2</v>
      </c>
      <c r="N501" s="43">
        <f t="shared" si="52"/>
        <v>6.7334333250272937E-3</v>
      </c>
      <c r="O501" s="43">
        <f t="shared" si="53"/>
        <v>1.3427041546042906E-2</v>
      </c>
      <c r="P501" s="43">
        <f t="shared" si="54"/>
        <v>0.29359923163230728</v>
      </c>
      <c r="Q501" s="37">
        <f t="shared" si="55"/>
        <v>0.58546196133861395</v>
      </c>
      <c r="R501" s="37">
        <v>-4.0000000000000002E-4</v>
      </c>
      <c r="S501" s="44" t="s">
        <v>1391</v>
      </c>
      <c r="T501" s="45">
        <v>0.124953414</v>
      </c>
      <c r="U501" s="45">
        <v>2.2789013300000001E-2</v>
      </c>
      <c r="V501" s="45">
        <v>0.39360007299999999</v>
      </c>
      <c r="W501" s="45">
        <v>79.426655199999999</v>
      </c>
      <c r="X501" s="45">
        <v>5.0762399299999997E-2</v>
      </c>
      <c r="Y501" s="45">
        <v>6.9629392600000003E-3</v>
      </c>
      <c r="Z501" s="36">
        <v>3.63</v>
      </c>
      <c r="AA501" s="38">
        <v>632</v>
      </c>
      <c r="AB501" s="38">
        <v>733</v>
      </c>
      <c r="AC501" s="49" t="s">
        <v>506</v>
      </c>
      <c r="AD501" s="49" t="s">
        <v>506</v>
      </c>
      <c r="AE501" s="48" t="s">
        <v>770</v>
      </c>
    </row>
    <row r="502" spans="1:31" ht="15" thickBot="1">
      <c r="A502" s="34">
        <v>500</v>
      </c>
      <c r="B502" s="34" t="s">
        <v>290</v>
      </c>
      <c r="C502" s="41" t="s">
        <v>1358</v>
      </c>
      <c r="D502" s="34" t="s">
        <v>381</v>
      </c>
      <c r="E502" s="80">
        <f t="shared" si="49"/>
        <v>1.7950400294603317</v>
      </c>
      <c r="F502" s="35">
        <f t="shared" si="50"/>
        <v>28.694938329197267</v>
      </c>
      <c r="G502" s="42" cm="1">
        <f t="array" ref="G50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28.466385560877768</v>
      </c>
      <c r="H502" s="81" cm="1">
        <f t="array" ref="H5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1.7870361547700002</v>
      </c>
      <c r="I502" s="81" cm="1">
        <f t="array" ref="I5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1.7950400294603317</v>
      </c>
      <c r="J502" s="81" cm="1">
        <f t="array" ref="J5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1.8015772617559263</v>
      </c>
      <c r="K502" s="81" cm="1">
        <f t="array" ref="K5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1.814742784431977</v>
      </c>
      <c r="L502" s="81" cm="1">
        <f t="array" ref="L5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1.8315509995028334</v>
      </c>
      <c r="M502" s="37">
        <f t="shared" si="51"/>
        <v>2.7706629661976789E-2</v>
      </c>
      <c r="N502" s="43">
        <f t="shared" si="52"/>
        <v>8.0038746903314806E-3</v>
      </c>
      <c r="O502" s="43">
        <f t="shared" si="53"/>
        <v>1.6808215070856392E-2</v>
      </c>
      <c r="P502" s="43">
        <f t="shared" si="54"/>
        <v>0.2888794049647837</v>
      </c>
      <c r="Q502" s="37">
        <f t="shared" si="55"/>
        <v>0.60664957361895067</v>
      </c>
      <c r="R502" s="37">
        <v>1.03E-2</v>
      </c>
      <c r="S502" s="44" t="s">
        <v>1391</v>
      </c>
      <c r="T502" s="45">
        <v>0.106417888</v>
      </c>
      <c r="U502" s="45">
        <v>2.3657468099999999E-2</v>
      </c>
      <c r="V502" s="45">
        <v>0.38798284100000002</v>
      </c>
      <c r="W502" s="45">
        <v>75.270172200000005</v>
      </c>
      <c r="X502" s="45">
        <v>6.0121043200000002E-2</v>
      </c>
      <c r="Y502" s="45">
        <v>8.1556022899999994E-3</v>
      </c>
      <c r="Z502" s="36">
        <v>3.61</v>
      </c>
      <c r="AA502" s="38">
        <v>629</v>
      </c>
      <c r="AB502" s="38">
        <v>758</v>
      </c>
      <c r="AC502" s="49" t="s">
        <v>506</v>
      </c>
      <c r="AD502" s="49" t="s">
        <v>506</v>
      </c>
      <c r="AE502" s="48"/>
    </row>
    <row r="503" spans="1:31" ht="15" thickBot="1">
      <c r="A503" s="34">
        <v>501</v>
      </c>
      <c r="B503" s="34" t="s">
        <v>290</v>
      </c>
      <c r="C503" s="41" t="s">
        <v>1358</v>
      </c>
      <c r="D503" s="34" t="s">
        <v>382</v>
      </c>
      <c r="E503" s="80">
        <f t="shared" si="49"/>
        <v>1.7950400294603317</v>
      </c>
      <c r="F503" s="35">
        <f t="shared" si="50"/>
        <v>28.694938329197267</v>
      </c>
      <c r="G503" s="42" cm="1">
        <f t="array" ref="G50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28.466385560877768</v>
      </c>
      <c r="H503" s="81" cm="1">
        <f t="array" ref="H5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1.7870361547700002</v>
      </c>
      <c r="I503" s="81" cm="1">
        <f t="array" ref="I5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1.7950400294603317</v>
      </c>
      <c r="J503" s="81" cm="1">
        <f t="array" ref="J5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1.8015772617559263</v>
      </c>
      <c r="K503" s="81" cm="1">
        <f t="array" ref="K5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1.814742784431977</v>
      </c>
      <c r="L503" s="81" cm="1">
        <f t="array" ref="L5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1.8315509995028334</v>
      </c>
      <c r="M503" s="37">
        <f t="shared" si="51"/>
        <v>2.7706629661976789E-2</v>
      </c>
      <c r="N503" s="43">
        <f t="shared" si="52"/>
        <v>8.0038746903314806E-3</v>
      </c>
      <c r="O503" s="43">
        <f t="shared" si="53"/>
        <v>1.6808215070856392E-2</v>
      </c>
      <c r="P503" s="43">
        <f t="shared" si="54"/>
        <v>0.2888794049647837</v>
      </c>
      <c r="Q503" s="37">
        <f t="shared" si="55"/>
        <v>0.60664957361895067</v>
      </c>
      <c r="R503" s="37">
        <v>1.03E-2</v>
      </c>
      <c r="S503" s="44" t="s">
        <v>1391</v>
      </c>
      <c r="T503" s="45">
        <v>0.106417888</v>
      </c>
      <c r="U503" s="45">
        <v>2.3657468099999999E-2</v>
      </c>
      <c r="V503" s="45">
        <v>0.38798284100000002</v>
      </c>
      <c r="W503" s="45">
        <v>75.270172200000005</v>
      </c>
      <c r="X503" s="45">
        <v>6.0121043200000002E-2</v>
      </c>
      <c r="Y503" s="45">
        <v>8.1556022899999994E-3</v>
      </c>
      <c r="Z503" s="36">
        <v>3.61</v>
      </c>
      <c r="AA503" s="38">
        <v>629</v>
      </c>
      <c r="AB503" s="38">
        <v>758</v>
      </c>
      <c r="AC503" s="49" t="s">
        <v>506</v>
      </c>
      <c r="AD503" s="49" t="s">
        <v>506</v>
      </c>
      <c r="AE503" s="48" t="s">
        <v>770</v>
      </c>
    </row>
    <row r="504" spans="1:31" ht="15" thickBot="1">
      <c r="A504" s="34">
        <v>502</v>
      </c>
      <c r="B504" s="34" t="s">
        <v>290</v>
      </c>
      <c r="C504" s="41" t="s">
        <v>1358</v>
      </c>
      <c r="D504" s="34" t="s">
        <v>383</v>
      </c>
      <c r="E504" s="80">
        <f t="shared" si="49"/>
        <v>1.7859000181640996</v>
      </c>
      <c r="F504" s="35">
        <f t="shared" si="50"/>
        <v>44.173303710878457</v>
      </c>
      <c r="G504" s="42" cm="1">
        <f t="array" ref="G50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43.921787207936454</v>
      </c>
      <c r="H504" s="81" cm="1">
        <f t="array" ref="H5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1.7805819239582308</v>
      </c>
      <c r="I504" s="81" cm="1">
        <f t="array" ref="I5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1.7859000181640996</v>
      </c>
      <c r="J504" s="81" cm="1">
        <f t="array" ref="J5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1.7901302976915945</v>
      </c>
      <c r="K504" s="81" cm="1">
        <f t="array" ref="K5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1.7983732130886056</v>
      </c>
      <c r="L504" s="81" cm="1">
        <f t="array" ref="L5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1.8083827723121761</v>
      </c>
      <c r="M504" s="37">
        <f t="shared" si="51"/>
        <v>1.7791289130374865E-2</v>
      </c>
      <c r="N504" s="43">
        <f t="shared" si="52"/>
        <v>5.3180942058688174E-3</v>
      </c>
      <c r="O504" s="43">
        <f t="shared" si="53"/>
        <v>1.0009559223570497E-2</v>
      </c>
      <c r="P504" s="43">
        <f t="shared" si="54"/>
        <v>0.29891561914922149</v>
      </c>
      <c r="Q504" s="37">
        <f t="shared" si="55"/>
        <v>0.56261011499618041</v>
      </c>
      <c r="R504" s="37">
        <v>-7.7999999999999996E-3</v>
      </c>
      <c r="S504" s="44" t="s">
        <v>1391</v>
      </c>
      <c r="T504" s="45">
        <v>0.11101478400000001</v>
      </c>
      <c r="U504" s="45">
        <v>2.4001479700000002E-2</v>
      </c>
      <c r="V504" s="45">
        <v>0.38879291799999999</v>
      </c>
      <c r="W504" s="45">
        <v>71.175494599999993</v>
      </c>
      <c r="X504" s="45">
        <v>3.6505496399999997E-2</v>
      </c>
      <c r="Y504" s="45">
        <v>5.9440620299999998E-3</v>
      </c>
      <c r="Z504" s="36">
        <v>4.25</v>
      </c>
      <c r="AA504" s="38">
        <v>617</v>
      </c>
      <c r="AB504" s="38">
        <v>701</v>
      </c>
      <c r="AC504" s="49" t="s">
        <v>506</v>
      </c>
      <c r="AD504" s="49" t="s">
        <v>506</v>
      </c>
      <c r="AE504" s="48"/>
    </row>
    <row r="505" spans="1:31" ht="15" thickBot="1">
      <c r="A505" s="34">
        <v>503</v>
      </c>
      <c r="B505" s="34" t="s">
        <v>290</v>
      </c>
      <c r="C505" s="41" t="s">
        <v>1358</v>
      </c>
      <c r="D505" s="34" t="s">
        <v>384</v>
      </c>
      <c r="E505" s="80">
        <f t="shared" si="49"/>
        <v>1.7995200220275245</v>
      </c>
      <c r="F505" s="35">
        <f t="shared" si="50"/>
        <v>42.085421397644417</v>
      </c>
      <c r="G505" s="42" cm="1">
        <f t="array" ref="G50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41.832300417398805</v>
      </c>
      <c r="H505" s="81" cm="1">
        <f t="array" ref="H5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1.7938644986619297</v>
      </c>
      <c r="I505" s="81" cm="1">
        <f t="array" ref="I5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1.7995200220275245</v>
      </c>
      <c r="J505" s="81" cm="1">
        <f t="array" ref="J5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1.8040345516638645</v>
      </c>
      <c r="K505" s="81" cm="1">
        <f t="array" ref="K5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1.8128620516262508</v>
      </c>
      <c r="L505" s="81" cm="1">
        <f t="array" ref="L5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1.8236286469733736</v>
      </c>
      <c r="M505" s="37">
        <f t="shared" si="51"/>
        <v>1.8997552964321152E-2</v>
      </c>
      <c r="N505" s="43">
        <f t="shared" si="52"/>
        <v>5.6555233655948278E-3</v>
      </c>
      <c r="O505" s="43">
        <f t="shared" si="53"/>
        <v>1.0766595347122765E-2</v>
      </c>
      <c r="P505" s="43">
        <f t="shared" si="54"/>
        <v>0.29769746536389874</v>
      </c>
      <c r="Q505" s="37">
        <f t="shared" si="55"/>
        <v>0.56673590368945148</v>
      </c>
      <c r="R505" s="37">
        <v>-7.0000000000000001E-3</v>
      </c>
      <c r="S505" s="44" t="s">
        <v>1391</v>
      </c>
      <c r="T505" s="45">
        <v>0.10678480999999999</v>
      </c>
      <c r="U505" s="45">
        <v>2.04998014E-2</v>
      </c>
      <c r="V505" s="45">
        <v>0.39708913299999998</v>
      </c>
      <c r="W505" s="45">
        <v>73.222911800000006</v>
      </c>
      <c r="X505" s="45">
        <v>4.0603631799999998E-2</v>
      </c>
      <c r="Y505" s="45">
        <v>6.3800014399999997E-3</v>
      </c>
      <c r="Z505" s="36">
        <v>4.51</v>
      </c>
      <c r="AA505" s="38">
        <v>598</v>
      </c>
      <c r="AB505" s="38">
        <v>684</v>
      </c>
      <c r="AC505" s="49" t="s">
        <v>506</v>
      </c>
      <c r="AD505" s="49" t="s">
        <v>506</v>
      </c>
      <c r="AE505" s="48"/>
    </row>
    <row r="506" spans="1:31" ht="15" thickBot="1">
      <c r="A506" s="34">
        <v>504</v>
      </c>
      <c r="B506" s="34" t="s">
        <v>290</v>
      </c>
      <c r="C506" s="41" t="s">
        <v>1358</v>
      </c>
      <c r="D506" s="34" t="s">
        <v>385</v>
      </c>
      <c r="E506" s="80">
        <f t="shared" si="49"/>
        <v>1.8061000223624901</v>
      </c>
      <c r="F506" s="35">
        <f t="shared" si="50"/>
        <v>40.978074062589265</v>
      </c>
      <c r="G506" s="42" cm="1">
        <f t="array" ref="G50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40.731219456092141</v>
      </c>
      <c r="H506" s="81" cm="1">
        <f t="array" ref="H5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1.8002487139344951</v>
      </c>
      <c r="I506" s="81" cm="1">
        <f t="array" ref="I5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1.8061000223624901</v>
      </c>
      <c r="J506" s="81" cm="1">
        <f t="array" ref="J5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1.8107721250754574</v>
      </c>
      <c r="K506" s="81" cm="1">
        <f t="array" ref="K5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1.8199202099919054</v>
      </c>
      <c r="L506" s="81" cm="1">
        <f t="array" ref="L5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1.8311114729757836</v>
      </c>
      <c r="M506" s="37">
        <f t="shared" si="51"/>
        <v>1.9671496057410254E-2</v>
      </c>
      <c r="N506" s="43">
        <f t="shared" si="52"/>
        <v>5.8513084279949723E-3</v>
      </c>
      <c r="O506" s="43">
        <f t="shared" si="53"/>
        <v>1.1191262983878181E-2</v>
      </c>
      <c r="P506" s="43">
        <f t="shared" si="54"/>
        <v>0.29745111459332979</v>
      </c>
      <c r="Q506" s="37">
        <f t="shared" si="55"/>
        <v>0.56890756814921717</v>
      </c>
      <c r="R506" s="37">
        <v>-6.7999999999999996E-3</v>
      </c>
      <c r="S506" s="44" t="s">
        <v>1391</v>
      </c>
      <c r="T506" s="45">
        <v>0.116842249</v>
      </c>
      <c r="U506" s="45">
        <v>2.16356451E-2</v>
      </c>
      <c r="V506" s="45">
        <v>0.39836660600000001</v>
      </c>
      <c r="W506" s="45">
        <v>72.589107400000003</v>
      </c>
      <c r="X506" s="45">
        <v>4.21702012E-2</v>
      </c>
      <c r="Y506" s="45">
        <v>6.3125115000000004E-3</v>
      </c>
      <c r="Z506" s="36">
        <v>4.3099999999999996</v>
      </c>
      <c r="AA506" s="38">
        <v>620</v>
      </c>
      <c r="AB506" s="38">
        <v>708</v>
      </c>
      <c r="AC506" s="49" t="s">
        <v>506</v>
      </c>
      <c r="AD506" s="39" t="s">
        <v>1371</v>
      </c>
      <c r="AE506" s="48"/>
    </row>
    <row r="507" spans="1:31" ht="15" thickBot="1">
      <c r="A507" s="34">
        <v>505</v>
      </c>
      <c r="B507" s="34" t="s">
        <v>290</v>
      </c>
      <c r="C507" s="41" t="s">
        <v>1358</v>
      </c>
      <c r="D507" s="34" t="s">
        <v>386</v>
      </c>
      <c r="E507" s="80">
        <f t="shared" si="49"/>
        <v>1.8348100217623806</v>
      </c>
      <c r="F507" s="35">
        <f t="shared" si="50"/>
        <v>42.735748989220426</v>
      </c>
      <c r="G507" s="42" cm="1">
        <f t="array" ref="G50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42.482092917726916</v>
      </c>
      <c r="H507" s="81" cm="1">
        <f t="array" ref="H5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1.8289892367299974</v>
      </c>
      <c r="I507" s="81" cm="1">
        <f t="array" ref="I5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1.8348100217623806</v>
      </c>
      <c r="J507" s="81" cm="1">
        <f t="array" ref="J5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1.8394539985185481</v>
      </c>
      <c r="K507" s="81" cm="1">
        <f t="array" ref="K5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1.8485234684097311</v>
      </c>
      <c r="L507" s="81" cm="1">
        <f t="array" ref="L5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1.859557676539108</v>
      </c>
      <c r="M507" s="37">
        <f t="shared" si="51"/>
        <v>1.9534231679733782E-2</v>
      </c>
      <c r="N507" s="43">
        <f t="shared" si="52"/>
        <v>5.8207850323832577E-3</v>
      </c>
      <c r="O507" s="43">
        <f t="shared" si="53"/>
        <v>1.1034208129376832E-2</v>
      </c>
      <c r="P507" s="43">
        <f t="shared" si="54"/>
        <v>0.29797870363246276</v>
      </c>
      <c r="Q507" s="37">
        <f t="shared" si="55"/>
        <v>0.56486522276811701</v>
      </c>
      <c r="R507" s="37">
        <v>-7.9000000000000008E-3</v>
      </c>
      <c r="S507" s="44" t="s">
        <v>1391</v>
      </c>
      <c r="T507" s="45">
        <v>0.107685998</v>
      </c>
      <c r="U507" s="45">
        <v>2.51666246E-2</v>
      </c>
      <c r="V507" s="45">
        <v>0.40606021599999997</v>
      </c>
      <c r="W507" s="45">
        <v>75.764701500000001</v>
      </c>
      <c r="X507" s="45">
        <v>3.6246482500000003E-2</v>
      </c>
      <c r="Y507" s="45">
        <v>6.0911584100000003E-3</v>
      </c>
      <c r="Z507" s="36">
        <v>4.79</v>
      </c>
      <c r="AA507" s="38">
        <v>674</v>
      </c>
      <c r="AB507" s="38">
        <v>768</v>
      </c>
      <c r="AC507" s="49" t="s">
        <v>506</v>
      </c>
      <c r="AD507" s="39" t="s">
        <v>1371</v>
      </c>
      <c r="AE507" s="48"/>
    </row>
    <row r="508" spans="1:31" ht="15" thickBot="1">
      <c r="A508" s="34">
        <v>506</v>
      </c>
      <c r="B508" s="34" t="s">
        <v>290</v>
      </c>
      <c r="C508" s="41" t="s">
        <v>1358</v>
      </c>
      <c r="D508" s="34" t="s">
        <v>387</v>
      </c>
      <c r="E508" s="80">
        <f t="shared" si="49"/>
        <v>1.8348100217623806</v>
      </c>
      <c r="F508" s="35">
        <f t="shared" si="50"/>
        <v>42.735748989220426</v>
      </c>
      <c r="G508" s="42" cm="1">
        <f t="array" ref="G50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42.482092917726916</v>
      </c>
      <c r="H508" s="81" cm="1">
        <f t="array" ref="H5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1.8289892367299974</v>
      </c>
      <c r="I508" s="81" cm="1">
        <f t="array" ref="I5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1.8348100217623806</v>
      </c>
      <c r="J508" s="81" cm="1">
        <f t="array" ref="J5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1.8394539985185481</v>
      </c>
      <c r="K508" s="81" cm="1">
        <f t="array" ref="K5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1.8485234684097311</v>
      </c>
      <c r="L508" s="81" cm="1">
        <f t="array" ref="L5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1.859557676539108</v>
      </c>
      <c r="M508" s="37">
        <f t="shared" si="51"/>
        <v>1.9534231679733782E-2</v>
      </c>
      <c r="N508" s="43">
        <f t="shared" si="52"/>
        <v>5.8207850323832577E-3</v>
      </c>
      <c r="O508" s="43">
        <f t="shared" si="53"/>
        <v>1.1034208129376832E-2</v>
      </c>
      <c r="P508" s="43">
        <f t="shared" si="54"/>
        <v>0.29797870363246276</v>
      </c>
      <c r="Q508" s="37">
        <f t="shared" si="55"/>
        <v>0.56486522276811701</v>
      </c>
      <c r="R508" s="37">
        <v>-7.9000000000000008E-3</v>
      </c>
      <c r="S508" s="44" t="s">
        <v>1391</v>
      </c>
      <c r="T508" s="45">
        <v>0.107685998</v>
      </c>
      <c r="U508" s="45">
        <v>2.51666246E-2</v>
      </c>
      <c r="V508" s="45">
        <v>0.40606021599999997</v>
      </c>
      <c r="W508" s="45">
        <v>75.764701500000001</v>
      </c>
      <c r="X508" s="45">
        <v>3.6246482500000003E-2</v>
      </c>
      <c r="Y508" s="45">
        <v>6.0911584100000003E-3</v>
      </c>
      <c r="Z508" s="36">
        <v>4.79</v>
      </c>
      <c r="AA508" s="38">
        <v>674</v>
      </c>
      <c r="AB508" s="38">
        <v>768</v>
      </c>
      <c r="AC508" s="49" t="s">
        <v>506</v>
      </c>
      <c r="AD508" s="39" t="s">
        <v>1371</v>
      </c>
      <c r="AE508" s="48" t="s">
        <v>770</v>
      </c>
    </row>
    <row r="509" spans="1:31" ht="15" thickBot="1">
      <c r="A509" s="34">
        <v>507</v>
      </c>
      <c r="B509" s="34" t="s">
        <v>290</v>
      </c>
      <c r="C509" s="41" t="s">
        <v>1358</v>
      </c>
      <c r="D509" s="34" t="s">
        <v>388</v>
      </c>
      <c r="E509" s="80">
        <f t="shared" si="49"/>
        <v>1.883000024296094</v>
      </c>
      <c r="F509" s="35">
        <f t="shared" si="50"/>
        <v>40.6938502543534</v>
      </c>
      <c r="G509" s="42" cm="1">
        <f t="array" ref="G50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40.446281393769873</v>
      </c>
      <c r="H509" s="81" cm="1">
        <f t="array" ref="H5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1.8765543845484598</v>
      </c>
      <c r="I509" s="81" cm="1">
        <f t="array" ref="I5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1.883000024296094</v>
      </c>
      <c r="J509" s="81" cm="1">
        <f t="array" ref="J5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1.8881570045217677</v>
      </c>
      <c r="K509" s="81" cm="1">
        <f t="array" ref="K5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1.8982529954878764</v>
      </c>
      <c r="L509" s="81" cm="1">
        <f t="array" ref="L5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1.9105643488736961</v>
      </c>
      <c r="M509" s="37">
        <f t="shared" si="51"/>
        <v>2.1698610939416607E-2</v>
      </c>
      <c r="N509" s="43">
        <f t="shared" si="52"/>
        <v>6.4456397476342353E-3</v>
      </c>
      <c r="O509" s="43">
        <f t="shared" si="53"/>
        <v>1.2311353385819679E-2</v>
      </c>
      <c r="P509" s="43">
        <f t="shared" si="54"/>
        <v>0.29705310471857949</v>
      </c>
      <c r="Q509" s="37">
        <f t="shared" si="55"/>
        <v>0.56737979312101916</v>
      </c>
      <c r="R509" s="37">
        <v>-8.8000000000000005E-3</v>
      </c>
      <c r="S509" s="44" t="s">
        <v>1391</v>
      </c>
      <c r="T509" s="45">
        <v>0.13404570699999999</v>
      </c>
      <c r="U509" s="45">
        <v>4.9646348799999997E-2</v>
      </c>
      <c r="V509" s="45">
        <v>0.39891209399999999</v>
      </c>
      <c r="W509" s="45">
        <v>98.326062100000001</v>
      </c>
      <c r="X509" s="45">
        <v>2.94341953E-2</v>
      </c>
      <c r="Y509" s="45">
        <v>5.3890175399999999E-3</v>
      </c>
      <c r="Z509" s="36">
        <v>5.41</v>
      </c>
      <c r="AA509" s="38">
        <v>700</v>
      </c>
      <c r="AB509" s="38">
        <v>806</v>
      </c>
      <c r="AC509" s="49" t="s">
        <v>506</v>
      </c>
      <c r="AD509" s="39" t="s">
        <v>1371</v>
      </c>
      <c r="AE509" s="48"/>
    </row>
    <row r="510" spans="1:31" ht="15" thickBot="1">
      <c r="A510" s="34">
        <v>508</v>
      </c>
      <c r="B510" s="34" t="s">
        <v>290</v>
      </c>
      <c r="C510" s="41" t="s">
        <v>1358</v>
      </c>
      <c r="D510" s="34" t="s">
        <v>389</v>
      </c>
      <c r="E510" s="80">
        <f t="shared" si="49"/>
        <v>1.8160000172961355</v>
      </c>
      <c r="F510" s="35">
        <f t="shared" si="50"/>
        <v>46.596334577238729</v>
      </c>
      <c r="G510" s="42" cm="1">
        <f t="array" ref="G51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46.348626069575658</v>
      </c>
      <c r="H510" s="81" cm="1">
        <f t="array" ref="H5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1.8107434782604401</v>
      </c>
      <c r="I510" s="81" cm="1">
        <f t="array" ref="I5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1.8160000172961355</v>
      </c>
      <c r="J510" s="81" cm="1">
        <f t="array" ref="J5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1.8201686598251292</v>
      </c>
      <c r="K510" s="81" cm="1">
        <f t="array" ref="K5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1.8282555856976361</v>
      </c>
      <c r="L510" s="81" cm="1">
        <f t="array" ref="L5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1.8380037167852397</v>
      </c>
      <c r="M510" s="37">
        <f t="shared" si="51"/>
        <v>1.7512107437196001E-2</v>
      </c>
      <c r="N510" s="43">
        <f t="shared" si="52"/>
        <v>5.2565390356953401E-3</v>
      </c>
      <c r="O510" s="43">
        <f t="shared" si="53"/>
        <v>9.7481310876035288E-3</v>
      </c>
      <c r="P510" s="43">
        <f t="shared" si="54"/>
        <v>0.30016598827679447</v>
      </c>
      <c r="Q510" s="37">
        <f t="shared" si="55"/>
        <v>0.55665094121672298</v>
      </c>
      <c r="R510" s="37">
        <v>-9.5999999999999992E-3</v>
      </c>
      <c r="S510" s="44" t="s">
        <v>1391</v>
      </c>
      <c r="T510" s="45">
        <v>0.12628413599999999</v>
      </c>
      <c r="U510" s="45">
        <v>5.5043365300000001E-2</v>
      </c>
      <c r="V510" s="45">
        <v>0.36987077299999999</v>
      </c>
      <c r="W510" s="45">
        <v>82.913670800000006</v>
      </c>
      <c r="X510" s="45">
        <v>2.3694563799999999E-2</v>
      </c>
      <c r="Y510" s="45">
        <v>4.86867246E-3</v>
      </c>
      <c r="Z510" s="36">
        <v>4.99</v>
      </c>
      <c r="AA510" s="38">
        <v>702</v>
      </c>
      <c r="AB510" s="38">
        <v>786</v>
      </c>
      <c r="AC510" s="49" t="s">
        <v>506</v>
      </c>
      <c r="AD510" s="39" t="s">
        <v>1371</v>
      </c>
      <c r="AE510" s="48"/>
    </row>
    <row r="511" spans="1:31" ht="15" thickBot="1">
      <c r="A511" s="34">
        <v>509</v>
      </c>
      <c r="B511" s="34" t="s">
        <v>290</v>
      </c>
      <c r="C511" s="41" t="s">
        <v>1358</v>
      </c>
      <c r="D511" s="34" t="s">
        <v>390</v>
      </c>
      <c r="E511" s="80">
        <f t="shared" si="49"/>
        <v>1.8340000235283254</v>
      </c>
      <c r="F511" s="35">
        <f t="shared" si="50"/>
        <v>37.186632432708464</v>
      </c>
      <c r="G511" s="42" cm="1">
        <f t="array" ref="G51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36.943982160452535</v>
      </c>
      <c r="H511" s="81" cm="1">
        <f t="array" ref="H5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1.827377405084236</v>
      </c>
      <c r="I511" s="81" cm="1">
        <f t="array" ref="I5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1.8340000235283254</v>
      </c>
      <c r="J511" s="81" cm="1">
        <f t="array" ref="J5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1.8393187477151725</v>
      </c>
      <c r="K511" s="81" cm="1">
        <f t="array" ref="K5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1.8498048196945129</v>
      </c>
      <c r="L511" s="81" cm="1">
        <f t="array" ref="L5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1.8627627349034854</v>
      </c>
      <c r="M511" s="37">
        <f t="shared" si="51"/>
        <v>2.2427414610276974E-2</v>
      </c>
      <c r="N511" s="43">
        <f t="shared" si="52"/>
        <v>6.6226184440894009E-3</v>
      </c>
      <c r="O511" s="43">
        <f t="shared" si="53"/>
        <v>1.2957915208972492E-2</v>
      </c>
      <c r="P511" s="43">
        <f t="shared" si="54"/>
        <v>0.29529121208000053</v>
      </c>
      <c r="Q511" s="37">
        <f t="shared" si="55"/>
        <v>0.57777124265740165</v>
      </c>
      <c r="R511" s="37">
        <v>-4.1999999999999997E-3</v>
      </c>
      <c r="S511" s="44" t="s">
        <v>1391</v>
      </c>
      <c r="T511" s="45">
        <v>0.104623045</v>
      </c>
      <c r="U511" s="45">
        <v>2.0148157900000001E-2</v>
      </c>
      <c r="V511" s="45">
        <v>0.40950247699999998</v>
      </c>
      <c r="W511" s="45">
        <v>66.484607499999996</v>
      </c>
      <c r="X511" s="45">
        <v>4.8427705299999999E-2</v>
      </c>
      <c r="Y511" s="45">
        <v>6.8401041100000001E-3</v>
      </c>
      <c r="Z511" s="36">
        <v>4.28</v>
      </c>
      <c r="AA511" s="38">
        <v>628</v>
      </c>
      <c r="AB511" s="38">
        <v>718</v>
      </c>
      <c r="AC511" s="49" t="s">
        <v>506</v>
      </c>
      <c r="AD511" s="39" t="s">
        <v>1371</v>
      </c>
      <c r="AE511" s="48"/>
    </row>
    <row r="512" spans="1:31" ht="15" thickBot="1">
      <c r="A512" s="34">
        <v>510</v>
      </c>
      <c r="B512" s="34" t="s">
        <v>290</v>
      </c>
      <c r="C512" s="41" t="s">
        <v>1358</v>
      </c>
      <c r="D512" s="34" t="s">
        <v>391</v>
      </c>
      <c r="E512" s="80">
        <f t="shared" si="49"/>
        <v>1.8044000210654907</v>
      </c>
      <c r="F512" s="35">
        <f t="shared" si="50"/>
        <v>39.608206890811957</v>
      </c>
      <c r="G512" s="42" cm="1">
        <f t="array" ref="G51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39.364215800256069</v>
      </c>
      <c r="H512" s="81" cm="1">
        <f t="array" ref="H5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1.7983719595009939</v>
      </c>
      <c r="I512" s="81" cm="1">
        <f t="array" ref="I5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1.8044000210654907</v>
      </c>
      <c r="J512" s="81" cm="1">
        <f t="array" ref="J5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1.809220628766268</v>
      </c>
      <c r="K512" s="81" cm="1">
        <f t="array" ref="K5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1.8186808824290877</v>
      </c>
      <c r="L512" s="81" cm="1">
        <f t="array" ref="L5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1.83029799453581</v>
      </c>
      <c r="M512" s="37">
        <f t="shared" si="51"/>
        <v>2.030892292809372E-2</v>
      </c>
      <c r="N512" s="43">
        <f t="shared" si="52"/>
        <v>6.0280615644967561E-3</v>
      </c>
      <c r="O512" s="43">
        <f t="shared" si="53"/>
        <v>1.1617112106722338E-2</v>
      </c>
      <c r="P512" s="43">
        <f t="shared" si="54"/>
        <v>0.29681837810108697</v>
      </c>
      <c r="Q512" s="37">
        <f t="shared" si="55"/>
        <v>0.57202009913840213</v>
      </c>
      <c r="R512" s="37">
        <v>-6.0000000000000001E-3</v>
      </c>
      <c r="S512" s="44" t="s">
        <v>1391</v>
      </c>
      <c r="T512" s="45">
        <v>0.107014916</v>
      </c>
      <c r="U512" s="45">
        <v>2.05151386E-2</v>
      </c>
      <c r="V512" s="45">
        <v>0.39853195200000002</v>
      </c>
      <c r="W512" s="45">
        <v>64.690673099999998</v>
      </c>
      <c r="X512" s="45">
        <v>4.51374212E-2</v>
      </c>
      <c r="Y512" s="45">
        <v>6.5018658699999999E-3</v>
      </c>
      <c r="Z512" s="36">
        <v>4.2</v>
      </c>
      <c r="AA512" s="38">
        <v>618</v>
      </c>
      <c r="AB512" s="38">
        <v>705</v>
      </c>
      <c r="AC512" s="49" t="s">
        <v>506</v>
      </c>
      <c r="AD512" s="39" t="s">
        <v>1371</v>
      </c>
      <c r="AE512" s="48"/>
    </row>
    <row r="513" spans="1:31" ht="15" thickBot="1">
      <c r="A513" s="34">
        <v>511</v>
      </c>
      <c r="B513" s="34" t="s">
        <v>290</v>
      </c>
      <c r="C513" s="41" t="s">
        <v>1358</v>
      </c>
      <c r="D513" s="34" t="s">
        <v>392</v>
      </c>
      <c r="E513" s="80">
        <f t="shared" si="49"/>
        <v>1.7880000188182241</v>
      </c>
      <c r="F513" s="35">
        <f t="shared" si="50"/>
        <v>47.354063253823547</v>
      </c>
      <c r="G513" s="42" cm="1">
        <f t="array" ref="G51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47.107409942645937</v>
      </c>
      <c r="H513" s="81" cm="1">
        <f t="array" ref="H5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1.7829976141528348</v>
      </c>
      <c r="I513" s="81" cm="1">
        <f t="array" ref="I5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1.7880000188182241</v>
      </c>
      <c r="J513" s="81" cm="1">
        <f t="array" ref="J5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1.791961098557151</v>
      </c>
      <c r="K513" s="81" cm="1">
        <f t="array" ref="K5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1.7996382140226801</v>
      </c>
      <c r="L513" s="81" cm="1">
        <f t="array" ref="L5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1.8088901754584814</v>
      </c>
      <c r="M513" s="37">
        <f t="shared" si="51"/>
        <v>1.6640599869845341E-2</v>
      </c>
      <c r="N513" s="43">
        <f t="shared" si="52"/>
        <v>5.0024046653893706E-3</v>
      </c>
      <c r="O513" s="43">
        <f t="shared" si="53"/>
        <v>9.2519614358013147E-3</v>
      </c>
      <c r="P513" s="43">
        <f t="shared" si="54"/>
        <v>0.30061444326020342</v>
      </c>
      <c r="Q513" s="37">
        <f t="shared" si="55"/>
        <v>0.55598725455606446</v>
      </c>
      <c r="R513" s="37">
        <v>-8.9999999999999993E-3</v>
      </c>
      <c r="S513" s="44" t="s">
        <v>1391</v>
      </c>
      <c r="T513" s="45">
        <v>0.109786177</v>
      </c>
      <c r="U513" s="45">
        <v>2.3606408200000002E-2</v>
      </c>
      <c r="V513" s="45">
        <v>0.39062228300000001</v>
      </c>
      <c r="W513" s="45">
        <v>69.348176699999996</v>
      </c>
      <c r="X513" s="45">
        <v>3.2201133600000001E-2</v>
      </c>
      <c r="Y513" s="45">
        <v>5.7616359499999999E-3</v>
      </c>
      <c r="Z513" s="36">
        <v>4.3600000000000003</v>
      </c>
      <c r="AA513" s="38">
        <v>683</v>
      </c>
      <c r="AB513" s="38">
        <v>767</v>
      </c>
      <c r="AC513" s="49" t="s">
        <v>506</v>
      </c>
      <c r="AD513" s="49" t="s">
        <v>506</v>
      </c>
      <c r="AE513" s="48"/>
    </row>
    <row r="514" spans="1:31" ht="15" thickBot="1">
      <c r="A514" s="34">
        <v>512</v>
      </c>
      <c r="B514" s="34" t="s">
        <v>290</v>
      </c>
      <c r="C514" s="41" t="s">
        <v>1358</v>
      </c>
      <c r="D514" s="34" t="s">
        <v>393</v>
      </c>
      <c r="E514" s="80">
        <f t="shared" si="49"/>
        <v>1.8040000168441865</v>
      </c>
      <c r="F514" s="35">
        <f t="shared" si="50"/>
        <v>46.59683658770826</v>
      </c>
      <c r="G514" s="42" cm="1">
        <f t="array" ref="G51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46.344476668202262</v>
      </c>
      <c r="H514" s="81" cm="1">
        <f t="array" ref="H5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1.7988241096651527</v>
      </c>
      <c r="I514" s="81" cm="1">
        <f t="array" ref="I5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1.8040000168441865</v>
      </c>
      <c r="J514" s="81" cm="1">
        <f t="array" ref="J5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1.8081066966174806</v>
      </c>
      <c r="K514" s="81" cm="1">
        <f t="array" ref="K5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1.8160785002144089</v>
      </c>
      <c r="L514" s="81" cm="1">
        <f t="array" ref="L5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1.8256988299665611</v>
      </c>
      <c r="M514" s="37">
        <f t="shared" si="51"/>
        <v>1.7254390549256149E-2</v>
      </c>
      <c r="N514" s="43">
        <f t="shared" si="52"/>
        <v>5.1759071790338229E-3</v>
      </c>
      <c r="O514" s="43">
        <f t="shared" si="53"/>
        <v>9.6203297521522124E-3</v>
      </c>
      <c r="P514" s="43">
        <f t="shared" si="54"/>
        <v>0.29997623875836987</v>
      </c>
      <c r="Q514" s="37">
        <f t="shared" si="55"/>
        <v>0.55755836317075558</v>
      </c>
      <c r="R514" s="37">
        <v>-8.6999999999999994E-3</v>
      </c>
      <c r="S514" s="44" t="s">
        <v>1391</v>
      </c>
      <c r="T514" s="45">
        <v>0.110686191</v>
      </c>
      <c r="U514" s="45">
        <v>2.7136768200000001E-2</v>
      </c>
      <c r="V514" s="45">
        <v>0.39312841900000001</v>
      </c>
      <c r="W514" s="45">
        <v>74.305325999999994</v>
      </c>
      <c r="X514" s="45">
        <v>3.0949420700000001E-2</v>
      </c>
      <c r="Y514" s="45">
        <v>5.7263032000000004E-3</v>
      </c>
      <c r="Z514" s="36">
        <v>4.57</v>
      </c>
      <c r="AA514" s="38">
        <v>697</v>
      </c>
      <c r="AB514" s="38">
        <v>785</v>
      </c>
      <c r="AC514" s="49" t="s">
        <v>506</v>
      </c>
      <c r="AD514" s="39" t="s">
        <v>1371</v>
      </c>
      <c r="AE514" s="48"/>
    </row>
    <row r="515" spans="1:31" ht="15" thickBot="1">
      <c r="A515" s="34">
        <v>513</v>
      </c>
      <c r="B515" s="34" t="s">
        <v>290</v>
      </c>
      <c r="C515" s="41" t="s">
        <v>1358</v>
      </c>
      <c r="D515" s="34" t="s">
        <v>878</v>
      </c>
      <c r="E515" s="80">
        <f t="shared" ref="E515:E578" si="56">I515</f>
        <v>1.8040000168441865</v>
      </c>
      <c r="F515" s="35">
        <f t="shared" ref="F515:F578" si="57">(I515-1)/M515</f>
        <v>46.59683658770826</v>
      </c>
      <c r="G515" s="42" cm="1">
        <f t="array" ref="G51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46.344476668202262</v>
      </c>
      <c r="H515" s="81" cm="1">
        <f t="array" ref="H5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1.7988241096651527</v>
      </c>
      <c r="I515" s="81" cm="1">
        <f t="array" ref="I5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1.8040000168441865</v>
      </c>
      <c r="J515" s="81" cm="1">
        <f t="array" ref="J5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1.8081066966174806</v>
      </c>
      <c r="K515" s="81" cm="1">
        <f t="array" ref="K5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1.8160785002144089</v>
      </c>
      <c r="L515" s="81" cm="1">
        <f t="array" ref="L5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1.8256988299665611</v>
      </c>
      <c r="M515" s="37">
        <f t="shared" ref="M515:M578" si="58">K515-H515</f>
        <v>1.7254390549256149E-2</v>
      </c>
      <c r="N515" s="43">
        <f t="shared" ref="N515:N578" si="59">I515-H515</f>
        <v>5.1759071790338229E-3</v>
      </c>
      <c r="O515" s="43">
        <f t="shared" ref="O515:O578" si="60">L515-K515</f>
        <v>9.6203297521522124E-3</v>
      </c>
      <c r="P515" s="43">
        <f t="shared" ref="P515:P578" si="61">(I515-H515)/M515</f>
        <v>0.29997623875836987</v>
      </c>
      <c r="Q515" s="37">
        <f t="shared" ref="Q515:Q578" si="62">(L515-K515)/M515</f>
        <v>0.55755836317075558</v>
      </c>
      <c r="R515" s="37">
        <v>-8.6999999999999994E-3</v>
      </c>
      <c r="S515" s="44" t="s">
        <v>1391</v>
      </c>
      <c r="T515" s="45">
        <v>0.110686191</v>
      </c>
      <c r="U515" s="45">
        <v>2.7136768200000001E-2</v>
      </c>
      <c r="V515" s="45">
        <v>0.39312841900000001</v>
      </c>
      <c r="W515" s="45">
        <v>74.305325999999994</v>
      </c>
      <c r="X515" s="45">
        <v>3.0949420700000001E-2</v>
      </c>
      <c r="Y515" s="45">
        <v>5.7263032000000004E-3</v>
      </c>
      <c r="Z515" s="36">
        <v>4.57</v>
      </c>
      <c r="AA515" s="38">
        <v>697</v>
      </c>
      <c r="AB515" s="38">
        <v>785</v>
      </c>
      <c r="AC515" s="49" t="s">
        <v>506</v>
      </c>
      <c r="AD515" s="39" t="s">
        <v>1371</v>
      </c>
      <c r="AE515" s="48" t="s">
        <v>770</v>
      </c>
    </row>
    <row r="516" spans="1:31" ht="15" thickBot="1">
      <c r="A516" s="34">
        <v>514</v>
      </c>
      <c r="B516" s="34" t="s">
        <v>290</v>
      </c>
      <c r="C516" s="41" t="s">
        <v>1358</v>
      </c>
      <c r="D516" s="34" t="s">
        <v>394</v>
      </c>
      <c r="E516" s="80">
        <f t="shared" si="56"/>
        <v>1.772500016971889</v>
      </c>
      <c r="F516" s="35">
        <f t="shared" si="57"/>
        <v>49.621376996888237</v>
      </c>
      <c r="G516" s="42" cm="1">
        <f t="array" ref="G51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49.380138998428535</v>
      </c>
      <c r="H516" s="81" cm="1">
        <f t="array" ref="H5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1.7678015183660971</v>
      </c>
      <c r="I516" s="81" cm="1">
        <f t="array" ref="I5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1.772500016971889</v>
      </c>
      <c r="J516" s="81" cm="1">
        <f t="array" ref="J5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1.7762078361790681</v>
      </c>
      <c r="K516" s="81" cm="1">
        <f t="array" ref="K5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1.7833694059122314</v>
      </c>
      <c r="L516" s="81" cm="1">
        <f t="array" ref="L5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1.7919615013050607</v>
      </c>
      <c r="M516" s="37">
        <f t="shared" si="58"/>
        <v>1.5567887546134251E-2</v>
      </c>
      <c r="N516" s="43">
        <f t="shared" si="59"/>
        <v>4.6984986057918565E-3</v>
      </c>
      <c r="O516" s="43">
        <f t="shared" si="60"/>
        <v>8.5920953928293464E-3</v>
      </c>
      <c r="P516" s="43">
        <f t="shared" si="61"/>
        <v>0.30180707510047289</v>
      </c>
      <c r="Q516" s="37">
        <f t="shared" si="62"/>
        <v>0.55191145024444233</v>
      </c>
      <c r="R516" s="37">
        <v>-9.2999999999999992E-3</v>
      </c>
      <c r="S516" s="44" t="s">
        <v>1391</v>
      </c>
      <c r="T516" s="45">
        <v>0.12036548900000001</v>
      </c>
      <c r="U516" s="45">
        <v>5.8021613700000002E-2</v>
      </c>
      <c r="V516" s="45">
        <v>0.35053310100000001</v>
      </c>
      <c r="W516" s="45">
        <v>72.542118000000002</v>
      </c>
      <c r="X516" s="45">
        <v>2.1813549000000002E-2</v>
      </c>
      <c r="Y516" s="45">
        <v>4.51892348E-3</v>
      </c>
      <c r="Z516" s="36">
        <v>4.26</v>
      </c>
      <c r="AA516" s="38">
        <v>669</v>
      </c>
      <c r="AB516" s="38">
        <v>747</v>
      </c>
      <c r="AC516" s="49" t="s">
        <v>506</v>
      </c>
      <c r="AD516" s="39" t="s">
        <v>1371</v>
      </c>
      <c r="AE516" s="48"/>
    </row>
    <row r="517" spans="1:31" ht="15" thickBot="1">
      <c r="A517" s="34">
        <v>515</v>
      </c>
      <c r="B517" s="34" t="s">
        <v>290</v>
      </c>
      <c r="C517" s="41" t="s">
        <v>1358</v>
      </c>
      <c r="D517" s="34" t="s">
        <v>395</v>
      </c>
      <c r="E517" s="80">
        <f t="shared" si="56"/>
        <v>1.7950000206965053</v>
      </c>
      <c r="F517" s="35">
        <f t="shared" si="57"/>
        <v>45.313577088100558</v>
      </c>
      <c r="G517" s="42" cm="1">
        <f t="array" ref="G51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45.06700782020107</v>
      </c>
      <c r="H517" s="81" cm="1">
        <f t="array" ref="H5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1.789741650487165</v>
      </c>
      <c r="I517" s="81" cm="1">
        <f t="array" ref="I5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1.7950000206965053</v>
      </c>
      <c r="J517" s="81" cm="1">
        <f t="array" ref="J5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1.7991732768059745</v>
      </c>
      <c r="K517" s="81" cm="1">
        <f t="array" ref="K5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1.8072860614956103</v>
      </c>
      <c r="L517" s="81" cm="1">
        <f t="array" ref="L5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1.8171082797281048</v>
      </c>
      <c r="M517" s="37">
        <f t="shared" si="58"/>
        <v>1.7544411008445282E-2</v>
      </c>
      <c r="N517" s="43">
        <f t="shared" si="59"/>
        <v>5.2583702093402795E-3</v>
      </c>
      <c r="O517" s="43">
        <f t="shared" si="60"/>
        <v>9.8222182324945173E-3</v>
      </c>
      <c r="P517" s="43">
        <f t="shared" si="61"/>
        <v>0.29971768256050768</v>
      </c>
      <c r="Q517" s="37">
        <f t="shared" si="62"/>
        <v>0.55984884461304718</v>
      </c>
      <c r="R517" s="37">
        <v>-8.5000000000000006E-3</v>
      </c>
      <c r="S517" s="44" t="s">
        <v>1391</v>
      </c>
      <c r="T517" s="45">
        <v>0.113511476</v>
      </c>
      <c r="U517" s="45">
        <v>2.3981066299999999E-2</v>
      </c>
      <c r="V517" s="45">
        <v>0.39264781599999998</v>
      </c>
      <c r="W517" s="45">
        <v>69.704091500000004</v>
      </c>
      <c r="X517" s="45">
        <v>3.5073844799999997E-2</v>
      </c>
      <c r="Y517" s="45">
        <v>5.8213012699999999E-3</v>
      </c>
      <c r="Z517" s="36">
        <v>4.34</v>
      </c>
      <c r="AA517" s="38">
        <v>660</v>
      </c>
      <c r="AB517" s="38">
        <v>740</v>
      </c>
      <c r="AC517" s="49" t="s">
        <v>506</v>
      </c>
      <c r="AD517" s="49" t="s">
        <v>506</v>
      </c>
      <c r="AE517" s="48"/>
    </row>
    <row r="518" spans="1:31" ht="15" thickBot="1">
      <c r="A518" s="34">
        <v>516</v>
      </c>
      <c r="B518" s="34" t="s">
        <v>290</v>
      </c>
      <c r="C518" s="41" t="s">
        <v>1358</v>
      </c>
      <c r="D518" s="34" t="s">
        <v>396</v>
      </c>
      <c r="E518" s="80">
        <f t="shared" si="56"/>
        <v>1.8502600300552448</v>
      </c>
      <c r="F518" s="35">
        <f t="shared" si="57"/>
        <v>32.354081698087512</v>
      </c>
      <c r="G518" s="42" cm="1">
        <f t="array" ref="G51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32.108750192900821</v>
      </c>
      <c r="H518" s="81" cm="1">
        <f t="array" ref="H5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1.8426030387222594</v>
      </c>
      <c r="I518" s="81" cm="1">
        <f t="array" ref="I5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1.8502600300552448</v>
      </c>
      <c r="J518" s="81" cm="1">
        <f t="array" ref="J5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1.8564741730564966</v>
      </c>
      <c r="K518" s="81" cm="1">
        <f t="array" ref="K5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1.8688828768579684</v>
      </c>
      <c r="L518" s="81" cm="1">
        <f t="array" ref="L5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1.8845121646406762</v>
      </c>
      <c r="M518" s="37">
        <f t="shared" si="58"/>
        <v>2.6279838135708999E-2</v>
      </c>
      <c r="N518" s="43">
        <f t="shared" si="59"/>
        <v>7.6569913329853634E-3</v>
      </c>
      <c r="O518" s="43">
        <f t="shared" si="60"/>
        <v>1.5629287782707779E-2</v>
      </c>
      <c r="P518" s="43">
        <f t="shared" si="61"/>
        <v>0.29136371744166328</v>
      </c>
      <c r="Q518" s="37">
        <f t="shared" si="62"/>
        <v>0.59472542037733211</v>
      </c>
      <c r="R518" s="37">
        <v>4.5999999999999999E-3</v>
      </c>
      <c r="S518" s="44" t="s">
        <v>1391</v>
      </c>
      <c r="T518" s="45">
        <v>0.102088736</v>
      </c>
      <c r="U518" s="45">
        <v>2.1649229799999999E-2</v>
      </c>
      <c r="V518" s="45">
        <v>0.41248332300000001</v>
      </c>
      <c r="W518" s="45">
        <v>71.806698600000004</v>
      </c>
      <c r="X518" s="45">
        <v>5.5933985999999998E-2</v>
      </c>
      <c r="Y518" s="45">
        <v>7.3898832899999996E-3</v>
      </c>
      <c r="Z518" s="36">
        <v>4.37</v>
      </c>
      <c r="AA518" s="38">
        <v>618</v>
      </c>
      <c r="AB518" s="38">
        <v>722</v>
      </c>
      <c r="AC518" s="49" t="s">
        <v>506</v>
      </c>
      <c r="AD518" s="39" t="s">
        <v>1371</v>
      </c>
      <c r="AE518" s="48"/>
    </row>
    <row r="519" spans="1:31" ht="15" thickBot="1">
      <c r="A519" s="34">
        <v>517</v>
      </c>
      <c r="B519" s="34" t="s">
        <v>290</v>
      </c>
      <c r="C519" s="41" t="s">
        <v>1358</v>
      </c>
      <c r="D519" s="34" t="s">
        <v>397</v>
      </c>
      <c r="E519" s="80">
        <f t="shared" si="56"/>
        <v>1.8502600300552448</v>
      </c>
      <c r="F519" s="35">
        <f t="shared" si="57"/>
        <v>32.354081698087512</v>
      </c>
      <c r="G519" s="42" cm="1">
        <f t="array" ref="G51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32.108750192900821</v>
      </c>
      <c r="H519" s="81" cm="1">
        <f t="array" ref="H5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1.8426030387222594</v>
      </c>
      <c r="I519" s="81" cm="1">
        <f t="array" ref="I5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1.8502600300552448</v>
      </c>
      <c r="J519" s="81" cm="1">
        <f t="array" ref="J5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1.8564741730564966</v>
      </c>
      <c r="K519" s="81" cm="1">
        <f t="array" ref="K5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1.8688828768579684</v>
      </c>
      <c r="L519" s="81" cm="1">
        <f t="array" ref="L5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1.8845121646406762</v>
      </c>
      <c r="M519" s="37">
        <f t="shared" si="58"/>
        <v>2.6279838135708999E-2</v>
      </c>
      <c r="N519" s="43">
        <f t="shared" si="59"/>
        <v>7.6569913329853634E-3</v>
      </c>
      <c r="O519" s="43">
        <f t="shared" si="60"/>
        <v>1.5629287782707779E-2</v>
      </c>
      <c r="P519" s="43">
        <f t="shared" si="61"/>
        <v>0.29136371744166328</v>
      </c>
      <c r="Q519" s="37">
        <f t="shared" si="62"/>
        <v>0.59472542037733211</v>
      </c>
      <c r="R519" s="37">
        <v>4.5999999999999999E-3</v>
      </c>
      <c r="S519" s="44" t="s">
        <v>1391</v>
      </c>
      <c r="T519" s="45">
        <v>0.102088736</v>
      </c>
      <c r="U519" s="45">
        <v>2.1649229799999999E-2</v>
      </c>
      <c r="V519" s="45">
        <v>0.41248332300000001</v>
      </c>
      <c r="W519" s="45">
        <v>71.806698600000004</v>
      </c>
      <c r="X519" s="45">
        <v>5.5933985999999998E-2</v>
      </c>
      <c r="Y519" s="45">
        <v>7.3898832899999996E-3</v>
      </c>
      <c r="Z519" s="36">
        <v>4.37</v>
      </c>
      <c r="AA519" s="38">
        <v>618</v>
      </c>
      <c r="AB519" s="38">
        <v>722</v>
      </c>
      <c r="AC519" s="49" t="s">
        <v>506</v>
      </c>
      <c r="AD519" s="39" t="s">
        <v>1371</v>
      </c>
      <c r="AE519" s="48" t="s">
        <v>770</v>
      </c>
    </row>
    <row r="520" spans="1:31" ht="15" thickBot="1">
      <c r="A520" s="34">
        <v>518</v>
      </c>
      <c r="B520" s="34" t="s">
        <v>290</v>
      </c>
      <c r="C520" s="41" t="s">
        <v>1358</v>
      </c>
      <c r="D520" s="34" t="s">
        <v>398</v>
      </c>
      <c r="E520" s="80">
        <f t="shared" si="56"/>
        <v>1.7668400190741727</v>
      </c>
      <c r="F520" s="35">
        <f t="shared" si="57"/>
        <v>46.780080027261732</v>
      </c>
      <c r="G520" s="42" cm="1">
        <f t="array" ref="G52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46.535090810842227</v>
      </c>
      <c r="H520" s="81" cm="1">
        <f t="array" ref="H5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1.7619137605739046</v>
      </c>
      <c r="I520" s="81" cm="1">
        <f t="array" ref="I5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1.7668400190741727</v>
      </c>
      <c r="J520" s="81" cm="1">
        <f t="array" ref="J5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1.7707400617091338</v>
      </c>
      <c r="K520" s="81" cm="1">
        <f t="array" ref="K5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1.7783062083556802</v>
      </c>
      <c r="L520" s="81" cm="1">
        <f t="array" ref="L5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1.7874483801012251</v>
      </c>
      <c r="M520" s="37">
        <f t="shared" si="58"/>
        <v>1.6392447781775621E-2</v>
      </c>
      <c r="N520" s="43">
        <f t="shared" si="59"/>
        <v>4.9262585002680659E-3</v>
      </c>
      <c r="O520" s="43">
        <f t="shared" si="60"/>
        <v>9.1421717455448803E-3</v>
      </c>
      <c r="P520" s="43">
        <f t="shared" si="61"/>
        <v>0.30052000566656412</v>
      </c>
      <c r="Q520" s="37">
        <f t="shared" si="62"/>
        <v>0.55770632106016116</v>
      </c>
      <c r="R520" s="37">
        <v>-8.3000000000000001E-3</v>
      </c>
      <c r="S520" s="44" t="s">
        <v>1391</v>
      </c>
      <c r="T520" s="45">
        <v>0.119707434</v>
      </c>
      <c r="U520" s="45">
        <v>2.24070281E-2</v>
      </c>
      <c r="V520" s="45">
        <v>0.38344896499999997</v>
      </c>
      <c r="W520" s="45">
        <v>70.144478699999993</v>
      </c>
      <c r="X520" s="45">
        <v>3.5252349299999999E-2</v>
      </c>
      <c r="Y520" s="45">
        <v>5.7088692899999998E-3</v>
      </c>
      <c r="Z520" s="36">
        <v>4.1100000000000003</v>
      </c>
      <c r="AA520" s="38">
        <v>644</v>
      </c>
      <c r="AB520" s="38">
        <v>730</v>
      </c>
      <c r="AC520" s="49" t="s">
        <v>506</v>
      </c>
      <c r="AD520" s="49" t="s">
        <v>506</v>
      </c>
      <c r="AE520" s="48"/>
    </row>
    <row r="521" spans="1:31" ht="15" thickBot="1">
      <c r="A521" s="34">
        <v>519</v>
      </c>
      <c r="B521" s="34" t="s">
        <v>290</v>
      </c>
      <c r="C521" s="41" t="s">
        <v>1358</v>
      </c>
      <c r="D521" s="34" t="s">
        <v>399</v>
      </c>
      <c r="E521" s="80">
        <f t="shared" si="56"/>
        <v>1.8061000248531185</v>
      </c>
      <c r="F521" s="35">
        <f t="shared" si="57"/>
        <v>33.346781143418809</v>
      </c>
      <c r="G521" s="42" cm="1">
        <f t="array" ref="G52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33.102950168954223</v>
      </c>
      <c r="H521" s="81" cm="1">
        <f t="array" ref="H5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1.7990342012288145</v>
      </c>
      <c r="I521" s="81" cm="1">
        <f t="array" ref="I5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1.8061000248531185</v>
      </c>
      <c r="J521" s="81" cm="1">
        <f t="array" ref="J5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1.811820705062585</v>
      </c>
      <c r="K521" s="81" cm="1">
        <f t="array" ref="K5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1.8232074496567878</v>
      </c>
      <c r="L521" s="81" cm="1">
        <f t="array" ref="L5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1.8374786220462522</v>
      </c>
      <c r="M521" s="37">
        <f t="shared" si="58"/>
        <v>2.4173248427973304E-2</v>
      </c>
      <c r="N521" s="43">
        <f t="shared" si="59"/>
        <v>7.0658236243039685E-3</v>
      </c>
      <c r="O521" s="43">
        <f t="shared" si="60"/>
        <v>1.4271172389464404E-2</v>
      </c>
      <c r="P521" s="43">
        <f t="shared" si="61"/>
        <v>0.29229930124440334</v>
      </c>
      <c r="Q521" s="37">
        <f t="shared" si="62"/>
        <v>0.59037048462836261</v>
      </c>
      <c r="R521" s="37">
        <v>2E-3</v>
      </c>
      <c r="S521" s="44" t="s">
        <v>1391</v>
      </c>
      <c r="T521" s="45">
        <v>9.8770676900000007E-2</v>
      </c>
      <c r="U521" s="45">
        <v>1.90691474E-2</v>
      </c>
      <c r="V521" s="45">
        <v>0.39862392200000002</v>
      </c>
      <c r="W521" s="45">
        <v>71.090966499999993</v>
      </c>
      <c r="X521" s="45">
        <v>5.5764448899999999E-2</v>
      </c>
      <c r="Y521" s="45">
        <v>7.6137408699999999E-3</v>
      </c>
      <c r="Z521" s="36">
        <v>3.77</v>
      </c>
      <c r="AA521" s="38">
        <v>648</v>
      </c>
      <c r="AB521" s="38">
        <v>765</v>
      </c>
      <c r="AC521" s="49" t="s">
        <v>506</v>
      </c>
      <c r="AD521" s="49" t="s">
        <v>506</v>
      </c>
      <c r="AE521" s="48"/>
    </row>
    <row r="522" spans="1:31" ht="15" thickBot="1">
      <c r="A522" s="34">
        <v>520</v>
      </c>
      <c r="B522" s="34" t="s">
        <v>290</v>
      </c>
      <c r="C522" s="41" t="s">
        <v>1358</v>
      </c>
      <c r="D522" s="34" t="s">
        <v>400</v>
      </c>
      <c r="E522" s="80">
        <f t="shared" si="56"/>
        <v>1.9026500272601261</v>
      </c>
      <c r="F522" s="35">
        <f t="shared" si="57"/>
        <v>35.773373921845568</v>
      </c>
      <c r="G522" s="42" cm="1">
        <f t="array" ref="G52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35.527627346759196</v>
      </c>
      <c r="H522" s="81" cm="1">
        <f t="array" ref="H5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1.8952313754012182</v>
      </c>
      <c r="I522" s="81" cm="1">
        <f t="array" ref="I5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1.9026500272601261</v>
      </c>
      <c r="J522" s="81" cm="1">
        <f t="array" ref="J5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1.9086315870057311</v>
      </c>
      <c r="K522" s="81" cm="1">
        <f t="array" ref="K5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1.9204638298303742</v>
      </c>
      <c r="L522" s="81" cm="1">
        <f t="array" ref="L5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1.9351360962099464</v>
      </c>
      <c r="M522" s="37">
        <f t="shared" si="58"/>
        <v>2.5232454429156004E-2</v>
      </c>
      <c r="N522" s="43">
        <f t="shared" si="59"/>
        <v>7.4186518589078876E-3</v>
      </c>
      <c r="O522" s="43">
        <f t="shared" si="60"/>
        <v>1.4672266379572196E-2</v>
      </c>
      <c r="P522" s="43">
        <f t="shared" si="61"/>
        <v>0.29401229593961592</v>
      </c>
      <c r="Q522" s="37">
        <f t="shared" si="62"/>
        <v>0.58148391472446093</v>
      </c>
      <c r="R522" s="37">
        <v>-2.8E-3</v>
      </c>
      <c r="S522" s="44" t="s">
        <v>1391</v>
      </c>
      <c r="T522" s="45">
        <v>0.111954525</v>
      </c>
      <c r="U522" s="45">
        <v>2.0021094699999999E-2</v>
      </c>
      <c r="V522" s="45">
        <v>0.43427664599999999</v>
      </c>
      <c r="W522" s="45">
        <v>82.198929399999997</v>
      </c>
      <c r="X522" s="45">
        <v>4.9673661299999998E-2</v>
      </c>
      <c r="Y522" s="45">
        <v>7.0161793500000003E-3</v>
      </c>
      <c r="Z522" s="36">
        <v>4.91</v>
      </c>
      <c r="AA522" s="38">
        <v>701</v>
      </c>
      <c r="AB522" s="38">
        <v>798</v>
      </c>
      <c r="AC522" s="49" t="s">
        <v>506</v>
      </c>
      <c r="AD522" s="39" t="s">
        <v>1371</v>
      </c>
      <c r="AE522" s="48"/>
    </row>
    <row r="523" spans="1:31" ht="15" thickBot="1">
      <c r="A523" s="34">
        <v>521</v>
      </c>
      <c r="B523" s="34" t="s">
        <v>290</v>
      </c>
      <c r="C523" s="41" t="s">
        <v>1358</v>
      </c>
      <c r="D523" s="34" t="s">
        <v>401</v>
      </c>
      <c r="E523" s="80">
        <f t="shared" si="56"/>
        <v>1.9036600322708082</v>
      </c>
      <c r="F523" s="35">
        <f t="shared" si="57"/>
        <v>31.27874430050019</v>
      </c>
      <c r="G523" s="42" cm="1">
        <f t="array" ref="G52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31.044081907259887</v>
      </c>
      <c r="H523" s="81" cm="1">
        <f t="array" ref="H5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1.8952545263206393</v>
      </c>
      <c r="I523" s="81" cm="1">
        <f t="array" ref="I5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1.9036600322708082</v>
      </c>
      <c r="J523" s="81" cm="1">
        <f t="array" ref="J5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1.9104920079234897</v>
      </c>
      <c r="K523" s="81" cm="1">
        <f t="array" ref="K5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1.9241450733192398</v>
      </c>
      <c r="L523" s="81" cm="1">
        <f t="array" ref="L5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1.9413371239417938</v>
      </c>
      <c r="M523" s="37">
        <f t="shared" si="58"/>
        <v>2.8890546998600497E-2</v>
      </c>
      <c r="N523" s="43">
        <f t="shared" si="59"/>
        <v>8.4055059501688678E-3</v>
      </c>
      <c r="O523" s="43">
        <f t="shared" si="60"/>
        <v>1.7192050622554023E-2</v>
      </c>
      <c r="P523" s="43">
        <f t="shared" si="61"/>
        <v>0.29094312234988295</v>
      </c>
      <c r="Q523" s="37">
        <f t="shared" si="62"/>
        <v>0.59507528962282485</v>
      </c>
      <c r="R523" s="37">
        <v>2.8999999999999998E-3</v>
      </c>
      <c r="S523" s="44" t="s">
        <v>1391</v>
      </c>
      <c r="T523" s="45">
        <v>0.13310196599999999</v>
      </c>
      <c r="U523" s="45">
        <v>2.6013890299999998E-2</v>
      </c>
      <c r="V523" s="45">
        <v>0.42705848800000001</v>
      </c>
      <c r="W523" s="45">
        <v>99.621966999999998</v>
      </c>
      <c r="X523" s="45">
        <v>5.2766883299999998E-2</v>
      </c>
      <c r="Y523" s="45">
        <v>7.3278566499999998E-3</v>
      </c>
      <c r="Z523" s="36">
        <v>4.66</v>
      </c>
      <c r="AA523" s="38">
        <v>654</v>
      </c>
      <c r="AB523" s="38">
        <v>763</v>
      </c>
      <c r="AC523" s="49" t="s">
        <v>506</v>
      </c>
      <c r="AD523" s="39" t="s">
        <v>1371</v>
      </c>
      <c r="AE523" s="48"/>
    </row>
    <row r="524" spans="1:31" ht="15" thickBot="1">
      <c r="A524" s="34">
        <v>522</v>
      </c>
      <c r="B524" s="34" t="s">
        <v>290</v>
      </c>
      <c r="C524" s="41" t="s">
        <v>1358</v>
      </c>
      <c r="D524" s="34" t="s">
        <v>402</v>
      </c>
      <c r="E524" s="80">
        <f t="shared" si="56"/>
        <v>1.9036600322708082</v>
      </c>
      <c r="F524" s="35">
        <f t="shared" si="57"/>
        <v>31.27874430050019</v>
      </c>
      <c r="G524" s="42" cm="1">
        <f t="array" ref="G52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31.044081907259887</v>
      </c>
      <c r="H524" s="81" cm="1">
        <f t="array" ref="H5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1.8952545263206393</v>
      </c>
      <c r="I524" s="81" cm="1">
        <f t="array" ref="I5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1.9036600322708082</v>
      </c>
      <c r="J524" s="81" cm="1">
        <f t="array" ref="J5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1.9104920079234897</v>
      </c>
      <c r="K524" s="81" cm="1">
        <f t="array" ref="K5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1.9241450733192398</v>
      </c>
      <c r="L524" s="81" cm="1">
        <f t="array" ref="L5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1.9413371239417938</v>
      </c>
      <c r="M524" s="37">
        <f t="shared" si="58"/>
        <v>2.8890546998600497E-2</v>
      </c>
      <c r="N524" s="43">
        <f t="shared" si="59"/>
        <v>8.4055059501688678E-3</v>
      </c>
      <c r="O524" s="43">
        <f t="shared" si="60"/>
        <v>1.7192050622554023E-2</v>
      </c>
      <c r="P524" s="43">
        <f t="shared" si="61"/>
        <v>0.29094312234988295</v>
      </c>
      <c r="Q524" s="37">
        <f t="shared" si="62"/>
        <v>0.59507528962282485</v>
      </c>
      <c r="R524" s="37">
        <v>2.8999999999999998E-3</v>
      </c>
      <c r="S524" s="44" t="s">
        <v>1391</v>
      </c>
      <c r="T524" s="45">
        <v>0.13310196599999999</v>
      </c>
      <c r="U524" s="45">
        <v>2.6013890299999998E-2</v>
      </c>
      <c r="V524" s="45">
        <v>0.42705848800000001</v>
      </c>
      <c r="W524" s="45">
        <v>99.621966999999998</v>
      </c>
      <c r="X524" s="45">
        <v>5.2766883299999998E-2</v>
      </c>
      <c r="Y524" s="45">
        <v>7.3278566499999998E-3</v>
      </c>
      <c r="Z524" s="36">
        <v>4.66</v>
      </c>
      <c r="AA524" s="38">
        <v>654</v>
      </c>
      <c r="AB524" s="38">
        <v>763</v>
      </c>
      <c r="AC524" s="49" t="s">
        <v>506</v>
      </c>
      <c r="AD524" s="39" t="s">
        <v>1371</v>
      </c>
      <c r="AE524" s="48" t="s">
        <v>770</v>
      </c>
    </row>
    <row r="525" spans="1:31" ht="15" thickBot="1">
      <c r="A525" s="34">
        <v>523</v>
      </c>
      <c r="B525" s="34" t="s">
        <v>290</v>
      </c>
      <c r="C525" s="41" t="s">
        <v>1358</v>
      </c>
      <c r="D525" s="34" t="s">
        <v>403</v>
      </c>
      <c r="E525" s="80">
        <f t="shared" si="56"/>
        <v>1.9500000361719798</v>
      </c>
      <c r="F525" s="35">
        <f t="shared" si="57"/>
        <v>29.368612026791361</v>
      </c>
      <c r="G525" s="42" cm="1">
        <f t="array" ref="G52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29.145091010846468</v>
      </c>
      <c r="H525" s="81" cm="1">
        <f t="array" ref="H5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1.9406261059704168</v>
      </c>
      <c r="I525" s="81" cm="1">
        <f t="array" ref="I5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1.9500000361719798</v>
      </c>
      <c r="J525" s="81" cm="1">
        <f t="array" ref="J5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1.9576425246343909</v>
      </c>
      <c r="K525" s="81" cm="1">
        <f t="array" ref="K5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1.9729735671069986</v>
      </c>
      <c r="L525" s="81" cm="1">
        <f t="array" ref="L5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1.9923905977869079</v>
      </c>
      <c r="M525" s="37">
        <f t="shared" si="58"/>
        <v>3.2347461136581712E-2</v>
      </c>
      <c r="N525" s="43">
        <f t="shared" si="59"/>
        <v>9.3739302015629633E-3</v>
      </c>
      <c r="O525" s="43">
        <f t="shared" si="60"/>
        <v>1.9417030679909297E-2</v>
      </c>
      <c r="P525" s="43">
        <f t="shared" si="61"/>
        <v>0.28978874607757066</v>
      </c>
      <c r="Q525" s="37">
        <f t="shared" si="62"/>
        <v>0.60026444109242927</v>
      </c>
      <c r="R525" s="37">
        <v>5.0000000000000001E-3</v>
      </c>
      <c r="S525" s="44" t="s">
        <v>1391</v>
      </c>
      <c r="T525" s="45">
        <v>0.11280814</v>
      </c>
      <c r="U525" s="45">
        <v>2.63046433E-2</v>
      </c>
      <c r="V525" s="45">
        <v>0.44214364099999998</v>
      </c>
      <c r="W525" s="45">
        <v>85.337833599999996</v>
      </c>
      <c r="X525" s="45">
        <v>5.5123651500000002E-2</v>
      </c>
      <c r="Y525" s="45">
        <v>7.6303027899999997E-3</v>
      </c>
      <c r="Z525" s="36">
        <v>4.79</v>
      </c>
      <c r="AA525" s="38">
        <v>690</v>
      </c>
      <c r="AB525" s="38">
        <v>793</v>
      </c>
      <c r="AC525" s="49" t="s">
        <v>506</v>
      </c>
      <c r="AD525" s="39" t="s">
        <v>1371</v>
      </c>
      <c r="AE525" s="48"/>
    </row>
    <row r="526" spans="1:31" ht="15" thickBot="1">
      <c r="A526" s="34">
        <v>524</v>
      </c>
      <c r="B526" s="34" t="s">
        <v>290</v>
      </c>
      <c r="C526" s="41" t="s">
        <v>1358</v>
      </c>
      <c r="D526" s="34" t="s">
        <v>877</v>
      </c>
      <c r="E526" s="80">
        <f t="shared" si="56"/>
        <v>1.9500000361719798</v>
      </c>
      <c r="F526" s="35">
        <f t="shared" si="57"/>
        <v>29.368612026791361</v>
      </c>
      <c r="G526" s="42" cm="1">
        <f t="array" ref="G52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29.145091010846468</v>
      </c>
      <c r="H526" s="81" cm="1">
        <f t="array" ref="H5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1.9406261059704168</v>
      </c>
      <c r="I526" s="81" cm="1">
        <f t="array" ref="I5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1.9500000361719798</v>
      </c>
      <c r="J526" s="81" cm="1">
        <f t="array" ref="J5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1.9576425246343909</v>
      </c>
      <c r="K526" s="81" cm="1">
        <f t="array" ref="K5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1.9729735671069986</v>
      </c>
      <c r="L526" s="81" cm="1">
        <f t="array" ref="L5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1.9923905977869079</v>
      </c>
      <c r="M526" s="37">
        <f t="shared" si="58"/>
        <v>3.2347461136581712E-2</v>
      </c>
      <c r="N526" s="43">
        <f t="shared" si="59"/>
        <v>9.3739302015629633E-3</v>
      </c>
      <c r="O526" s="43">
        <f t="shared" si="60"/>
        <v>1.9417030679909297E-2</v>
      </c>
      <c r="P526" s="43">
        <f t="shared" si="61"/>
        <v>0.28978874607757066</v>
      </c>
      <c r="Q526" s="37">
        <f t="shared" si="62"/>
        <v>0.60026444109242927</v>
      </c>
      <c r="R526" s="37">
        <v>5.0000000000000001E-3</v>
      </c>
      <c r="S526" s="44" t="s">
        <v>1391</v>
      </c>
      <c r="T526" s="45">
        <v>0.11280814</v>
      </c>
      <c r="U526" s="45">
        <v>2.63046433E-2</v>
      </c>
      <c r="V526" s="45">
        <v>0.44214364099999998</v>
      </c>
      <c r="W526" s="45">
        <v>85.337833599999996</v>
      </c>
      <c r="X526" s="45">
        <v>5.5123651500000002E-2</v>
      </c>
      <c r="Y526" s="45">
        <v>7.6303027899999997E-3</v>
      </c>
      <c r="Z526" s="36">
        <v>4.79</v>
      </c>
      <c r="AA526" s="38">
        <v>690</v>
      </c>
      <c r="AB526" s="38">
        <v>793</v>
      </c>
      <c r="AC526" s="49" t="s">
        <v>506</v>
      </c>
      <c r="AD526" s="39" t="s">
        <v>1371</v>
      </c>
      <c r="AE526" s="48" t="s">
        <v>770</v>
      </c>
    </row>
    <row r="527" spans="1:31" ht="15" thickBot="1">
      <c r="A527" s="34">
        <v>525</v>
      </c>
      <c r="B527" s="34" t="s">
        <v>290</v>
      </c>
      <c r="C527" s="41" t="s">
        <v>1358</v>
      </c>
      <c r="D527" s="34" t="s">
        <v>1148</v>
      </c>
      <c r="E527" s="80">
        <f t="shared" si="56"/>
        <v>1.9500000361719798</v>
      </c>
      <c r="F527" s="35">
        <f t="shared" si="57"/>
        <v>29.368612026791361</v>
      </c>
      <c r="G527" s="42" cm="1">
        <f t="array" ref="G52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29.145091010846468</v>
      </c>
      <c r="H527" s="81" cm="1">
        <f t="array" ref="H5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1.9406261059704168</v>
      </c>
      <c r="I527" s="81" cm="1">
        <f t="array" ref="I5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1.9500000361719798</v>
      </c>
      <c r="J527" s="81" cm="1">
        <f t="array" ref="J5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1.9576425246343909</v>
      </c>
      <c r="K527" s="81" cm="1">
        <f t="array" ref="K5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1.9729735671069986</v>
      </c>
      <c r="L527" s="81" cm="1">
        <f t="array" ref="L5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1.9923905977869079</v>
      </c>
      <c r="M527" s="37">
        <f t="shared" si="58"/>
        <v>3.2347461136581712E-2</v>
      </c>
      <c r="N527" s="43">
        <f t="shared" si="59"/>
        <v>9.3739302015629633E-3</v>
      </c>
      <c r="O527" s="43">
        <f t="shared" si="60"/>
        <v>1.9417030679909297E-2</v>
      </c>
      <c r="P527" s="43">
        <f t="shared" si="61"/>
        <v>0.28978874607757066</v>
      </c>
      <c r="Q527" s="37">
        <f t="shared" si="62"/>
        <v>0.60026444109242927</v>
      </c>
      <c r="R527" s="37">
        <v>5.0000000000000001E-3</v>
      </c>
      <c r="S527" s="44" t="s">
        <v>1391</v>
      </c>
      <c r="T527" s="45">
        <v>0.11280814</v>
      </c>
      <c r="U527" s="45">
        <v>2.63046433E-2</v>
      </c>
      <c r="V527" s="45">
        <v>0.44214364099999998</v>
      </c>
      <c r="W527" s="45">
        <v>85.337833599999996</v>
      </c>
      <c r="X527" s="45">
        <v>5.5123651500000002E-2</v>
      </c>
      <c r="Y527" s="45">
        <v>7.6303027899999997E-3</v>
      </c>
      <c r="Z527" s="36">
        <v>4.79</v>
      </c>
      <c r="AA527" s="38">
        <v>690</v>
      </c>
      <c r="AB527" s="38">
        <v>793</v>
      </c>
      <c r="AC527" s="49" t="s">
        <v>506</v>
      </c>
      <c r="AD527" s="39" t="s">
        <v>1371</v>
      </c>
      <c r="AE527" s="48" t="s">
        <v>770</v>
      </c>
    </row>
    <row r="528" spans="1:31" ht="15" thickBot="1">
      <c r="A528" s="34">
        <v>526</v>
      </c>
      <c r="B528" s="34" t="s">
        <v>290</v>
      </c>
      <c r="C528" s="41" t="s">
        <v>1358</v>
      </c>
      <c r="D528" s="34" t="s">
        <v>404</v>
      </c>
      <c r="E528" s="80">
        <f t="shared" si="56"/>
        <v>2.0010000360547515</v>
      </c>
      <c r="F528" s="35">
        <f t="shared" si="57"/>
        <v>29.126359403299695</v>
      </c>
      <c r="G528" s="42" cm="1">
        <f t="array" ref="G52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28.907541601707308</v>
      </c>
      <c r="H528" s="81" cm="1">
        <f t="array" ref="H5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1.9910394959892284</v>
      </c>
      <c r="I528" s="81" cm="1">
        <f t="array" ref="I5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2.0010000360547515</v>
      </c>
      <c r="J528" s="81" cm="1">
        <f t="array" ref="J5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2.0091211351999592</v>
      </c>
      <c r="K528" s="81" cm="1">
        <f t="array" ref="K5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2.0254069918439059</v>
      </c>
      <c r="L528" s="81" cm="1">
        <f t="array" ref="L5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2.0460161817899176</v>
      </c>
      <c r="M528" s="37">
        <f t="shared" si="58"/>
        <v>3.4367495854677577E-2</v>
      </c>
      <c r="N528" s="43">
        <f t="shared" si="59"/>
        <v>9.9605400655231602E-3</v>
      </c>
      <c r="O528" s="43">
        <f t="shared" si="60"/>
        <v>2.0609189946011686E-2</v>
      </c>
      <c r="P528" s="43">
        <f t="shared" si="61"/>
        <v>0.28982443491493093</v>
      </c>
      <c r="Q528" s="37">
        <f t="shared" si="62"/>
        <v>0.59967098077664216</v>
      </c>
      <c r="R528" s="37">
        <v>4.1000000000000003E-3</v>
      </c>
      <c r="S528" s="44" t="s">
        <v>1391</v>
      </c>
      <c r="T528" s="45">
        <v>0.108840381</v>
      </c>
      <c r="U528" s="45">
        <v>2.5451384399999999E-2</v>
      </c>
      <c r="V528" s="45">
        <v>0.46000360299999998</v>
      </c>
      <c r="W528" s="45">
        <v>84.583504000000005</v>
      </c>
      <c r="X528" s="45">
        <v>5.5245992799999998E-2</v>
      </c>
      <c r="Y528" s="45">
        <v>7.6866645299999998E-3</v>
      </c>
      <c r="Z528" s="36">
        <v>5.0999999999999996</v>
      </c>
      <c r="AA528" s="38">
        <v>721</v>
      </c>
      <c r="AB528" s="38">
        <v>824</v>
      </c>
      <c r="AC528" s="49" t="s">
        <v>506</v>
      </c>
      <c r="AD528" s="39" t="s">
        <v>1371</v>
      </c>
      <c r="AE528" s="48"/>
    </row>
    <row r="529" spans="1:31" ht="15" thickBot="1">
      <c r="A529" s="34">
        <v>527</v>
      </c>
      <c r="B529" s="34" t="s">
        <v>290</v>
      </c>
      <c r="C529" s="41" t="s">
        <v>1358</v>
      </c>
      <c r="D529" s="34" t="s">
        <v>1149</v>
      </c>
      <c r="E529" s="80">
        <f t="shared" si="56"/>
        <v>2.0010000360547515</v>
      </c>
      <c r="F529" s="35">
        <f t="shared" si="57"/>
        <v>29.126359403299695</v>
      </c>
      <c r="G529" s="42" cm="1">
        <f t="array" ref="G52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28.907541601707308</v>
      </c>
      <c r="H529" s="81" cm="1">
        <f t="array" ref="H5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1.9910394959892284</v>
      </c>
      <c r="I529" s="81" cm="1">
        <f t="array" ref="I5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2.0010000360547515</v>
      </c>
      <c r="J529" s="81" cm="1">
        <f t="array" ref="J5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2.0091211351999592</v>
      </c>
      <c r="K529" s="81" cm="1">
        <f t="array" ref="K5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2.0254069918439059</v>
      </c>
      <c r="L529" s="81" cm="1">
        <f t="array" ref="L5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2.0460161817899176</v>
      </c>
      <c r="M529" s="37">
        <f t="shared" si="58"/>
        <v>3.4367495854677577E-2</v>
      </c>
      <c r="N529" s="43">
        <f t="shared" si="59"/>
        <v>9.9605400655231602E-3</v>
      </c>
      <c r="O529" s="43">
        <f t="shared" si="60"/>
        <v>2.0609189946011686E-2</v>
      </c>
      <c r="P529" s="43">
        <f t="shared" si="61"/>
        <v>0.28982443491493093</v>
      </c>
      <c r="Q529" s="37">
        <f t="shared" si="62"/>
        <v>0.59967098077664216</v>
      </c>
      <c r="R529" s="37">
        <v>4.1000000000000003E-3</v>
      </c>
      <c r="S529" s="44" t="s">
        <v>1391</v>
      </c>
      <c r="T529" s="45">
        <v>0.108840381</v>
      </c>
      <c r="U529" s="45">
        <v>2.5451384399999999E-2</v>
      </c>
      <c r="V529" s="45">
        <v>0.46000360299999998</v>
      </c>
      <c r="W529" s="45">
        <v>84.583504000000005</v>
      </c>
      <c r="X529" s="45">
        <v>5.5245992799999998E-2</v>
      </c>
      <c r="Y529" s="45">
        <v>7.6866645299999998E-3</v>
      </c>
      <c r="Z529" s="36">
        <v>5.0999999999999996</v>
      </c>
      <c r="AA529" s="38">
        <v>721</v>
      </c>
      <c r="AB529" s="38">
        <v>824</v>
      </c>
      <c r="AC529" s="49" t="s">
        <v>506</v>
      </c>
      <c r="AD529" s="39" t="s">
        <v>1371</v>
      </c>
      <c r="AE529" s="48" t="s">
        <v>770</v>
      </c>
    </row>
    <row r="530" spans="1:31" ht="15" thickBot="1">
      <c r="A530" s="34">
        <v>528</v>
      </c>
      <c r="B530" s="34" t="s">
        <v>290</v>
      </c>
      <c r="C530" s="41" t="s">
        <v>1358</v>
      </c>
      <c r="D530" s="34" t="s">
        <v>405</v>
      </c>
      <c r="E530" s="80">
        <f t="shared" si="56"/>
        <v>2.0006900429681864</v>
      </c>
      <c r="F530" s="35">
        <f t="shared" si="57"/>
        <v>25.459155982557512</v>
      </c>
      <c r="G530" s="42" cm="1">
        <f t="array" ref="G53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25.258140925683467</v>
      </c>
      <c r="H530" s="81" cm="1">
        <f t="array" ref="H5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1.989411782133526</v>
      </c>
      <c r="I530" s="81" cm="1">
        <f t="array" ref="I5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2.0006900429681864</v>
      </c>
      <c r="J530" s="81" cm="1">
        <f t="array" ref="J5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2.00995280783666</v>
      </c>
      <c r="K530" s="81" cm="1">
        <f t="array" ref="K5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2.0287174858910966</v>
      </c>
      <c r="L530" s="81" cm="1">
        <f t="array" ref="L5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2.0528575956518584</v>
      </c>
      <c r="M530" s="37">
        <f t="shared" si="58"/>
        <v>3.9305703757570587E-2</v>
      </c>
      <c r="N530" s="43">
        <f t="shared" si="59"/>
        <v>1.1278260834660436E-2</v>
      </c>
      <c r="O530" s="43">
        <f t="shared" si="60"/>
        <v>2.4140109760761863E-2</v>
      </c>
      <c r="P530" s="43">
        <f t="shared" si="61"/>
        <v>0.28693700294039781</v>
      </c>
      <c r="Q530" s="37">
        <f t="shared" si="62"/>
        <v>0.61416302096136077</v>
      </c>
      <c r="R530" s="37">
        <v>1.23E-2</v>
      </c>
      <c r="S530" s="44" t="s">
        <v>1391</v>
      </c>
      <c r="T530" s="45">
        <v>0.10016711</v>
      </c>
      <c r="U530" s="45">
        <v>2.8719928400000001E-2</v>
      </c>
      <c r="V530" s="45">
        <v>0.454734535</v>
      </c>
      <c r="W530" s="45">
        <v>74.706602399999994</v>
      </c>
      <c r="X530" s="45">
        <v>6.0052831199999997E-2</v>
      </c>
      <c r="Y530" s="45">
        <v>8.2931824500000004E-3</v>
      </c>
      <c r="Z530" s="36">
        <v>4.6900000000000004</v>
      </c>
      <c r="AA530" s="38">
        <v>681</v>
      </c>
      <c r="AB530" s="38">
        <v>788</v>
      </c>
      <c r="AC530" s="49" t="s">
        <v>506</v>
      </c>
      <c r="AD530" s="39" t="s">
        <v>1371</v>
      </c>
      <c r="AE530" s="48"/>
    </row>
    <row r="531" spans="1:31" ht="15" thickBot="1">
      <c r="A531" s="34">
        <v>529</v>
      </c>
      <c r="B531" s="34" t="s">
        <v>290</v>
      </c>
      <c r="C531" s="41" t="s">
        <v>1358</v>
      </c>
      <c r="D531" s="34" t="s">
        <v>406</v>
      </c>
      <c r="E531" s="80">
        <f t="shared" si="56"/>
        <v>2.0006900429681864</v>
      </c>
      <c r="F531" s="35">
        <f t="shared" si="57"/>
        <v>25.459155982557512</v>
      </c>
      <c r="G531" s="42" cm="1">
        <f t="array" ref="G53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25.258140925683467</v>
      </c>
      <c r="H531" s="81" cm="1">
        <f t="array" ref="H5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1.989411782133526</v>
      </c>
      <c r="I531" s="81" cm="1">
        <f t="array" ref="I5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2.0006900429681864</v>
      </c>
      <c r="J531" s="81" cm="1">
        <f t="array" ref="J5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2.00995280783666</v>
      </c>
      <c r="K531" s="81" cm="1">
        <f t="array" ref="K5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2.0287174858910966</v>
      </c>
      <c r="L531" s="81" cm="1">
        <f t="array" ref="L5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2.0528575956518584</v>
      </c>
      <c r="M531" s="37">
        <f t="shared" si="58"/>
        <v>3.9305703757570587E-2</v>
      </c>
      <c r="N531" s="43">
        <f t="shared" si="59"/>
        <v>1.1278260834660436E-2</v>
      </c>
      <c r="O531" s="43">
        <f t="shared" si="60"/>
        <v>2.4140109760761863E-2</v>
      </c>
      <c r="P531" s="43">
        <f t="shared" si="61"/>
        <v>0.28693700294039781</v>
      </c>
      <c r="Q531" s="37">
        <f t="shared" si="62"/>
        <v>0.61416302096136077</v>
      </c>
      <c r="R531" s="37">
        <v>1.23E-2</v>
      </c>
      <c r="S531" s="44" t="s">
        <v>1391</v>
      </c>
      <c r="T531" s="45">
        <v>0.10016711</v>
      </c>
      <c r="U531" s="45">
        <v>2.8719928400000001E-2</v>
      </c>
      <c r="V531" s="45">
        <v>0.454734535</v>
      </c>
      <c r="W531" s="45">
        <v>74.706602399999994</v>
      </c>
      <c r="X531" s="45">
        <v>6.0052831199999997E-2</v>
      </c>
      <c r="Y531" s="45">
        <v>8.2931824500000004E-3</v>
      </c>
      <c r="Z531" s="36">
        <v>4.6900000000000004</v>
      </c>
      <c r="AA531" s="38">
        <v>681</v>
      </c>
      <c r="AB531" s="38">
        <v>788</v>
      </c>
      <c r="AC531" s="49" t="s">
        <v>506</v>
      </c>
      <c r="AD531" s="39" t="s">
        <v>1371</v>
      </c>
      <c r="AE531" s="48" t="s">
        <v>770</v>
      </c>
    </row>
    <row r="532" spans="1:31" ht="15" thickBot="1">
      <c r="A532" s="34">
        <v>530</v>
      </c>
      <c r="B532" s="34" t="s">
        <v>290</v>
      </c>
      <c r="C532" s="41" t="s">
        <v>1358</v>
      </c>
      <c r="D532" s="34" t="s">
        <v>407</v>
      </c>
      <c r="E532" s="80">
        <f t="shared" si="56"/>
        <v>1.953750030932718</v>
      </c>
      <c r="F532" s="35">
        <f t="shared" si="57"/>
        <v>32.338350815888973</v>
      </c>
      <c r="G532" s="42" cm="1">
        <f t="array" ref="G53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32.102767680704751</v>
      </c>
      <c r="H532" s="81" cm="1">
        <f t="array" ref="H5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1.9451437549020454</v>
      </c>
      <c r="I532" s="81" cm="1">
        <f t="array" ref="I5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1.953750030932718</v>
      </c>
      <c r="J532" s="81" cm="1">
        <f t="array" ref="J5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1.9607304302350261</v>
      </c>
      <c r="K532" s="81" cm="1">
        <f t="array" ref="K5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1.9746366018429014</v>
      </c>
      <c r="L532" s="81" cm="1">
        <f t="array" ref="L5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1.9920567456682492</v>
      </c>
      <c r="M532" s="37">
        <f t="shared" si="58"/>
        <v>2.9492846940855966E-2</v>
      </c>
      <c r="N532" s="43">
        <f t="shared" si="59"/>
        <v>8.6062760306726549E-3</v>
      </c>
      <c r="O532" s="43">
        <f t="shared" si="60"/>
        <v>1.7420143825347845E-2</v>
      </c>
      <c r="P532" s="43">
        <f t="shared" si="61"/>
        <v>0.29180892736233338</v>
      </c>
      <c r="Q532" s="37">
        <f t="shared" si="62"/>
        <v>0.59065657039761732</v>
      </c>
      <c r="R532" s="37">
        <v>4.0000000000000002E-4</v>
      </c>
      <c r="S532" s="44" t="s">
        <v>1391</v>
      </c>
      <c r="T532" s="45">
        <v>0.117335992</v>
      </c>
      <c r="U532" s="45">
        <v>2.48804348E-2</v>
      </c>
      <c r="V532" s="45">
        <v>0.44608842900000001</v>
      </c>
      <c r="W532" s="45">
        <v>89.5209969</v>
      </c>
      <c r="X532" s="45">
        <v>5.1073107600000001E-2</v>
      </c>
      <c r="Y532" s="45">
        <v>7.1602328000000002E-3</v>
      </c>
      <c r="Z532" s="36">
        <v>5.05</v>
      </c>
      <c r="AA532" s="38">
        <v>720</v>
      </c>
      <c r="AB532" s="38">
        <v>826</v>
      </c>
      <c r="AC532" s="49" t="s">
        <v>506</v>
      </c>
      <c r="AD532" s="39" t="s">
        <v>1371</v>
      </c>
      <c r="AE532" s="48"/>
    </row>
    <row r="533" spans="1:31" ht="15" thickBot="1">
      <c r="A533" s="34">
        <v>531</v>
      </c>
      <c r="B533" s="34" t="s">
        <v>290</v>
      </c>
      <c r="C533" s="41" t="s">
        <v>1358</v>
      </c>
      <c r="D533" s="34" t="s">
        <v>408</v>
      </c>
      <c r="E533" s="80">
        <f t="shared" si="56"/>
        <v>1.8485000208254858</v>
      </c>
      <c r="F533" s="35">
        <f t="shared" si="57"/>
        <v>43.791657307756893</v>
      </c>
      <c r="G533" s="42" cm="1">
        <f t="array" ref="G53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43.536739097796143</v>
      </c>
      <c r="H533" s="81" cm="1">
        <f t="array" ref="H5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1.8427182969482363</v>
      </c>
      <c r="I533" s="81" cm="1">
        <f t="array" ref="I5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1.8485000208254858</v>
      </c>
      <c r="J533" s="81" cm="1">
        <f t="array" ref="J5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1.8531093804882783</v>
      </c>
      <c r="K533" s="81" cm="1">
        <f t="array" ref="K5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1.8620941341051276</v>
      </c>
      <c r="L533" s="81" cm="1">
        <f t="array" ref="L5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1.8729834139255006</v>
      </c>
      <c r="M533" s="37">
        <f t="shared" si="58"/>
        <v>1.9375837156891285E-2</v>
      </c>
      <c r="N533" s="43">
        <f t="shared" si="59"/>
        <v>5.7817238772495116E-3</v>
      </c>
      <c r="O533" s="43">
        <f t="shared" si="60"/>
        <v>1.0889279820373021E-2</v>
      </c>
      <c r="P533" s="43">
        <f t="shared" si="61"/>
        <v>0.29839866171630997</v>
      </c>
      <c r="Q533" s="37">
        <f t="shared" si="62"/>
        <v>0.5620030624844562</v>
      </c>
      <c r="R533" s="37">
        <v>-8.8999999999999999E-3</v>
      </c>
      <c r="S533" s="44" t="s">
        <v>1391</v>
      </c>
      <c r="T533" s="45">
        <v>0.114455188</v>
      </c>
      <c r="U533" s="45">
        <v>3.3643949200000002E-2</v>
      </c>
      <c r="V533" s="45">
        <v>0.40286675199999999</v>
      </c>
      <c r="W533" s="45">
        <v>86.816186099999996</v>
      </c>
      <c r="X533" s="45">
        <v>3.0141495500000001E-2</v>
      </c>
      <c r="Y533" s="45">
        <v>5.8222848399999997E-3</v>
      </c>
      <c r="Z533" s="36">
        <v>5.08</v>
      </c>
      <c r="AA533" s="38">
        <v>690</v>
      </c>
      <c r="AB533" s="38">
        <v>802</v>
      </c>
      <c r="AC533" s="49" t="s">
        <v>506</v>
      </c>
      <c r="AD533" s="39" t="s">
        <v>1371</v>
      </c>
      <c r="AE533" s="48"/>
    </row>
    <row r="534" spans="1:31" ht="15" thickBot="1">
      <c r="A534" s="34">
        <v>532</v>
      </c>
      <c r="B534" s="34" t="s">
        <v>290</v>
      </c>
      <c r="C534" s="41" t="s">
        <v>1358</v>
      </c>
      <c r="D534" s="34" t="s">
        <v>409</v>
      </c>
      <c r="E534" s="80">
        <f t="shared" si="56"/>
        <v>1.850000033296813</v>
      </c>
      <c r="F534" s="35">
        <f t="shared" si="57"/>
        <v>27.032834924105298</v>
      </c>
      <c r="G534" s="42" cm="1">
        <f t="array" ref="G53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26.81886731858755</v>
      </c>
      <c r="H534" s="81" cm="1">
        <f t="array" ref="H5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1.8409469266566325</v>
      </c>
      <c r="I534" s="81" cm="1">
        <f t="array" ref="I5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1.850000033296813</v>
      </c>
      <c r="J534" s="81" cm="1">
        <f t="array" ref="J5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1.8574160510757671</v>
      </c>
      <c r="K534" s="81" cm="1">
        <f t="array" ref="K5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1.8723901709809214</v>
      </c>
      <c r="L534" s="81" cm="1">
        <f t="array" ref="L5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1.8915560419858997</v>
      </c>
      <c r="M534" s="37">
        <f t="shared" si="58"/>
        <v>3.144324432428891E-2</v>
      </c>
      <c r="N534" s="43">
        <f t="shared" si="59"/>
        <v>9.0531066401804416E-3</v>
      </c>
      <c r="O534" s="43">
        <f t="shared" si="60"/>
        <v>1.9165871004978241E-2</v>
      </c>
      <c r="P534" s="43">
        <f t="shared" si="61"/>
        <v>0.28791897384415904</v>
      </c>
      <c r="Q534" s="37">
        <f t="shared" si="62"/>
        <v>0.60953859618656503</v>
      </c>
      <c r="R534" s="37">
        <v>1.03E-2</v>
      </c>
      <c r="S534" s="44" t="s">
        <v>1391</v>
      </c>
      <c r="T534" s="45">
        <v>0.11521511299999999</v>
      </c>
      <c r="U534" s="45">
        <v>2.7660932100000001E-2</v>
      </c>
      <c r="V534" s="45">
        <v>0.40390454199999998</v>
      </c>
      <c r="W534" s="45">
        <v>88.647894800000003</v>
      </c>
      <c r="X534" s="45">
        <v>5.8616737699999998E-2</v>
      </c>
      <c r="Y534" s="45">
        <v>8.3225015600000007E-3</v>
      </c>
      <c r="Z534" s="36">
        <v>3.9</v>
      </c>
      <c r="AA534" s="38">
        <v>594</v>
      </c>
      <c r="AB534" s="38">
        <v>718</v>
      </c>
      <c r="AC534" s="49" t="s">
        <v>506</v>
      </c>
      <c r="AD534" s="39" t="s">
        <v>1371</v>
      </c>
      <c r="AE534" s="48"/>
    </row>
    <row r="535" spans="1:31" ht="15" thickBot="1">
      <c r="A535" s="34">
        <v>533</v>
      </c>
      <c r="B535" s="34" t="s">
        <v>290</v>
      </c>
      <c r="C535" s="41" t="s">
        <v>1358</v>
      </c>
      <c r="D535" s="34" t="s">
        <v>410</v>
      </c>
      <c r="E535" s="80">
        <f t="shared" si="56"/>
        <v>1.9020000399128985</v>
      </c>
      <c r="F535" s="35">
        <f t="shared" si="57"/>
        <v>25.267019464954984</v>
      </c>
      <c r="G535" s="42" cm="1">
        <f t="array" ref="G53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25.062726854903687</v>
      </c>
      <c r="H535" s="81" cm="1">
        <f t="array" ref="H5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1.8917737732122812</v>
      </c>
      <c r="I535" s="81" cm="1">
        <f t="array" ref="I5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1.9020000399128985</v>
      </c>
      <c r="J535" s="81" cm="1">
        <f t="array" ref="J5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1.9104085551483769</v>
      </c>
      <c r="K535" s="81" cm="1">
        <f t="array" ref="K5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1.9274724847743616</v>
      </c>
      <c r="L535" s="81" cm="1">
        <f t="array" ref="L5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1.9494895794373002</v>
      </c>
      <c r="M535" s="37">
        <f t="shared" si="58"/>
        <v>3.5698711562080376E-2</v>
      </c>
      <c r="N535" s="43">
        <f t="shared" si="59"/>
        <v>1.0226266700617215E-2</v>
      </c>
      <c r="O535" s="43">
        <f t="shared" si="60"/>
        <v>2.2017094662938552E-2</v>
      </c>
      <c r="P535" s="43">
        <f t="shared" si="61"/>
        <v>0.28646038619163178</v>
      </c>
      <c r="Q535" s="37">
        <f t="shared" si="62"/>
        <v>0.61674759954993419</v>
      </c>
      <c r="R535" s="37">
        <v>1.46E-2</v>
      </c>
      <c r="S535" s="44" t="s">
        <v>1391</v>
      </c>
      <c r="T535" s="45">
        <v>0.107493029</v>
      </c>
      <c r="U535" s="45">
        <v>2.93223861E-2</v>
      </c>
      <c r="V535" s="45">
        <v>0.420201675</v>
      </c>
      <c r="W535" s="45">
        <v>81.553245799999999</v>
      </c>
      <c r="X535" s="45">
        <v>6.0803161100000003E-2</v>
      </c>
      <c r="Y535" s="45">
        <v>8.5171369300000004E-3</v>
      </c>
      <c r="Z535" s="36">
        <v>4.0999999999999996</v>
      </c>
      <c r="AA535" s="38">
        <v>659</v>
      </c>
      <c r="AB535" s="38">
        <v>771</v>
      </c>
      <c r="AC535" s="49" t="s">
        <v>506</v>
      </c>
      <c r="AD535" s="39" t="s">
        <v>1371</v>
      </c>
      <c r="AE535" s="48"/>
    </row>
    <row r="536" spans="1:31" ht="15" thickBot="1">
      <c r="A536" s="34">
        <v>534</v>
      </c>
      <c r="B536" s="34" t="s">
        <v>290</v>
      </c>
      <c r="C536" s="41" t="s">
        <v>1358</v>
      </c>
      <c r="D536" s="34" t="s">
        <v>411</v>
      </c>
      <c r="E536" s="80">
        <f t="shared" si="56"/>
        <v>1.9020000399128985</v>
      </c>
      <c r="F536" s="35">
        <f t="shared" si="57"/>
        <v>25.267019464954984</v>
      </c>
      <c r="G536" s="42" cm="1">
        <f t="array" ref="G53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25.062726854903687</v>
      </c>
      <c r="H536" s="81" cm="1">
        <f t="array" ref="H5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1.8917737732122812</v>
      </c>
      <c r="I536" s="81" cm="1">
        <f t="array" ref="I5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1.9020000399128985</v>
      </c>
      <c r="J536" s="81" cm="1">
        <f t="array" ref="J5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1.9104085551483769</v>
      </c>
      <c r="K536" s="81" cm="1">
        <f t="array" ref="K5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1.9274724847743616</v>
      </c>
      <c r="L536" s="81" cm="1">
        <f t="array" ref="L5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1.9494895794373002</v>
      </c>
      <c r="M536" s="37">
        <f t="shared" si="58"/>
        <v>3.5698711562080376E-2</v>
      </c>
      <c r="N536" s="43">
        <f t="shared" si="59"/>
        <v>1.0226266700617215E-2</v>
      </c>
      <c r="O536" s="43">
        <f t="shared" si="60"/>
        <v>2.2017094662938552E-2</v>
      </c>
      <c r="P536" s="43">
        <f t="shared" si="61"/>
        <v>0.28646038619163178</v>
      </c>
      <c r="Q536" s="37">
        <f t="shared" si="62"/>
        <v>0.61674759954993419</v>
      </c>
      <c r="R536" s="37">
        <v>1.46E-2</v>
      </c>
      <c r="S536" s="44" t="s">
        <v>1391</v>
      </c>
      <c r="T536" s="45">
        <v>0.107493029</v>
      </c>
      <c r="U536" s="45">
        <v>2.93223861E-2</v>
      </c>
      <c r="V536" s="45">
        <v>0.420201675</v>
      </c>
      <c r="W536" s="45">
        <v>81.553245799999999</v>
      </c>
      <c r="X536" s="45">
        <v>6.0803161100000003E-2</v>
      </c>
      <c r="Y536" s="45">
        <v>8.5171369300000004E-3</v>
      </c>
      <c r="Z536" s="36">
        <v>4.0999999999999996</v>
      </c>
      <c r="AA536" s="38">
        <v>659</v>
      </c>
      <c r="AB536" s="38">
        <v>771</v>
      </c>
      <c r="AC536" s="49" t="s">
        <v>506</v>
      </c>
      <c r="AD536" s="39" t="s">
        <v>1371</v>
      </c>
      <c r="AE536" s="48" t="s">
        <v>770</v>
      </c>
    </row>
    <row r="537" spans="1:31" ht="15" thickBot="1">
      <c r="A537" s="34">
        <v>535</v>
      </c>
      <c r="B537" s="34" t="s">
        <v>290</v>
      </c>
      <c r="C537" s="41" t="s">
        <v>1365</v>
      </c>
      <c r="D537" s="34" t="s">
        <v>879</v>
      </c>
      <c r="E537" s="80">
        <f t="shared" si="56"/>
        <v>1.4973100069844294</v>
      </c>
      <c r="F537" s="35">
        <f t="shared" si="57"/>
        <v>82.50652046428219</v>
      </c>
      <c r="G537" s="42" cm="1">
        <f t="array" ref="G53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82.086546798940063</v>
      </c>
      <c r="H537" s="81" cm="1">
        <f t="array" ref="H5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1.495470652837509</v>
      </c>
      <c r="I537" s="81" cm="1">
        <f t="array" ref="I5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1.4973100069844294</v>
      </c>
      <c r="J537" s="81" cm="1">
        <f t="array" ref="J5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1.4987490240345895</v>
      </c>
      <c r="K537" s="81" cm="1">
        <f t="array" ref="K5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1.5014981765312239</v>
      </c>
      <c r="L537" s="81" cm="1">
        <f t="array" ref="L5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1.504744707286191</v>
      </c>
      <c r="M537" s="37">
        <f t="shared" si="58"/>
        <v>6.0275236937148424E-3</v>
      </c>
      <c r="N537" s="43">
        <f t="shared" si="59"/>
        <v>1.83935414692038E-3</v>
      </c>
      <c r="O537" s="43">
        <f t="shared" si="60"/>
        <v>3.2465307549671696E-3</v>
      </c>
      <c r="P537" s="43">
        <f t="shared" si="61"/>
        <v>0.30515917321707975</v>
      </c>
      <c r="Q537" s="37">
        <f t="shared" si="62"/>
        <v>0.53861766787453136</v>
      </c>
      <c r="R537" s="37">
        <v>3.27E-2</v>
      </c>
      <c r="S537" s="44" t="s">
        <v>1391</v>
      </c>
      <c r="T537" s="45">
        <v>0.17100801400000001</v>
      </c>
      <c r="U537" s="45">
        <v>0.11865296</v>
      </c>
      <c r="V537" s="45">
        <v>0.17024059599999999</v>
      </c>
      <c r="W537" s="45">
        <v>198.750035</v>
      </c>
      <c r="X537" s="45">
        <v>9.5102851799999995E-3</v>
      </c>
      <c r="Y537" s="45">
        <v>1.65237521E-3</v>
      </c>
      <c r="Z537" s="36">
        <v>3.86</v>
      </c>
      <c r="AA537" s="38">
        <v>479</v>
      </c>
      <c r="AB537" s="38">
        <v>561</v>
      </c>
      <c r="AC537" s="39" t="s">
        <v>508</v>
      </c>
      <c r="AD537" s="39" t="s">
        <v>1371</v>
      </c>
      <c r="AE537" s="48"/>
    </row>
    <row r="538" spans="1:31" ht="15" thickBot="1">
      <c r="A538" s="34">
        <v>536</v>
      </c>
      <c r="B538" s="34" t="s">
        <v>290</v>
      </c>
      <c r="C538" s="41" t="s">
        <v>1365</v>
      </c>
      <c r="D538" s="34" t="s">
        <v>880</v>
      </c>
      <c r="E538" s="80">
        <f t="shared" si="56"/>
        <v>1.455620006590439</v>
      </c>
      <c r="F538" s="35">
        <f t="shared" si="57"/>
        <v>91.308793619053247</v>
      </c>
      <c r="G538" s="42" cm="1">
        <f t="array" ref="G53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90.887767512667722</v>
      </c>
      <c r="H538" s="81" cm="1">
        <f t="array" ref="H5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1.4540889875260792</v>
      </c>
      <c r="I538" s="81" cm="1">
        <f t="array" ref="I5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1.455620006590439</v>
      </c>
      <c r="J538" s="81" cm="1">
        <f t="array" ref="J5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1.4568118236282883</v>
      </c>
      <c r="K538" s="81" cm="1">
        <f t="array" ref="K5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1.4590788684404117</v>
      </c>
      <c r="L538" s="81" cm="1">
        <f t="array" ref="L5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1.4617450073041882</v>
      </c>
      <c r="M538" s="37">
        <f t="shared" si="58"/>
        <v>4.9898809143325007E-3</v>
      </c>
      <c r="N538" s="43">
        <f t="shared" si="59"/>
        <v>1.5310190643598176E-3</v>
      </c>
      <c r="O538" s="43">
        <f t="shared" si="60"/>
        <v>2.6661388637765349E-3</v>
      </c>
      <c r="P538" s="43">
        <f t="shared" si="61"/>
        <v>0.30682477009867137</v>
      </c>
      <c r="Q538" s="37">
        <f t="shared" si="62"/>
        <v>0.53430911670027015</v>
      </c>
      <c r="R538" s="37">
        <v>4.3099999999999999E-2</v>
      </c>
      <c r="S538" s="44" t="s">
        <v>1392</v>
      </c>
      <c r="T538" s="45">
        <v>2.1002514799999998</v>
      </c>
      <c r="U538" s="45">
        <v>-4.5868975699999998E-3</v>
      </c>
      <c r="V538" s="45">
        <v>6.8572764499999998E-3</v>
      </c>
      <c r="W538" s="45">
        <v>2.3234566700000001E-5</v>
      </c>
      <c r="X538" s="45">
        <v>4.8985947200000003E-6</v>
      </c>
      <c r="Y538" s="45">
        <v>-1.82336191E-7</v>
      </c>
      <c r="Z538" s="36">
        <v>3.67</v>
      </c>
      <c r="AA538" s="38">
        <v>454</v>
      </c>
      <c r="AB538" s="38">
        <v>530</v>
      </c>
      <c r="AC538" s="39" t="s">
        <v>508</v>
      </c>
      <c r="AD538" s="49" t="s">
        <v>506</v>
      </c>
      <c r="AE538" s="48" t="s">
        <v>1390</v>
      </c>
    </row>
    <row r="539" spans="1:31" ht="15" thickBot="1">
      <c r="A539" s="34">
        <v>537</v>
      </c>
      <c r="B539" s="34" t="s">
        <v>290</v>
      </c>
      <c r="C539" s="41" t="s">
        <v>1366</v>
      </c>
      <c r="D539" s="34" t="s">
        <v>881</v>
      </c>
      <c r="E539" s="80">
        <f t="shared" si="56"/>
        <v>1.5925500098356051</v>
      </c>
      <c r="F539" s="35">
        <f t="shared" si="57"/>
        <v>67.863411069862707</v>
      </c>
      <c r="G539" s="42" cm="1">
        <f t="array" ref="G53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67.502676689752008</v>
      </c>
      <c r="H539" s="81" cm="1">
        <f t="array" ref="H5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1.5899012238398784</v>
      </c>
      <c r="I539" s="81" cm="1">
        <f t="array" ref="I5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1.5925500098356051</v>
      </c>
      <c r="J539" s="81" cm="1">
        <f t="array" ref="J5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1.5946331483335652</v>
      </c>
      <c r="K539" s="81" cm="1">
        <f t="array" ref="K5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1.5986327332128099</v>
      </c>
      <c r="L539" s="81" cm="1">
        <f t="array" ref="L5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1.603383279438642</v>
      </c>
      <c r="M539" s="37">
        <f t="shared" si="58"/>
        <v>8.7315093729314341E-3</v>
      </c>
      <c r="N539" s="43">
        <f t="shared" si="59"/>
        <v>2.6487859957267101E-3</v>
      </c>
      <c r="O539" s="43">
        <f t="shared" si="60"/>
        <v>4.7505462258321529E-3</v>
      </c>
      <c r="P539" s="43">
        <f t="shared" si="61"/>
        <v>0.30335946313454298</v>
      </c>
      <c r="Q539" s="37">
        <f t="shared" si="62"/>
        <v>0.54406930382040575</v>
      </c>
      <c r="R539" s="37">
        <v>1.3599999999999999E-2</v>
      </c>
      <c r="S539" s="44" t="s">
        <v>1391</v>
      </c>
      <c r="T539" s="45">
        <v>0.10761037900000001</v>
      </c>
      <c r="U539" s="45">
        <v>3.9219149799999999E-2</v>
      </c>
      <c r="V539" s="45">
        <v>0.29412633100000002</v>
      </c>
      <c r="W539" s="45">
        <v>108.426062</v>
      </c>
      <c r="X539" s="45">
        <v>1.7148716500000001E-2</v>
      </c>
      <c r="Y539" s="45">
        <v>4.1789973099999999E-3</v>
      </c>
      <c r="Z539" s="36">
        <v>4.0999999999999996</v>
      </c>
      <c r="AA539" s="38">
        <v>564</v>
      </c>
      <c r="AB539" s="38">
        <v>639</v>
      </c>
      <c r="AC539" s="39" t="s">
        <v>508</v>
      </c>
      <c r="AD539" s="39" t="s">
        <v>1371</v>
      </c>
      <c r="AE539" s="48"/>
    </row>
    <row r="540" spans="1:31" ht="15" thickBot="1">
      <c r="A540" s="34">
        <v>538</v>
      </c>
      <c r="B540" s="34" t="s">
        <v>290</v>
      </c>
      <c r="C540" s="41" t="s">
        <v>1366</v>
      </c>
      <c r="D540" s="34" t="s">
        <v>1150</v>
      </c>
      <c r="E540" s="80">
        <f t="shared" si="56"/>
        <v>1.6187500112746962</v>
      </c>
      <c r="F540" s="35">
        <f t="shared" si="57"/>
        <v>63.734821929152595</v>
      </c>
      <c r="G540" s="42" cm="1">
        <f t="array" ref="G54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63.45151253856374</v>
      </c>
      <c r="H540" s="81" cm="1">
        <f t="array" ref="H5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1.615790592976704</v>
      </c>
      <c r="I540" s="81" cm="1">
        <f t="array" ref="I5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1.6187500112746962</v>
      </c>
      <c r="J540" s="81" cm="1">
        <f t="array" ref="J5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1.6210661359847673</v>
      </c>
      <c r="K540" s="81" cm="1">
        <f t="array" ref="K5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1.6254987869050168</v>
      </c>
      <c r="L540" s="81" cm="1">
        <f t="array" ref="L5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1.6307528118082253</v>
      </c>
      <c r="M540" s="37">
        <f t="shared" si="58"/>
        <v>9.7081939283127916E-3</v>
      </c>
      <c r="N540" s="43">
        <f t="shared" si="59"/>
        <v>2.9594182979921779E-3</v>
      </c>
      <c r="O540" s="43">
        <f t="shared" si="60"/>
        <v>5.2540249032084763E-3</v>
      </c>
      <c r="P540" s="43">
        <f t="shared" si="61"/>
        <v>0.30483716331226007</v>
      </c>
      <c r="Q540" s="37">
        <f t="shared" si="62"/>
        <v>0.54119488568164442</v>
      </c>
      <c r="R540" s="37">
        <v>3.8E-3</v>
      </c>
      <c r="S540" s="44" t="s">
        <v>1391</v>
      </c>
      <c r="T540" s="45">
        <v>0.122023995</v>
      </c>
      <c r="U540" s="45">
        <v>7.6480384700000001E-2</v>
      </c>
      <c r="V540" s="45">
        <v>0.26861864099999999</v>
      </c>
      <c r="W540" s="45">
        <v>90.152061900000007</v>
      </c>
      <c r="X540" s="45">
        <v>1.4307778700000001E-2</v>
      </c>
      <c r="Y540" s="45">
        <v>3.5137123000000001E-3</v>
      </c>
      <c r="Z540" s="36">
        <v>3.52</v>
      </c>
      <c r="AA540" s="38">
        <v>509</v>
      </c>
      <c r="AB540" s="38">
        <v>619</v>
      </c>
      <c r="AC540" s="39" t="s">
        <v>508</v>
      </c>
      <c r="AD540" s="39" t="s">
        <v>1371</v>
      </c>
      <c r="AE540" s="48"/>
    </row>
    <row r="541" spans="1:31" ht="15" thickBot="1">
      <c r="A541" s="34">
        <v>539</v>
      </c>
      <c r="B541" s="34" t="s">
        <v>290</v>
      </c>
      <c r="C541" s="41" t="s">
        <v>1366</v>
      </c>
      <c r="D541" s="34" t="s">
        <v>882</v>
      </c>
      <c r="E541" s="80">
        <f t="shared" si="56"/>
        <v>1.5924500093405456</v>
      </c>
      <c r="F541" s="35">
        <f t="shared" si="57"/>
        <v>66.922926597328569</v>
      </c>
      <c r="G541" s="42" cm="1">
        <f t="array" ref="G54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66.67588054088597</v>
      </c>
      <c r="H541" s="81" cm="1">
        <f t="array" ref="H5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1.5897333496292347</v>
      </c>
      <c r="I541" s="81" cm="1">
        <f t="array" ref="I5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1.5924500093405456</v>
      </c>
      <c r="J541" s="81" cm="1">
        <f t="array" ref="J5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1.5945630794303631</v>
      </c>
      <c r="K541" s="81" cm="1">
        <f t="array" ref="K5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1.5985860708036281</v>
      </c>
      <c r="L541" s="81" cm="1">
        <f t="array" ref="L5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1.6033301166906948</v>
      </c>
      <c r="M541" s="37">
        <f t="shared" si="58"/>
        <v>8.8527211743933965E-3</v>
      </c>
      <c r="N541" s="43">
        <f t="shared" si="59"/>
        <v>2.7166597113108537E-3</v>
      </c>
      <c r="O541" s="43">
        <f t="shared" si="60"/>
        <v>4.7440458870666724E-3</v>
      </c>
      <c r="P541" s="43">
        <f t="shared" si="61"/>
        <v>0.30687284257509712</v>
      </c>
      <c r="Q541" s="37">
        <f t="shared" si="62"/>
        <v>0.53588561004145063</v>
      </c>
      <c r="R541" s="37">
        <v>3.8E-3</v>
      </c>
      <c r="S541" s="44" t="s">
        <v>1391</v>
      </c>
      <c r="T541" s="45">
        <v>0.117509715</v>
      </c>
      <c r="U541" s="45">
        <v>2.3638768000000001E-2</v>
      </c>
      <c r="V541" s="45">
        <v>0.30988609099999997</v>
      </c>
      <c r="W541" s="45">
        <v>78.697768100000005</v>
      </c>
      <c r="X541" s="45">
        <v>1.9582497599999998E-2</v>
      </c>
      <c r="Y541" s="45">
        <v>4.5955419299999996E-3</v>
      </c>
      <c r="Z541" s="36">
        <v>3.28</v>
      </c>
      <c r="AA541" s="38">
        <v>497</v>
      </c>
      <c r="AB541" s="38">
        <v>582</v>
      </c>
      <c r="AC541" s="39" t="s">
        <v>508</v>
      </c>
      <c r="AD541" s="39" t="s">
        <v>1371</v>
      </c>
      <c r="AE541" s="48"/>
    </row>
    <row r="542" spans="1:31" ht="15" thickBot="1">
      <c r="A542" s="34">
        <v>540</v>
      </c>
      <c r="B542" s="34" t="s">
        <v>290</v>
      </c>
      <c r="C542" s="41" t="s">
        <v>1355</v>
      </c>
      <c r="D542" s="34" t="s">
        <v>883</v>
      </c>
      <c r="E542" s="80">
        <f t="shared" si="56"/>
        <v>1.6229100124087057</v>
      </c>
      <c r="F542" s="35">
        <f t="shared" si="57"/>
        <v>58.297036851633507</v>
      </c>
      <c r="G542" s="42" cm="1">
        <f t="array" ref="G54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58.038959229298058</v>
      </c>
      <c r="H542" s="81" cm="1">
        <f t="array" ref="H5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1.6196597665119725</v>
      </c>
      <c r="I542" s="81" cm="1">
        <f t="array" ref="I5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1.6229100124087057</v>
      </c>
      <c r="J542" s="81" cm="1">
        <f t="array" ref="J5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1.6254577502892731</v>
      </c>
      <c r="K542" s="81" cm="1">
        <f t="array" ref="K5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1.630344872411849</v>
      </c>
      <c r="L542" s="81" cm="1">
        <f t="array" ref="L5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1.636156531027265</v>
      </c>
      <c r="M542" s="37">
        <f t="shared" si="58"/>
        <v>1.0685105899876479E-2</v>
      </c>
      <c r="N542" s="43">
        <f t="shared" si="59"/>
        <v>3.2502458967331727E-3</v>
      </c>
      <c r="O542" s="43">
        <f t="shared" si="60"/>
        <v>5.8116586154159933E-3</v>
      </c>
      <c r="P542" s="43">
        <f t="shared" si="61"/>
        <v>0.30418471535885722</v>
      </c>
      <c r="Q542" s="37">
        <f t="shared" si="62"/>
        <v>0.54390276239407009</v>
      </c>
      <c r="R542" s="37">
        <v>-2.7000000000000001E-3</v>
      </c>
      <c r="S542" s="44" t="s">
        <v>1391</v>
      </c>
      <c r="T542" s="45">
        <v>0.13909254300000001</v>
      </c>
      <c r="U542" s="45">
        <v>3.27748556E-2</v>
      </c>
      <c r="V542" s="45">
        <v>0.31374967799999998</v>
      </c>
      <c r="W542" s="45">
        <v>91.518557799999996</v>
      </c>
      <c r="X542" s="45">
        <v>-1.2759303E-2</v>
      </c>
      <c r="Y542" s="45">
        <v>8.3310674100000003E-3</v>
      </c>
      <c r="Z542" s="36">
        <v>3.25</v>
      </c>
      <c r="AA542" s="38">
        <v>540</v>
      </c>
      <c r="AB542" s="38">
        <v>649</v>
      </c>
      <c r="AC542" s="39" t="s">
        <v>508</v>
      </c>
      <c r="AD542" s="39" t="s">
        <v>1371</v>
      </c>
      <c r="AE542" s="48"/>
    </row>
    <row r="543" spans="1:31" ht="15" thickBot="1">
      <c r="A543" s="34">
        <v>541</v>
      </c>
      <c r="B543" s="34" t="s">
        <v>290</v>
      </c>
      <c r="C543" s="41" t="s">
        <v>1355</v>
      </c>
      <c r="D543" s="34" t="s">
        <v>884</v>
      </c>
      <c r="E543" s="80">
        <f t="shared" si="56"/>
        <v>1.5828600120336449</v>
      </c>
      <c r="F543" s="35">
        <f t="shared" si="57"/>
        <v>59.505306764939753</v>
      </c>
      <c r="G543" s="42" cm="1">
        <f t="array" ref="G54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59.269178121944115</v>
      </c>
      <c r="H543" s="81" cm="1">
        <f t="array" ref="H5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1.5798687835473222</v>
      </c>
      <c r="I543" s="81" cm="1">
        <f t="array" ref="I5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1.5828600120336449</v>
      </c>
      <c r="J543" s="81" cm="1">
        <f t="array" ref="J5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1.5851963653382561</v>
      </c>
      <c r="K543" s="81" cm="1">
        <f t="array" ref="K5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1.5896638765183757</v>
      </c>
      <c r="L543" s="81" cm="1">
        <f t="array" ref="L5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1.5949615653833209</v>
      </c>
      <c r="M543" s="37">
        <f t="shared" si="58"/>
        <v>9.7950929710535206E-3</v>
      </c>
      <c r="N543" s="43">
        <f t="shared" si="59"/>
        <v>2.9912284863227168E-3</v>
      </c>
      <c r="O543" s="43">
        <f t="shared" si="60"/>
        <v>5.2976888649451936E-3</v>
      </c>
      <c r="P543" s="43">
        <f t="shared" si="61"/>
        <v>0.30538030574721459</v>
      </c>
      <c r="Q543" s="37">
        <f t="shared" si="62"/>
        <v>0.54085130999786679</v>
      </c>
      <c r="R543" s="37">
        <v>-3.7000000000000002E-3</v>
      </c>
      <c r="S543" s="44" t="s">
        <v>1392</v>
      </c>
      <c r="T543" s="45">
        <v>2.4668291899999999</v>
      </c>
      <c r="U543" s="45">
        <v>-1.0069215899999999E-2</v>
      </c>
      <c r="V543" s="45">
        <v>1.4072662200000001E-2</v>
      </c>
      <c r="W543" s="45">
        <v>1.36654094E-4</v>
      </c>
      <c r="X543" s="45">
        <v>8.5748847200000003E-6</v>
      </c>
      <c r="Y543" s="45">
        <v>-1.7547498700000001E-7</v>
      </c>
      <c r="Z543" s="36">
        <v>2.8</v>
      </c>
      <c r="AA543" s="38">
        <v>508</v>
      </c>
      <c r="AB543" s="38">
        <v>621</v>
      </c>
      <c r="AC543" s="39" t="s">
        <v>508</v>
      </c>
      <c r="AD543" s="39" t="s">
        <v>1371</v>
      </c>
      <c r="AE543" s="48" t="s">
        <v>1388</v>
      </c>
    </row>
    <row r="544" spans="1:31" ht="15" thickBot="1">
      <c r="A544" s="34">
        <v>542</v>
      </c>
      <c r="B544" s="34" t="s">
        <v>290</v>
      </c>
      <c r="C544" s="41" t="s">
        <v>1355</v>
      </c>
      <c r="D544" s="34" t="s">
        <v>885</v>
      </c>
      <c r="E544" s="80">
        <f t="shared" si="56"/>
        <v>1.5888700099361859</v>
      </c>
      <c r="F544" s="35">
        <f t="shared" si="57"/>
        <v>61.126671095566067</v>
      </c>
      <c r="G544" s="42" cm="1">
        <f t="array" ref="G54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60.902304646955344</v>
      </c>
      <c r="H544" s="81" cm="1">
        <f t="array" ref="H5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1.5859197872389632</v>
      </c>
      <c r="I544" s="81" cm="1">
        <f t="array" ref="I5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1.5888700099361859</v>
      </c>
      <c r="J544" s="81" cm="1">
        <f t="array" ref="J5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1.591168458176857</v>
      </c>
      <c r="K544" s="81" cm="1">
        <f t="array" ref="K5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1.5955533890592806</v>
      </c>
      <c r="L544" s="81" cm="1">
        <f t="array" ref="L5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1.6007399182128099</v>
      </c>
      <c r="M544" s="37">
        <f t="shared" si="58"/>
        <v>9.6336018203173612E-3</v>
      </c>
      <c r="N544" s="43">
        <f t="shared" si="59"/>
        <v>2.9502226972226708E-3</v>
      </c>
      <c r="O544" s="43">
        <f t="shared" si="60"/>
        <v>5.1865291535293512E-3</v>
      </c>
      <c r="P544" s="43">
        <f t="shared" si="61"/>
        <v>0.30624295587976474</v>
      </c>
      <c r="Q544" s="37">
        <f t="shared" si="62"/>
        <v>0.53837902482028166</v>
      </c>
      <c r="R544" s="37">
        <v>-3.3999999999999998E-3</v>
      </c>
      <c r="S544" s="44" t="s">
        <v>1391</v>
      </c>
      <c r="T544" s="45">
        <v>0.14179107799999999</v>
      </c>
      <c r="U544" s="45">
        <v>1.8016152899999999E-2</v>
      </c>
      <c r="V544" s="45">
        <v>0.313394163</v>
      </c>
      <c r="W544" s="45">
        <v>87.940213999999997</v>
      </c>
      <c r="X544" s="45">
        <v>2.4189582099999999E-2</v>
      </c>
      <c r="Y544" s="45">
        <v>5.1388853900000003E-3</v>
      </c>
      <c r="Z544" s="36">
        <v>2.95</v>
      </c>
      <c r="AA544" s="38">
        <v>520</v>
      </c>
      <c r="AB544" s="38">
        <v>628</v>
      </c>
      <c r="AC544" s="39" t="s">
        <v>508</v>
      </c>
      <c r="AD544" s="49" t="s">
        <v>506</v>
      </c>
      <c r="AE544" s="48"/>
    </row>
    <row r="545" spans="1:31" ht="15" thickBot="1">
      <c r="A545" s="34">
        <v>543</v>
      </c>
      <c r="B545" s="34" t="s">
        <v>290</v>
      </c>
      <c r="C545" s="41" t="s">
        <v>1356</v>
      </c>
      <c r="D545" s="34" t="s">
        <v>886</v>
      </c>
      <c r="E545" s="80">
        <f t="shared" si="56"/>
        <v>1.8030100343633528</v>
      </c>
      <c r="F545" s="35">
        <f t="shared" si="57"/>
        <v>25.536058406797256</v>
      </c>
      <c r="G545" s="42" cm="1">
        <f t="array" ref="G54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25.331924010736998</v>
      </c>
      <c r="H545" s="81" cm="1">
        <f t="array" ref="H5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1.7939897225422234</v>
      </c>
      <c r="I545" s="81" cm="1">
        <f t="array" ref="I5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1.8030100343633528</v>
      </c>
      <c r="J545" s="81" cm="1">
        <f t="array" ref="J5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1.8104184626522635</v>
      </c>
      <c r="K545" s="81" cm="1">
        <f t="array" ref="K5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1.8254358455722994</v>
      </c>
      <c r="L545" s="81" cm="1">
        <f t="array" ref="L5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1.8447869197880395</v>
      </c>
      <c r="M545" s="37">
        <f t="shared" si="58"/>
        <v>3.144612303007599E-2</v>
      </c>
      <c r="N545" s="43">
        <f t="shared" si="59"/>
        <v>9.0203118211293898E-3</v>
      </c>
      <c r="O545" s="43">
        <f t="shared" si="60"/>
        <v>1.9351074215740116E-2</v>
      </c>
      <c r="P545" s="43">
        <f t="shared" si="61"/>
        <v>0.28684972746885523</v>
      </c>
      <c r="Q545" s="37">
        <f t="shared" si="62"/>
        <v>0.61537233690881965</v>
      </c>
      <c r="R545" s="37">
        <v>1.38E-2</v>
      </c>
      <c r="S545" s="44" t="s">
        <v>1391</v>
      </c>
      <c r="T545" s="45">
        <v>9.5633987500000003E-2</v>
      </c>
      <c r="U545" s="45">
        <v>2.7399939700000001E-2</v>
      </c>
      <c r="V545" s="45">
        <v>0.38560421299999997</v>
      </c>
      <c r="W545" s="45">
        <v>71.883167999999998</v>
      </c>
      <c r="X545" s="45">
        <v>6.1444876699999998E-2</v>
      </c>
      <c r="Y545" s="45">
        <v>8.8865740700000001E-3</v>
      </c>
      <c r="Z545" s="36">
        <v>3.34</v>
      </c>
      <c r="AA545" s="38">
        <v>571</v>
      </c>
      <c r="AB545" s="38">
        <v>679</v>
      </c>
      <c r="AC545" s="39" t="s">
        <v>508</v>
      </c>
      <c r="AD545" s="49" t="s">
        <v>506</v>
      </c>
      <c r="AE545" s="48"/>
    </row>
    <row r="546" spans="1:31" ht="15" thickBot="1">
      <c r="A546" s="34">
        <v>544</v>
      </c>
      <c r="B546" s="34" t="s">
        <v>290</v>
      </c>
      <c r="C546" s="41" t="s">
        <v>1358</v>
      </c>
      <c r="D546" s="34" t="s">
        <v>887</v>
      </c>
      <c r="E546" s="80">
        <f t="shared" si="56"/>
        <v>1.6779800126114766</v>
      </c>
      <c r="F546" s="35">
        <f t="shared" si="57"/>
        <v>54.893860253357524</v>
      </c>
      <c r="G546" s="42" cm="1">
        <f t="array" ref="G54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54.660764785192889</v>
      </c>
      <c r="H546" s="81" cm="1">
        <f t="array" ref="H5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1.6742244154433572</v>
      </c>
      <c r="I546" s="81" cm="1">
        <f t="array" ref="I5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1.6779800126114766</v>
      </c>
      <c r="J546" s="81" cm="1">
        <f t="array" ref="J5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1.6809243064873354</v>
      </c>
      <c r="K546" s="81" cm="1">
        <f t="array" ref="K5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1.6865751593969127</v>
      </c>
      <c r="L546" s="81" cm="1">
        <f t="array" ref="L5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1.6933046141854373</v>
      </c>
      <c r="M546" s="37">
        <f t="shared" si="58"/>
        <v>1.235074395355551E-2</v>
      </c>
      <c r="N546" s="43">
        <f t="shared" si="59"/>
        <v>3.7555971681193512E-3</v>
      </c>
      <c r="O546" s="43">
        <f t="shared" si="60"/>
        <v>6.7294547885246025E-3</v>
      </c>
      <c r="P546" s="43">
        <f t="shared" si="61"/>
        <v>0.30407861925096397</v>
      </c>
      <c r="Q546" s="37">
        <f t="shared" si="62"/>
        <v>0.54486230253258061</v>
      </c>
      <c r="R546" s="37">
        <v>-7.4000000000000003E-3</v>
      </c>
      <c r="S546" s="44" t="s">
        <v>1391</v>
      </c>
      <c r="T546" s="45">
        <v>0.11876962000000001</v>
      </c>
      <c r="U546" s="45">
        <v>5.8040034400000003E-2</v>
      </c>
      <c r="V546" s="45">
        <v>0.312263556</v>
      </c>
      <c r="W546" s="45">
        <v>70.858305599999994</v>
      </c>
      <c r="X546" s="45">
        <v>1.89171164E-2</v>
      </c>
      <c r="Y546" s="45">
        <v>4.30169943E-3</v>
      </c>
      <c r="Z546" s="36">
        <v>3.55</v>
      </c>
      <c r="AA546" s="38">
        <v>559</v>
      </c>
      <c r="AB546" s="38">
        <v>653</v>
      </c>
      <c r="AC546" s="39" t="s">
        <v>508</v>
      </c>
      <c r="AD546" s="39" t="s">
        <v>1371</v>
      </c>
      <c r="AE546" s="48"/>
    </row>
    <row r="547" spans="1:31" ht="15" thickBot="1">
      <c r="A547" s="34">
        <v>545</v>
      </c>
      <c r="B547" s="34" t="s">
        <v>290</v>
      </c>
      <c r="C547" s="41" t="s">
        <v>1358</v>
      </c>
      <c r="D547" s="34" t="s">
        <v>888</v>
      </c>
      <c r="E547" s="80">
        <f t="shared" si="56"/>
        <v>1.6934300153298261</v>
      </c>
      <c r="F547" s="35">
        <f t="shared" si="57"/>
        <v>53.296581178963429</v>
      </c>
      <c r="G547" s="42" cm="1">
        <f t="array" ref="G54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53.052075446492324</v>
      </c>
      <c r="H547" s="81" cm="1">
        <f t="array" ref="H5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1.6894871124507262</v>
      </c>
      <c r="I547" s="81" cm="1">
        <f t="array" ref="I5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1.6934300153298261</v>
      </c>
      <c r="J547" s="81" cm="1">
        <f t="array" ref="J5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1.6965309786430278</v>
      </c>
      <c r="K547" s="81" cm="1">
        <f t="array" ref="K5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1.7024978910033199</v>
      </c>
      <c r="L547" s="81" cm="1">
        <f t="array" ref="L5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1.7096218092818811</v>
      </c>
      <c r="M547" s="37">
        <f t="shared" si="58"/>
        <v>1.3010778552593694E-2</v>
      </c>
      <c r="N547" s="43">
        <f t="shared" si="59"/>
        <v>3.9429028790998188E-3</v>
      </c>
      <c r="O547" s="43">
        <f t="shared" si="60"/>
        <v>7.123918278561181E-3</v>
      </c>
      <c r="P547" s="43">
        <f t="shared" si="61"/>
        <v>0.30304895769006862</v>
      </c>
      <c r="Q547" s="37">
        <f t="shared" si="62"/>
        <v>0.54753973789992993</v>
      </c>
      <c r="R547" s="37">
        <v>-7.4000000000000003E-3</v>
      </c>
      <c r="S547" s="44" t="s">
        <v>1391</v>
      </c>
      <c r="T547" s="45">
        <v>0.11672940800000001</v>
      </c>
      <c r="U547" s="45">
        <v>2.8992913200000001E-2</v>
      </c>
      <c r="V547" s="45">
        <v>0.34759203</v>
      </c>
      <c r="W547" s="45">
        <v>74.675528799999995</v>
      </c>
      <c r="X547" s="45">
        <v>2.4698385999999999E-2</v>
      </c>
      <c r="Y547" s="45">
        <v>5.2969692100000004E-3</v>
      </c>
      <c r="Z547" s="36">
        <v>3.66</v>
      </c>
      <c r="AA547" s="38">
        <v>539</v>
      </c>
      <c r="AB547" s="38">
        <v>638</v>
      </c>
      <c r="AC547" s="39" t="s">
        <v>508</v>
      </c>
      <c r="AD547" s="39" t="s">
        <v>1371</v>
      </c>
      <c r="AE547" s="48"/>
    </row>
    <row r="548" spans="1:31" ht="15" thickBot="1">
      <c r="A548" s="34">
        <v>546</v>
      </c>
      <c r="B548" s="34" t="s">
        <v>290</v>
      </c>
      <c r="C548" s="41" t="s">
        <v>1358</v>
      </c>
      <c r="D548" s="34" t="s">
        <v>889</v>
      </c>
      <c r="E548" s="80">
        <f t="shared" si="56"/>
        <v>1.7430000163654347</v>
      </c>
      <c r="F548" s="35">
        <f t="shared" si="57"/>
        <v>49.245549043877375</v>
      </c>
      <c r="G548" s="42" cm="1">
        <f t="array" ref="G54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48.991501509343962</v>
      </c>
      <c r="H548" s="81" cm="1">
        <f t="array" ref="H5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1.7384579005544387</v>
      </c>
      <c r="I548" s="81" cm="1">
        <f t="array" ref="I5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1.7430000163654347</v>
      </c>
      <c r="J548" s="81" cm="1">
        <f t="array" ref="J5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1.7465933764230575</v>
      </c>
      <c r="K548" s="81" cm="1">
        <f t="array" ref="K5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1.7535455588462252</v>
      </c>
      <c r="L548" s="81" cm="1">
        <f t="array" ref="L5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1.7618963293017611</v>
      </c>
      <c r="M548" s="37">
        <f t="shared" si="58"/>
        <v>1.5087658291786488E-2</v>
      </c>
      <c r="N548" s="43">
        <f t="shared" si="59"/>
        <v>4.5421158109959503E-3</v>
      </c>
      <c r="O548" s="43">
        <f t="shared" si="60"/>
        <v>8.3507704555358941E-3</v>
      </c>
      <c r="P548" s="43">
        <f t="shared" si="61"/>
        <v>0.3010484280034772</v>
      </c>
      <c r="Q548" s="37">
        <f t="shared" si="62"/>
        <v>0.55348353561811103</v>
      </c>
      <c r="R548" s="37">
        <v>-8.3000000000000001E-3</v>
      </c>
      <c r="S548" s="44" t="s">
        <v>1391</v>
      </c>
      <c r="T548" s="45">
        <v>0.102889335</v>
      </c>
      <c r="U548" s="45">
        <v>3.9926210599999998E-2</v>
      </c>
      <c r="V548" s="45">
        <v>0.35654710299999998</v>
      </c>
      <c r="W548" s="45">
        <v>70.7717253</v>
      </c>
      <c r="X548" s="45">
        <v>2.45708717E-2</v>
      </c>
      <c r="Y548" s="45">
        <v>5.24737051E-3</v>
      </c>
      <c r="Z548" s="36">
        <v>4.29</v>
      </c>
      <c r="AA548" s="38">
        <v>560</v>
      </c>
      <c r="AB548" s="38">
        <v>654</v>
      </c>
      <c r="AC548" s="39" t="s">
        <v>508</v>
      </c>
      <c r="AD548" s="39" t="s">
        <v>1371</v>
      </c>
      <c r="AE548" s="48"/>
    </row>
    <row r="549" spans="1:31" ht="15" thickBot="1">
      <c r="A549" s="34">
        <v>547</v>
      </c>
      <c r="B549" s="34" t="s">
        <v>290</v>
      </c>
      <c r="C549" s="41" t="s">
        <v>1358</v>
      </c>
      <c r="D549" s="34" t="s">
        <v>890</v>
      </c>
      <c r="E549" s="80">
        <f t="shared" si="56"/>
        <v>1.7431040165465801</v>
      </c>
      <c r="F549" s="35">
        <f t="shared" si="57"/>
        <v>49.437913596121824</v>
      </c>
      <c r="G549" s="42" cm="1">
        <f t="array" ref="G54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49.187552812165542</v>
      </c>
      <c r="H549" s="81" cm="1">
        <f t="array" ref="H5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1.7385748768637255</v>
      </c>
      <c r="I549" s="81" cm="1">
        <f t="array" ref="I5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1.7431040165465801</v>
      </c>
      <c r="J549" s="81" cm="1">
        <f t="array" ref="J5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1.7466836773795564</v>
      </c>
      <c r="K549" s="81" cm="1">
        <f t="array" ref="K5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1.753605932231824</v>
      </c>
      <c r="L549" s="81" cm="1">
        <f t="array" ref="L5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1.7619196661139018</v>
      </c>
      <c r="M549" s="37">
        <f t="shared" si="58"/>
        <v>1.5031055368098567E-2</v>
      </c>
      <c r="N549" s="43">
        <f t="shared" si="59"/>
        <v>4.5291396828546215E-3</v>
      </c>
      <c r="O549" s="43">
        <f t="shared" si="60"/>
        <v>8.3137338820777895E-3</v>
      </c>
      <c r="P549" s="43">
        <f t="shared" si="61"/>
        <v>0.30131880775764575</v>
      </c>
      <c r="Q549" s="37">
        <f t="shared" si="62"/>
        <v>0.55310380265929915</v>
      </c>
      <c r="R549" s="37">
        <v>-8.3999999999999995E-3</v>
      </c>
      <c r="S549" s="44" t="s">
        <v>1391</v>
      </c>
      <c r="T549" s="45">
        <v>0.107190484</v>
      </c>
      <c r="U549" s="45">
        <v>5.5272570600000001E-2</v>
      </c>
      <c r="V549" s="45">
        <v>0.34134469299999998</v>
      </c>
      <c r="W549" s="45">
        <v>69.6573791</v>
      </c>
      <c r="X549" s="45">
        <v>2.2299444099999999E-2</v>
      </c>
      <c r="Y549" s="45">
        <v>4.6634402500000003E-3</v>
      </c>
      <c r="Z549" s="36">
        <v>4.25</v>
      </c>
      <c r="AA549" s="38">
        <v>562</v>
      </c>
      <c r="AB549" s="38">
        <v>653</v>
      </c>
      <c r="AC549" s="39" t="s">
        <v>508</v>
      </c>
      <c r="AD549" s="39" t="s">
        <v>1371</v>
      </c>
      <c r="AE549" s="48"/>
    </row>
    <row r="550" spans="1:31" ht="15" thickBot="1">
      <c r="A550" s="34">
        <v>548</v>
      </c>
      <c r="B550" s="34" t="s">
        <v>290</v>
      </c>
      <c r="C550" s="41" t="s">
        <v>1358</v>
      </c>
      <c r="D550" s="34" t="s">
        <v>891</v>
      </c>
      <c r="E550" s="80">
        <f t="shared" si="56"/>
        <v>1.8060400211393708</v>
      </c>
      <c r="F550" s="35">
        <f t="shared" si="57"/>
        <v>40.738409112668741</v>
      </c>
      <c r="G550" s="42" cm="1">
        <f t="array" ref="G55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40.48551305931268</v>
      </c>
      <c r="H550" s="81" cm="1">
        <f t="array" ref="H5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1.800166052551426</v>
      </c>
      <c r="I550" s="81" cm="1">
        <f t="array" ref="I5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1.8060400211393708</v>
      </c>
      <c r="J550" s="81" cm="1">
        <f t="array" ref="J5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1.8107406046935475</v>
      </c>
      <c r="K550" s="81" cm="1">
        <f t="array" ref="K5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1.8199518036078832</v>
      </c>
      <c r="L550" s="81" cm="1">
        <f t="array" ref="L5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1.8312107410881482</v>
      </c>
      <c r="M550" s="37">
        <f t="shared" si="58"/>
        <v>1.978575105645719E-2</v>
      </c>
      <c r="N550" s="43">
        <f t="shared" si="59"/>
        <v>5.8739685879447556E-3</v>
      </c>
      <c r="O550" s="43">
        <f t="shared" si="60"/>
        <v>1.1258937480264963E-2</v>
      </c>
      <c r="P550" s="43">
        <f t="shared" si="61"/>
        <v>0.29687872707908924</v>
      </c>
      <c r="Q550" s="37">
        <f t="shared" si="62"/>
        <v>0.56904271402881856</v>
      </c>
      <c r="R550" s="37">
        <v>-7.0000000000000001E-3</v>
      </c>
      <c r="S550" s="44" t="s">
        <v>1391</v>
      </c>
      <c r="T550" s="45">
        <v>0.10668590999999999</v>
      </c>
      <c r="U550" s="45">
        <v>2.5545396099999999E-2</v>
      </c>
      <c r="V550" s="45">
        <v>0.39417953700000002</v>
      </c>
      <c r="W550" s="45">
        <v>78.495979199999994</v>
      </c>
      <c r="X550" s="45">
        <v>3.8497113800000003E-2</v>
      </c>
      <c r="Y550" s="45">
        <v>6.3540246899999996E-3</v>
      </c>
      <c r="Z550" s="36">
        <v>4.4800000000000004</v>
      </c>
      <c r="AA550" s="38">
        <v>568</v>
      </c>
      <c r="AB550" s="38">
        <v>670</v>
      </c>
      <c r="AC550" s="39" t="s">
        <v>508</v>
      </c>
      <c r="AD550" s="39" t="s">
        <v>1371</v>
      </c>
      <c r="AE550" s="48"/>
    </row>
    <row r="551" spans="1:31" ht="15" thickBot="1">
      <c r="A551" s="34">
        <v>549</v>
      </c>
      <c r="B551" s="34" t="s">
        <v>290</v>
      </c>
      <c r="C551" s="41" t="s">
        <v>1358</v>
      </c>
      <c r="D551" s="34" t="s">
        <v>892</v>
      </c>
      <c r="E551" s="80">
        <f t="shared" si="56"/>
        <v>1.7738700174624862</v>
      </c>
      <c r="F551" s="35">
        <f t="shared" si="57"/>
        <v>47.254455711583134</v>
      </c>
      <c r="G551" s="42" cm="1">
        <f t="array" ref="G55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47.006953425280336</v>
      </c>
      <c r="H551" s="81" cm="1">
        <f t="array" ref="H5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1.7689490106668857</v>
      </c>
      <c r="I551" s="81" cm="1">
        <f t="array" ref="I5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1.7738700174624862</v>
      </c>
      <c r="J551" s="81" cm="1">
        <f t="array" ref="J5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1.7777687131399713</v>
      </c>
      <c r="K551" s="81" cm="1">
        <f t="array" ref="K5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1.7853256677632194</v>
      </c>
      <c r="L551" s="81" cm="1">
        <f t="array" ref="L5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1.7944271810457522</v>
      </c>
      <c r="M551" s="37">
        <f t="shared" si="58"/>
        <v>1.6376657096333735E-2</v>
      </c>
      <c r="N551" s="43">
        <f t="shared" si="59"/>
        <v>4.9210067956004799E-3</v>
      </c>
      <c r="O551" s="43">
        <f t="shared" si="60"/>
        <v>9.101513282532725E-3</v>
      </c>
      <c r="P551" s="43">
        <f t="shared" si="61"/>
        <v>0.30048909045681566</v>
      </c>
      <c r="Q551" s="37">
        <f t="shared" si="62"/>
        <v>0.5557613638115616</v>
      </c>
      <c r="R551" s="37">
        <v>-9.4000000000000004E-3</v>
      </c>
      <c r="S551" s="44" t="s">
        <v>1391</v>
      </c>
      <c r="T551" s="45">
        <v>0.119883894</v>
      </c>
      <c r="U551" s="45">
        <v>5.9552675300000003E-2</v>
      </c>
      <c r="V551" s="45">
        <v>0.349042354</v>
      </c>
      <c r="W551" s="45">
        <v>78.232582399999998</v>
      </c>
      <c r="X551" s="45">
        <v>2.2837581900000001E-2</v>
      </c>
      <c r="Y551" s="45">
        <v>4.69309032E-3</v>
      </c>
      <c r="Z551" s="36">
        <v>4.6399999999999997</v>
      </c>
      <c r="AA551" s="38">
        <v>566</v>
      </c>
      <c r="AB551" s="38">
        <v>667</v>
      </c>
      <c r="AC551" s="39" t="s">
        <v>508</v>
      </c>
      <c r="AD551" s="39" t="s">
        <v>1371</v>
      </c>
      <c r="AE551" s="48"/>
    </row>
    <row r="552" spans="1:31" ht="15" thickBot="1">
      <c r="A552" s="34">
        <v>550</v>
      </c>
      <c r="B552" s="34" t="s">
        <v>290</v>
      </c>
      <c r="C552" s="41" t="s">
        <v>1358</v>
      </c>
      <c r="D552" s="34" t="s">
        <v>893</v>
      </c>
      <c r="E552" s="80">
        <f t="shared" si="56"/>
        <v>1.7906300174192182</v>
      </c>
      <c r="F552" s="35">
        <f t="shared" si="57"/>
        <v>44.988885272785566</v>
      </c>
      <c r="G552" s="42" cm="1">
        <f t="array" ref="G55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44.738799176026802</v>
      </c>
      <c r="H552" s="81" cm="1">
        <f t="array" ref="H5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1.7853701629500547</v>
      </c>
      <c r="I552" s="81" cm="1">
        <f t="array" ref="I5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1.7906300174192182</v>
      </c>
      <c r="J552" s="81" cm="1">
        <f t="array" ref="J5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1.7948112436442698</v>
      </c>
      <c r="K552" s="81" cm="1">
        <f t="array" ref="K5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1.8029440595386301</v>
      </c>
      <c r="L552" s="81" cm="1">
        <f t="array" ref="L5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1.8127821580868644</v>
      </c>
      <c r="M552" s="37">
        <f t="shared" si="58"/>
        <v>1.7573896588575444E-2</v>
      </c>
      <c r="N552" s="43">
        <f t="shared" si="59"/>
        <v>5.2598544691635496E-3</v>
      </c>
      <c r="O552" s="43">
        <f t="shared" si="60"/>
        <v>9.8380985482342531E-3</v>
      </c>
      <c r="P552" s="43">
        <f t="shared" si="61"/>
        <v>0.29929927279661533</v>
      </c>
      <c r="Q552" s="37">
        <f t="shared" si="62"/>
        <v>0.55981315803518894</v>
      </c>
      <c r="R552" s="37">
        <v>-9.2999999999999992E-3</v>
      </c>
      <c r="S552" s="44" t="s">
        <v>1391</v>
      </c>
      <c r="T552" s="45">
        <v>0.17536636</v>
      </c>
      <c r="U552" s="45">
        <v>5.6157207000000001E-2</v>
      </c>
      <c r="V552" s="45">
        <v>0.35858584700000001</v>
      </c>
      <c r="W552" s="45">
        <v>118.044579</v>
      </c>
      <c r="X552" s="45">
        <v>2.51310454E-2</v>
      </c>
      <c r="Y552" s="45">
        <v>4.8819904799999999E-3</v>
      </c>
      <c r="Z552" s="36">
        <v>4.68</v>
      </c>
      <c r="AA552" s="38">
        <v>560</v>
      </c>
      <c r="AB552" s="38">
        <v>666</v>
      </c>
      <c r="AC552" s="39" t="s">
        <v>508</v>
      </c>
      <c r="AD552" s="49" t="s">
        <v>506</v>
      </c>
      <c r="AE552" s="48"/>
    </row>
    <row r="553" spans="1:31" ht="15" thickBot="1">
      <c r="A553" s="34">
        <v>551</v>
      </c>
      <c r="B553" s="34" t="s">
        <v>290</v>
      </c>
      <c r="C553" s="41" t="s">
        <v>1358</v>
      </c>
      <c r="D553" s="34" t="s">
        <v>894</v>
      </c>
      <c r="E553" s="80">
        <f t="shared" si="56"/>
        <v>1.8510800230276989</v>
      </c>
      <c r="F553" s="35">
        <f t="shared" si="57"/>
        <v>40.125096195223939</v>
      </c>
      <c r="G553" s="42" cm="1">
        <f t="array" ref="G55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39.881275536128875</v>
      </c>
      <c r="H553" s="81" cm="1">
        <f t="array" ref="H5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1.8447814074903424</v>
      </c>
      <c r="I553" s="81" cm="1">
        <f t="array" ref="I5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1.8510800230276989</v>
      </c>
      <c r="J553" s="81" cm="1">
        <f t="array" ref="J5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1.8561196326020057</v>
      </c>
      <c r="K553" s="81" cm="1">
        <f t="array" ref="K5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1.865992073724932</v>
      </c>
      <c r="L553" s="81" cm="1">
        <f t="array" ref="L5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1.8780519802604161</v>
      </c>
      <c r="M553" s="37">
        <f t="shared" si="58"/>
        <v>2.121066623458967E-2</v>
      </c>
      <c r="N553" s="43">
        <f t="shared" si="59"/>
        <v>6.2986155373565555E-3</v>
      </c>
      <c r="O553" s="43">
        <f t="shared" si="60"/>
        <v>1.2059906535484055E-2</v>
      </c>
      <c r="P553" s="43">
        <f t="shared" si="61"/>
        <v>0.29695510115966922</v>
      </c>
      <c r="Q553" s="37">
        <f t="shared" si="62"/>
        <v>0.56857745070813237</v>
      </c>
      <c r="R553" s="37">
        <v>-8.5000000000000006E-3</v>
      </c>
      <c r="S553" s="44" t="s">
        <v>1391</v>
      </c>
      <c r="T553" s="45">
        <v>0.102240636</v>
      </c>
      <c r="U553" s="45">
        <v>2.5909951000000001E-2</v>
      </c>
      <c r="V553" s="45">
        <v>0.410764462</v>
      </c>
      <c r="W553" s="45">
        <v>73.161986200000001</v>
      </c>
      <c r="X553" s="45">
        <v>3.79977305E-2</v>
      </c>
      <c r="Y553" s="45">
        <v>6.4034419699999998E-3</v>
      </c>
      <c r="Z553" s="36">
        <v>5.03</v>
      </c>
      <c r="AA553" s="38">
        <v>589</v>
      </c>
      <c r="AB553" s="38">
        <v>695</v>
      </c>
      <c r="AC553" s="39" t="s">
        <v>508</v>
      </c>
      <c r="AD553" s="39" t="s">
        <v>1371</v>
      </c>
      <c r="AE553" s="48"/>
    </row>
    <row r="554" spans="1:31" ht="15" thickBot="1">
      <c r="A554" s="34">
        <v>552</v>
      </c>
      <c r="B554" s="34" t="s">
        <v>290</v>
      </c>
      <c r="C554" s="41" t="s">
        <v>1358</v>
      </c>
      <c r="D554" s="34" t="s">
        <v>895</v>
      </c>
      <c r="E554" s="80">
        <f t="shared" si="56"/>
        <v>1.8209800226453972</v>
      </c>
      <c r="F554" s="35">
        <f t="shared" si="57"/>
        <v>42.506760925472221</v>
      </c>
      <c r="G554" s="42" cm="1">
        <f t="array" ref="G55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42.252945311211995</v>
      </c>
      <c r="H554" s="81" cm="1">
        <f t="array" ref="H5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1.8152279167608816</v>
      </c>
      <c r="I554" s="81" cm="1">
        <f t="array" ref="I5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1.8209800226453972</v>
      </c>
      <c r="J554" s="81" cm="1">
        <f t="array" ref="J5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1.8255717136122669</v>
      </c>
      <c r="K554" s="81" cm="1">
        <f t="array" ref="K5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1.8345420212649823</v>
      </c>
      <c r="L554" s="81" cm="1">
        <f t="array" ref="L5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1.845455512500495</v>
      </c>
      <c r="M554" s="37">
        <f t="shared" si="58"/>
        <v>1.931410450410076E-2</v>
      </c>
      <c r="N554" s="43">
        <f t="shared" si="59"/>
        <v>5.7521058845155792E-3</v>
      </c>
      <c r="O554" s="43">
        <f t="shared" si="60"/>
        <v>1.0913491235512662E-2</v>
      </c>
      <c r="P554" s="43">
        <f t="shared" si="61"/>
        <v>0.29781892726604514</v>
      </c>
      <c r="Q554" s="37">
        <f t="shared" si="62"/>
        <v>0.56505292457103129</v>
      </c>
      <c r="R554" s="37">
        <v>-8.0999999999999996E-3</v>
      </c>
      <c r="S554" s="44" t="s">
        <v>1391</v>
      </c>
      <c r="T554" s="45">
        <v>0.11718978300000001</v>
      </c>
      <c r="U554" s="45">
        <v>3.5816292700000002E-2</v>
      </c>
      <c r="V554" s="45">
        <v>0.390078549</v>
      </c>
      <c r="W554" s="45">
        <v>84.517408799999998</v>
      </c>
      <c r="X554" s="45">
        <v>3.2006507900000002E-2</v>
      </c>
      <c r="Y554" s="45">
        <v>5.7341096100000004E-3</v>
      </c>
      <c r="Z554" s="36">
        <v>4.8099999999999996</v>
      </c>
      <c r="AA554" s="38">
        <v>596</v>
      </c>
      <c r="AB554" s="38">
        <v>700</v>
      </c>
      <c r="AC554" s="39" t="s">
        <v>508</v>
      </c>
      <c r="AD554" s="49" t="s">
        <v>506</v>
      </c>
      <c r="AE554" s="48"/>
    </row>
    <row r="555" spans="1:31" ht="15" thickBot="1">
      <c r="A555" s="34">
        <v>553</v>
      </c>
      <c r="B555" s="34" t="s">
        <v>290</v>
      </c>
      <c r="C555" s="41" t="s">
        <v>1358</v>
      </c>
      <c r="D555" s="34" t="s">
        <v>896</v>
      </c>
      <c r="E555" s="80">
        <f t="shared" si="56"/>
        <v>1.7654370175409393</v>
      </c>
      <c r="F555" s="35">
        <f t="shared" si="57"/>
        <v>46.75062893951646</v>
      </c>
      <c r="G555" s="42" cm="1">
        <f t="array" ref="G55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46.504813638229798</v>
      </c>
      <c r="H555" s="81" cm="1">
        <f t="array" ref="H5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1.7605193204230798</v>
      </c>
      <c r="I555" s="81" cm="1">
        <f t="array" ref="I5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1.7654370175409393</v>
      </c>
      <c r="J555" s="81" cm="1">
        <f t="array" ref="J5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1.7693341424332181</v>
      </c>
      <c r="K555" s="81" cm="1">
        <f t="array" ref="K5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1.7768920844885905</v>
      </c>
      <c r="L555" s="81" cm="1">
        <f t="array" ref="L5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1.7860045017335502</v>
      </c>
      <c r="M555" s="37">
        <f t="shared" si="58"/>
        <v>1.6372764065510692E-2</v>
      </c>
      <c r="N555" s="43">
        <f t="shared" si="59"/>
        <v>4.9176971178594986E-3</v>
      </c>
      <c r="O555" s="43">
        <f t="shared" si="60"/>
        <v>9.112417244959703E-3</v>
      </c>
      <c r="P555" s="43">
        <f t="shared" si="61"/>
        <v>0.3003583938657402</v>
      </c>
      <c r="Q555" s="37">
        <f t="shared" si="62"/>
        <v>0.55655949163495577</v>
      </c>
      <c r="R555" s="37">
        <v>-9.4999999999999998E-3</v>
      </c>
      <c r="S555" s="44" t="s">
        <v>1391</v>
      </c>
      <c r="T555" s="45">
        <v>0.107605967</v>
      </c>
      <c r="U555" s="45">
        <v>3.6582571699999997E-2</v>
      </c>
      <c r="V555" s="45">
        <v>0.36856664300000003</v>
      </c>
      <c r="W555" s="45">
        <v>69.685100199999994</v>
      </c>
      <c r="X555" s="45">
        <v>2.77552514E-2</v>
      </c>
      <c r="Y555" s="45">
        <v>5.4217922499999998E-3</v>
      </c>
      <c r="Z555" s="36">
        <v>4.5199999999999996</v>
      </c>
      <c r="AA555" s="38">
        <v>572</v>
      </c>
      <c r="AB555" s="38">
        <v>668</v>
      </c>
      <c r="AC555" s="39" t="s">
        <v>508</v>
      </c>
      <c r="AD555" s="39" t="s">
        <v>1371</v>
      </c>
      <c r="AE555" s="48"/>
    </row>
    <row r="556" spans="1:31" ht="15" thickBot="1">
      <c r="A556" s="34">
        <v>554</v>
      </c>
      <c r="B556" s="34" t="s">
        <v>290</v>
      </c>
      <c r="C556" s="41" t="s">
        <v>1358</v>
      </c>
      <c r="D556" s="34" t="s">
        <v>897</v>
      </c>
      <c r="E556" s="80">
        <f t="shared" si="56"/>
        <v>1.7952560203528229</v>
      </c>
      <c r="F556" s="35">
        <f t="shared" si="57"/>
        <v>45.252000442272987</v>
      </c>
      <c r="G556" s="42" cm="1">
        <f t="array" ref="G55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45.004195923544586</v>
      </c>
      <c r="H556" s="81" cm="1">
        <f t="array" ref="H5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1.7899920998322481</v>
      </c>
      <c r="I556" s="81" cm="1">
        <f t="array" ref="I5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1.7952560203528229</v>
      </c>
      <c r="J556" s="81" cm="1">
        <f t="array" ref="J5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1.7994378809828915</v>
      </c>
      <c r="K556" s="81" cm="1">
        <f t="array" ref="K5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1.8075660415935038</v>
      </c>
      <c r="L556" s="81" cm="1">
        <f t="array" ref="L5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1.8173890855155399</v>
      </c>
      <c r="M556" s="37">
        <f t="shared" si="58"/>
        <v>1.7573941761255707E-2</v>
      </c>
      <c r="N556" s="43">
        <f t="shared" si="59"/>
        <v>5.263920520574894E-3</v>
      </c>
      <c r="O556" s="43">
        <f t="shared" si="60"/>
        <v>9.8230439220361454E-3</v>
      </c>
      <c r="P556" s="43">
        <f t="shared" si="61"/>
        <v>0.29952987167511658</v>
      </c>
      <c r="Q556" s="37">
        <f t="shared" si="62"/>
        <v>0.55895507425047153</v>
      </c>
      <c r="R556" s="37">
        <v>-9.4999999999999998E-3</v>
      </c>
      <c r="S556" s="44" t="s">
        <v>1391</v>
      </c>
      <c r="T556" s="45">
        <v>0.113060928</v>
      </c>
      <c r="U556" s="45">
        <v>4.52648971E-2</v>
      </c>
      <c r="V556" s="45">
        <v>0.37132887199999998</v>
      </c>
      <c r="W556" s="45">
        <v>76.2209754</v>
      </c>
      <c r="X556" s="45">
        <v>2.6588797599999998E-2</v>
      </c>
      <c r="Y556" s="45">
        <v>5.2687073399999996E-3</v>
      </c>
      <c r="Z556" s="36">
        <v>4.83</v>
      </c>
      <c r="AA556" s="38">
        <v>586</v>
      </c>
      <c r="AB556" s="38">
        <v>688</v>
      </c>
      <c r="AC556" s="39" t="s">
        <v>508</v>
      </c>
      <c r="AD556" s="39" t="s">
        <v>1371</v>
      </c>
      <c r="AE556" s="48"/>
    </row>
    <row r="557" spans="1:31" ht="15" thickBot="1">
      <c r="A557" s="34">
        <v>555</v>
      </c>
      <c r="B557" s="34" t="s">
        <v>253</v>
      </c>
      <c r="C557" s="41" t="s">
        <v>1355</v>
      </c>
      <c r="D557" s="34" t="s">
        <v>1157</v>
      </c>
      <c r="E557" s="80">
        <f t="shared" si="56"/>
        <v>1.5197499090869864</v>
      </c>
      <c r="F557" s="35">
        <f t="shared" si="57"/>
        <v>63.584530422487148</v>
      </c>
      <c r="G557" s="42" cm="1">
        <f t="array" ref="G55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63.364751164972148</v>
      </c>
      <c r="H557" s="81" cm="1">
        <f t="array" ref="H5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1.5172392243087964</v>
      </c>
      <c r="I557" s="81" cm="1">
        <f t="array" ref="I5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1.5197499090869864</v>
      </c>
      <c r="J557" s="81" cm="1">
        <f t="array" ref="J5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1.5216997138484478</v>
      </c>
      <c r="K557" s="81" cm="1">
        <f t="array" ref="K5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1.5254133809099935</v>
      </c>
      <c r="L557" s="81" cm="1">
        <f t="array" ref="L5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1.5298080871562334</v>
      </c>
      <c r="M557" s="37">
        <f t="shared" si="58"/>
        <v>8.1741566011970246E-3</v>
      </c>
      <c r="N557" s="43">
        <f t="shared" si="59"/>
        <v>2.5106847781899422E-3</v>
      </c>
      <c r="O557" s="43">
        <f t="shared" si="60"/>
        <v>4.3947062462399433E-3</v>
      </c>
      <c r="P557" s="43">
        <f t="shared" si="61"/>
        <v>0.3071490920325991</v>
      </c>
      <c r="Q557" s="37">
        <f t="shared" si="62"/>
        <v>0.53763421239035014</v>
      </c>
      <c r="R557" s="37">
        <v>6.9999999999999999E-4</v>
      </c>
      <c r="S557" s="44" t="s">
        <v>1393</v>
      </c>
      <c r="T557" s="45">
        <v>1.2653854200000001</v>
      </c>
      <c r="U557" s="45">
        <v>1.4419107299999999E-2</v>
      </c>
      <c r="V557" s="45">
        <v>1.0032302799999999</v>
      </c>
      <c r="W557" s="45">
        <v>8.1310407799999995E-3</v>
      </c>
      <c r="X557" s="45">
        <v>5.4330322600000001E-2</v>
      </c>
      <c r="Y557" s="45">
        <v>102.82116600000001</v>
      </c>
      <c r="Z557" s="36">
        <v>2.52</v>
      </c>
      <c r="AA557" s="38">
        <v>585</v>
      </c>
      <c r="AB557" s="38">
        <v>722</v>
      </c>
      <c r="AC557" s="49" t="s">
        <v>506</v>
      </c>
      <c r="AD557" s="49" t="s">
        <v>506</v>
      </c>
      <c r="AE557" s="46" t="s">
        <v>1218</v>
      </c>
    </row>
    <row r="558" spans="1:31" ht="15" thickBot="1">
      <c r="A558" s="34">
        <v>556</v>
      </c>
      <c r="B558" s="34" t="s">
        <v>253</v>
      </c>
      <c r="C558" s="41" t="s">
        <v>1356</v>
      </c>
      <c r="D558" s="34" t="s">
        <v>175</v>
      </c>
      <c r="E558" s="80">
        <f t="shared" si="56"/>
        <v>1.6200401372462678</v>
      </c>
      <c r="F558" s="35">
        <f t="shared" si="57"/>
        <v>36.366941342628344</v>
      </c>
      <c r="G558" s="42" cm="1">
        <f t="array" ref="G55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36.108244799674267</v>
      </c>
      <c r="H558" s="81" cm="1">
        <f t="array" ref="H5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1.6150316915761365</v>
      </c>
      <c r="I558" s="81" cm="1">
        <f t="array" ref="I5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1.6200401372462678</v>
      </c>
      <c r="J558" s="81" cm="1">
        <f t="array" ref="J5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1.6240804698157827</v>
      </c>
      <c r="K558" s="81" cm="1">
        <f t="array" ref="K5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1.632081245768902</v>
      </c>
      <c r="L558" s="81" cm="1">
        <f t="array" ref="L5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1.6420182783764179</v>
      </c>
      <c r="M558" s="37">
        <f t="shared" si="58"/>
        <v>1.7049554192765548E-2</v>
      </c>
      <c r="N558" s="43">
        <f t="shared" si="59"/>
        <v>5.0084456701313673E-3</v>
      </c>
      <c r="O558" s="43">
        <f t="shared" si="60"/>
        <v>9.9370326075158832E-3</v>
      </c>
      <c r="P558" s="43">
        <f t="shared" si="61"/>
        <v>0.2937581600964409</v>
      </c>
      <c r="Q558" s="37">
        <f t="shared" si="62"/>
        <v>0.58283240108016177</v>
      </c>
      <c r="R558" s="37">
        <v>2.0000000000000001E-4</v>
      </c>
      <c r="S558" s="44" t="s">
        <v>1393</v>
      </c>
      <c r="T558" s="45">
        <v>1.3453335900000001</v>
      </c>
      <c r="U558" s="45">
        <v>0.209073176</v>
      </c>
      <c r="V558" s="45">
        <v>0.93735716199999997</v>
      </c>
      <c r="W558" s="45">
        <v>9.9774387099999997E-3</v>
      </c>
      <c r="X558" s="45">
        <v>4.7045076700000001E-2</v>
      </c>
      <c r="Y558" s="45">
        <v>111.886764</v>
      </c>
      <c r="Z558" s="36">
        <v>3.5990000000000002</v>
      </c>
      <c r="AA558" s="38">
        <v>434</v>
      </c>
      <c r="AB558" s="38">
        <v>594</v>
      </c>
      <c r="AC558" s="49" t="s">
        <v>506</v>
      </c>
      <c r="AD558" s="49" t="s">
        <v>506</v>
      </c>
      <c r="AE558" s="46" t="s">
        <v>289</v>
      </c>
    </row>
    <row r="559" spans="1:31" ht="15" thickBot="1">
      <c r="A559" s="34">
        <v>557</v>
      </c>
      <c r="B559" s="34" t="s">
        <v>253</v>
      </c>
      <c r="C559" s="41" t="s">
        <v>1356</v>
      </c>
      <c r="D559" s="34" t="s">
        <v>1158</v>
      </c>
      <c r="E559" s="80">
        <f t="shared" si="56"/>
        <v>1.6207214227576139</v>
      </c>
      <c r="F559" s="35">
        <f t="shared" si="57"/>
        <v>36.559225614342147</v>
      </c>
      <c r="G559" s="42" cm="1">
        <f t="array" ref="G55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36.297079906415412</v>
      </c>
      <c r="H559" s="81" cm="1">
        <f t="array" ref="H5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1.615734379931665</v>
      </c>
      <c r="I559" s="81" cm="1">
        <f t="array" ref="I5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1.6207214227576139</v>
      </c>
      <c r="J559" s="81" cm="1">
        <f t="array" ref="J5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1.6247445566313052</v>
      </c>
      <c r="K559" s="81" cm="1">
        <f t="array" ref="K5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1.6327128966350961</v>
      </c>
      <c r="L559" s="81" cm="1">
        <f t="array" ref="L5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1.6426145324440213</v>
      </c>
      <c r="M559" s="37">
        <f t="shared" si="58"/>
        <v>1.697851670343109E-2</v>
      </c>
      <c r="N559" s="43">
        <f t="shared" si="59"/>
        <v>4.9870428259488619E-3</v>
      </c>
      <c r="O559" s="43">
        <f t="shared" si="60"/>
        <v>9.9016358089252243E-3</v>
      </c>
      <c r="P559" s="43">
        <f t="shared" si="61"/>
        <v>0.29372664956892608</v>
      </c>
      <c r="Q559" s="37">
        <f t="shared" si="62"/>
        <v>0.58318615117445805</v>
      </c>
      <c r="R559" s="37">
        <v>8.0000000000000004E-4</v>
      </c>
      <c r="S559" s="44" t="s">
        <v>1393</v>
      </c>
      <c r="T559" s="45">
        <v>1.34702224</v>
      </c>
      <c r="U559" s="45">
        <v>0.21003776299999999</v>
      </c>
      <c r="V559" s="45">
        <v>19.535076799999999</v>
      </c>
      <c r="W559" s="45">
        <v>9.8085055300000008E-3</v>
      </c>
      <c r="X559" s="45">
        <v>4.7178801800000003E-2</v>
      </c>
      <c r="Y559" s="45">
        <v>2279.1547</v>
      </c>
      <c r="Z559" s="36">
        <v>3.61</v>
      </c>
      <c r="AA559" s="38">
        <v>435</v>
      </c>
      <c r="AB559" s="38">
        <v>612</v>
      </c>
      <c r="AC559" s="49" t="s">
        <v>506</v>
      </c>
      <c r="AD559" s="49" t="s">
        <v>506</v>
      </c>
      <c r="AE559" s="46" t="s">
        <v>1217</v>
      </c>
    </row>
    <row r="560" spans="1:31" ht="15" thickBot="1">
      <c r="A560" s="34">
        <v>558</v>
      </c>
      <c r="B560" s="34" t="s">
        <v>253</v>
      </c>
      <c r="C560" s="41" t="s">
        <v>1356</v>
      </c>
      <c r="D560" s="34" t="s">
        <v>176</v>
      </c>
      <c r="E560" s="80">
        <f t="shared" si="56"/>
        <v>1.6200401372462678</v>
      </c>
      <c r="F560" s="35">
        <f t="shared" si="57"/>
        <v>36.366941342628344</v>
      </c>
      <c r="G560" s="42" cm="1">
        <f t="array" ref="G56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36.108244799674267</v>
      </c>
      <c r="H560" s="81" cm="1">
        <f t="array" ref="H5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1.6150316915761365</v>
      </c>
      <c r="I560" s="81" cm="1">
        <f t="array" ref="I5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1.6200401372462678</v>
      </c>
      <c r="J560" s="81" cm="1">
        <f t="array" ref="J5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1.6240804698157827</v>
      </c>
      <c r="K560" s="81" cm="1">
        <f t="array" ref="K5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1.632081245768902</v>
      </c>
      <c r="L560" s="81" cm="1">
        <f t="array" ref="L5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1.6420182783764179</v>
      </c>
      <c r="M560" s="37">
        <f t="shared" si="58"/>
        <v>1.7049554192765548E-2</v>
      </c>
      <c r="N560" s="43">
        <f t="shared" si="59"/>
        <v>5.0084456701313673E-3</v>
      </c>
      <c r="O560" s="43">
        <f t="shared" si="60"/>
        <v>9.9370326075158832E-3</v>
      </c>
      <c r="P560" s="43">
        <f t="shared" si="61"/>
        <v>0.2937581600964409</v>
      </c>
      <c r="Q560" s="37">
        <f t="shared" si="62"/>
        <v>0.58283240108016177</v>
      </c>
      <c r="R560" s="37">
        <v>2.0000000000000001E-4</v>
      </c>
      <c r="S560" s="44" t="s">
        <v>1393</v>
      </c>
      <c r="T560" s="45">
        <v>1.3453335900000001</v>
      </c>
      <c r="U560" s="45">
        <v>0.209073176</v>
      </c>
      <c r="V560" s="45">
        <v>0.93735716199999997</v>
      </c>
      <c r="W560" s="45">
        <v>9.9774387099999997E-3</v>
      </c>
      <c r="X560" s="45">
        <v>4.7045076700000001E-2</v>
      </c>
      <c r="Y560" s="45">
        <v>111.886764</v>
      </c>
      <c r="Z560" s="36">
        <v>3.5990000000000002</v>
      </c>
      <c r="AA560" s="38">
        <v>434</v>
      </c>
      <c r="AB560" s="38">
        <v>594</v>
      </c>
      <c r="AC560" s="49" t="s">
        <v>506</v>
      </c>
      <c r="AD560" s="49" t="s">
        <v>506</v>
      </c>
      <c r="AE560" s="46" t="s">
        <v>289</v>
      </c>
    </row>
    <row r="561" spans="1:31" ht="15" thickBot="1">
      <c r="A561" s="34">
        <v>559</v>
      </c>
      <c r="B561" s="34" t="s">
        <v>253</v>
      </c>
      <c r="C561" s="41" t="s">
        <v>1356</v>
      </c>
      <c r="D561" s="34" t="s">
        <v>1159</v>
      </c>
      <c r="E561" s="80">
        <f t="shared" si="56"/>
        <v>1.6200401372462678</v>
      </c>
      <c r="F561" s="35">
        <f t="shared" si="57"/>
        <v>36.366941342628344</v>
      </c>
      <c r="G561" s="42" cm="1">
        <f t="array" ref="G56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36.108244799674267</v>
      </c>
      <c r="H561" s="81" cm="1">
        <f t="array" ref="H5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1.6150316915761365</v>
      </c>
      <c r="I561" s="81" cm="1">
        <f t="array" ref="I5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1.6200401372462678</v>
      </c>
      <c r="J561" s="81" cm="1">
        <f t="array" ref="J5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1.6240804698157827</v>
      </c>
      <c r="K561" s="81" cm="1">
        <f t="array" ref="K5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1.632081245768902</v>
      </c>
      <c r="L561" s="81" cm="1">
        <f t="array" ref="L5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1.6420182783764179</v>
      </c>
      <c r="M561" s="37">
        <f t="shared" si="58"/>
        <v>1.7049554192765548E-2</v>
      </c>
      <c r="N561" s="43">
        <f t="shared" si="59"/>
        <v>5.0084456701313673E-3</v>
      </c>
      <c r="O561" s="43">
        <f t="shared" si="60"/>
        <v>9.9370326075158832E-3</v>
      </c>
      <c r="P561" s="43">
        <f t="shared" si="61"/>
        <v>0.2937581600964409</v>
      </c>
      <c r="Q561" s="37">
        <f t="shared" si="62"/>
        <v>0.58283240108016177</v>
      </c>
      <c r="R561" s="37">
        <v>2.0000000000000001E-4</v>
      </c>
      <c r="S561" s="44" t="s">
        <v>1393</v>
      </c>
      <c r="T561" s="45">
        <v>1.3453335900000001</v>
      </c>
      <c r="U561" s="45">
        <v>0.209073176</v>
      </c>
      <c r="V561" s="45">
        <v>0.93735716199999997</v>
      </c>
      <c r="W561" s="45">
        <v>9.9774387099999997E-3</v>
      </c>
      <c r="X561" s="45">
        <v>4.7045076700000001E-2</v>
      </c>
      <c r="Y561" s="45">
        <v>111.886764</v>
      </c>
      <c r="Z561" s="36">
        <v>3.5990000000000002</v>
      </c>
      <c r="AA561" s="38">
        <v>434</v>
      </c>
      <c r="AB561" s="38">
        <v>594</v>
      </c>
      <c r="AC561" s="49" t="s">
        <v>506</v>
      </c>
      <c r="AD561" s="49" t="s">
        <v>506</v>
      </c>
      <c r="AE561" s="46" t="s">
        <v>289</v>
      </c>
    </row>
    <row r="562" spans="1:31" ht="15" thickBot="1">
      <c r="A562" s="34">
        <v>560</v>
      </c>
      <c r="B562" s="34" t="s">
        <v>253</v>
      </c>
      <c r="C562" s="41" t="s">
        <v>1356</v>
      </c>
      <c r="D562" s="34" t="s">
        <v>177</v>
      </c>
      <c r="E562" s="80">
        <f t="shared" si="56"/>
        <v>1.6034202574072249</v>
      </c>
      <c r="F562" s="35">
        <f t="shared" si="57"/>
        <v>38.030388056892896</v>
      </c>
      <c r="G562" s="42" cm="1">
        <f t="array" ref="G56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37.765580826378539</v>
      </c>
      <c r="H562" s="81" cm="1">
        <f t="array" ref="H5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1.5987452734273884</v>
      </c>
      <c r="I562" s="81" cm="1">
        <f t="array" ref="I5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1.6034202574072249</v>
      </c>
      <c r="J562" s="81" cm="1">
        <f t="array" ref="J5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1.6071822528225868</v>
      </c>
      <c r="K562" s="81" cm="1">
        <f t="array" ref="K5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1.6146120654386746</v>
      </c>
      <c r="L562" s="81" cm="1">
        <f t="array" ref="L5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1.6238074163306904</v>
      </c>
      <c r="M562" s="37">
        <f t="shared" si="58"/>
        <v>1.5866792011286268E-2</v>
      </c>
      <c r="N562" s="43">
        <f t="shared" si="59"/>
        <v>4.6749839798365667E-3</v>
      </c>
      <c r="O562" s="43">
        <f t="shared" si="60"/>
        <v>9.1953508920157301E-3</v>
      </c>
      <c r="P562" s="43">
        <f t="shared" si="61"/>
        <v>0.29463951985449777</v>
      </c>
      <c r="Q562" s="37">
        <f t="shared" si="62"/>
        <v>0.57953434351915312</v>
      </c>
      <c r="R562" s="37">
        <v>-2.9999999999999997E-4</v>
      </c>
      <c r="S562" s="44" t="s">
        <v>1393</v>
      </c>
      <c r="T562" s="45">
        <v>1.3104463</v>
      </c>
      <c r="U562" s="45">
        <v>0.19603425999999999</v>
      </c>
      <c r="V562" s="45">
        <v>0.96612977</v>
      </c>
      <c r="W562" s="45">
        <v>9.5863304800000004E-3</v>
      </c>
      <c r="X562" s="45">
        <v>4.5762762700000001E-2</v>
      </c>
      <c r="Y562" s="45">
        <v>115.011883</v>
      </c>
      <c r="Z562" s="36">
        <v>3.47</v>
      </c>
      <c r="AA562" s="38">
        <v>438</v>
      </c>
      <c r="AB562" s="38">
        <v>608</v>
      </c>
      <c r="AC562" s="49" t="s">
        <v>506</v>
      </c>
      <c r="AD562" s="49" t="s">
        <v>506</v>
      </c>
      <c r="AE562" s="46" t="s">
        <v>289</v>
      </c>
    </row>
    <row r="563" spans="1:31" ht="15" thickBot="1">
      <c r="A563" s="34">
        <v>561</v>
      </c>
      <c r="B563" s="34" t="s">
        <v>253</v>
      </c>
      <c r="C563" s="41" t="s">
        <v>1356</v>
      </c>
      <c r="D563" s="34" t="s">
        <v>178</v>
      </c>
      <c r="E563" s="80">
        <f t="shared" si="56"/>
        <v>1.4874799271639458</v>
      </c>
      <c r="F563" s="35">
        <f t="shared" si="57"/>
        <v>70.470803997578813</v>
      </c>
      <c r="G563" s="42" cm="1">
        <f t="array" ref="G56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70.290507487953391</v>
      </c>
      <c r="H563" s="81" cm="1">
        <f t="array" ref="H5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1.4853370963115915</v>
      </c>
      <c r="I563" s="81" cm="1">
        <f t="array" ref="I5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1.4874799271639458</v>
      </c>
      <c r="J563" s="81" cm="1">
        <f t="array" ref="J5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1.4891318713238089</v>
      </c>
      <c r="K563" s="81" cm="1">
        <f t="array" ref="K5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1.4922545699249292</v>
      </c>
      <c r="L563" s="81" cm="1">
        <f t="array" ref="L5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1.4959129187373141</v>
      </c>
      <c r="M563" s="37">
        <f t="shared" si="58"/>
        <v>6.9174736133377213E-3</v>
      </c>
      <c r="N563" s="43">
        <f t="shared" si="59"/>
        <v>2.1428308523543382E-3</v>
      </c>
      <c r="O563" s="43">
        <f t="shared" si="60"/>
        <v>3.658348812384915E-3</v>
      </c>
      <c r="P563" s="43">
        <f t="shared" si="61"/>
        <v>0.30977073020165957</v>
      </c>
      <c r="Q563" s="37">
        <f t="shared" si="62"/>
        <v>0.52885620052546045</v>
      </c>
      <c r="R563" s="37">
        <v>3.5999999999999999E-3</v>
      </c>
      <c r="S563" s="44" t="s">
        <v>1393</v>
      </c>
      <c r="T563" s="45">
        <v>0.90936218000000002</v>
      </c>
      <c r="U563" s="45">
        <v>0.27907705399999999</v>
      </c>
      <c r="V563" s="45">
        <v>0.89181329799999998</v>
      </c>
      <c r="W563" s="45">
        <v>5.2014247000000003E-3</v>
      </c>
      <c r="X563" s="45">
        <v>1.5893844599999998E-2</v>
      </c>
      <c r="Y563" s="45">
        <v>95.910944799999996</v>
      </c>
      <c r="Z563" s="36">
        <v>2.4500000000000002</v>
      </c>
      <c r="AA563" s="38">
        <v>466</v>
      </c>
      <c r="AB563" s="38">
        <v>672</v>
      </c>
      <c r="AC563" s="49" t="s">
        <v>506</v>
      </c>
      <c r="AD563" s="49" t="s">
        <v>506</v>
      </c>
      <c r="AE563" s="46"/>
    </row>
    <row r="564" spans="1:31" ht="15" thickBot="1">
      <c r="A564" s="34">
        <v>562</v>
      </c>
      <c r="B564" s="34" t="s">
        <v>253</v>
      </c>
      <c r="C564" s="41" t="s">
        <v>1355</v>
      </c>
      <c r="D564" s="34" t="s">
        <v>179</v>
      </c>
      <c r="E564" s="80">
        <f t="shared" si="56"/>
        <v>1.5013709761795844</v>
      </c>
      <c r="F564" s="35">
        <f t="shared" si="57"/>
        <v>56.409834693895995</v>
      </c>
      <c r="G564" s="42" cm="1">
        <f t="array" ref="G56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56.150971434312112</v>
      </c>
      <c r="H564" s="81" cm="1">
        <f t="array" ref="H5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1.4986717382284784</v>
      </c>
      <c r="I564" s="81" cm="1">
        <f t="array" ref="I5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1.5013709761795844</v>
      </c>
      <c r="J564" s="81" cm="1">
        <f t="array" ref="J5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1.503488597580021</v>
      </c>
      <c r="K564" s="81" cm="1">
        <f t="array" ref="K5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1.5075597447064311</v>
      </c>
      <c r="L564" s="81" cm="1">
        <f t="array" ref="L5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1.5124258232653796</v>
      </c>
      <c r="M564" s="37">
        <f t="shared" si="58"/>
        <v>8.8880064779526258E-3</v>
      </c>
      <c r="N564" s="43">
        <f t="shared" si="59"/>
        <v>2.6992379511059372E-3</v>
      </c>
      <c r="O564" s="43">
        <f t="shared" si="60"/>
        <v>4.8660785589484945E-3</v>
      </c>
      <c r="P564" s="43">
        <f t="shared" si="61"/>
        <v>0.30369441761789912</v>
      </c>
      <c r="Q564" s="37">
        <f t="shared" si="62"/>
        <v>0.54748818770769025</v>
      </c>
      <c r="R564" s="37">
        <v>-1.5E-3</v>
      </c>
      <c r="S564" s="44" t="s">
        <v>1393</v>
      </c>
      <c r="T564" s="45">
        <v>1.15687082</v>
      </c>
      <c r="U564" s="45">
        <v>6.4262544399999996E-2</v>
      </c>
      <c r="V564" s="45">
        <v>0.87237613899999999</v>
      </c>
      <c r="W564" s="45">
        <v>8.0942425100000003E-3</v>
      </c>
      <c r="X564" s="45">
        <v>3.8605128400000001E-2</v>
      </c>
      <c r="Y564" s="45">
        <v>104.74773</v>
      </c>
      <c r="Z564" s="36">
        <v>2.52</v>
      </c>
      <c r="AA564" s="38">
        <v>459</v>
      </c>
      <c r="AB564" s="38">
        <v>691</v>
      </c>
      <c r="AC564" s="49" t="s">
        <v>506</v>
      </c>
      <c r="AD564" s="49" t="s">
        <v>506</v>
      </c>
      <c r="AE564" s="46" t="s">
        <v>289</v>
      </c>
    </row>
    <row r="565" spans="1:31" ht="15" thickBot="1">
      <c r="A565" s="34">
        <v>563</v>
      </c>
      <c r="B565" s="34" t="s">
        <v>253</v>
      </c>
      <c r="C565" s="41" t="s">
        <v>1355</v>
      </c>
      <c r="D565" s="34" t="s">
        <v>1160</v>
      </c>
      <c r="E565" s="80">
        <f t="shared" si="56"/>
        <v>1.5234389996961619</v>
      </c>
      <c r="F565" s="35">
        <f t="shared" si="57"/>
        <v>56.760232246242602</v>
      </c>
      <c r="G565" s="42" cm="1">
        <f t="array" ref="G56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56.473653122207224</v>
      </c>
      <c r="H565" s="81" cm="1">
        <f t="array" ref="H5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1.520647053952888</v>
      </c>
      <c r="I565" s="81" cm="1">
        <f t="array" ref="I5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1.5234389996961619</v>
      </c>
      <c r="J565" s="81" cm="1">
        <f t="array" ref="J5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1.5256355401185653</v>
      </c>
      <c r="K565" s="81" cm="1">
        <f t="array" ref="K5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1.5298689859109063</v>
      </c>
      <c r="L565" s="81" cm="1">
        <f t="array" ref="L5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1.5349415522392753</v>
      </c>
      <c r="M565" s="37">
        <f t="shared" si="58"/>
        <v>9.2219319580182368E-3</v>
      </c>
      <c r="N565" s="43">
        <f t="shared" si="59"/>
        <v>2.7919457432739048E-3</v>
      </c>
      <c r="O565" s="43">
        <f t="shared" si="60"/>
        <v>5.0725663283690547E-3</v>
      </c>
      <c r="P565" s="43">
        <f t="shared" si="61"/>
        <v>0.30275063359650778</v>
      </c>
      <c r="Q565" s="37">
        <f t="shared" si="62"/>
        <v>0.55005462537148586</v>
      </c>
      <c r="R565" s="37">
        <v>1.6999999999999999E-3</v>
      </c>
      <c r="S565" s="44" t="s">
        <v>1393</v>
      </c>
      <c r="T565" s="45">
        <v>1.14094396</v>
      </c>
      <c r="U565" s="45">
        <v>0.14500119</v>
      </c>
      <c r="V565" s="45">
        <v>37.470578600000003</v>
      </c>
      <c r="W565" s="45">
        <v>6.9494547800000002E-3</v>
      </c>
      <c r="X565" s="45">
        <v>3.1057444399999998E-2</v>
      </c>
      <c r="Y565" s="45">
        <v>4536.2562399999997</v>
      </c>
      <c r="Z565" s="36">
        <v>2.593</v>
      </c>
      <c r="AA565" s="38">
        <v>483</v>
      </c>
      <c r="AB565" s="38">
        <v>679</v>
      </c>
      <c r="AC565" s="49" t="s">
        <v>506</v>
      </c>
      <c r="AD565" s="49" t="s">
        <v>506</v>
      </c>
      <c r="AE565" s="46" t="s">
        <v>1217</v>
      </c>
    </row>
    <row r="566" spans="1:31" ht="15" thickBot="1">
      <c r="A566" s="34">
        <v>564</v>
      </c>
      <c r="B566" s="34" t="s">
        <v>253</v>
      </c>
      <c r="C566" s="41" t="s">
        <v>1358</v>
      </c>
      <c r="D566" s="34" t="s">
        <v>1161</v>
      </c>
      <c r="E566" s="80">
        <f t="shared" si="56"/>
        <v>1.6906352521866677</v>
      </c>
      <c r="F566" s="35">
        <f t="shared" si="57"/>
        <v>54.762380046966264</v>
      </c>
      <c r="G566" s="42" cm="1">
        <f t="array" ref="G56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54.52571460322158</v>
      </c>
      <c r="H566" s="81" cm="1">
        <f t="array" ref="H5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1.6868017986875061</v>
      </c>
      <c r="I566" s="81" cm="1">
        <f t="array" ref="I5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1.6906352521866677</v>
      </c>
      <c r="J566" s="81" cm="1">
        <f t="array" ref="J5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1.6936405217744852</v>
      </c>
      <c r="K566" s="81" cm="1">
        <f t="array" ref="K5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1.6994132894882046</v>
      </c>
      <c r="L566" s="81" cm="1">
        <f t="array" ref="L5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1.7063020688867612</v>
      </c>
      <c r="M566" s="37">
        <f t="shared" si="58"/>
        <v>1.2611490800698455E-2</v>
      </c>
      <c r="N566" s="43">
        <f t="shared" si="59"/>
        <v>3.8334534991615321E-3</v>
      </c>
      <c r="O566" s="43">
        <f t="shared" si="60"/>
        <v>6.8887793985565882E-3</v>
      </c>
      <c r="P566" s="43">
        <f t="shared" si="61"/>
        <v>0.30396513463334773</v>
      </c>
      <c r="Q566" s="37">
        <f t="shared" si="62"/>
        <v>0.54623037889977855</v>
      </c>
      <c r="R566" s="37">
        <v>-5.4999999999999997E-3</v>
      </c>
      <c r="S566" s="44" t="s">
        <v>1393</v>
      </c>
      <c r="T566" s="45">
        <v>1.2877366699999999</v>
      </c>
      <c r="U566" s="45">
        <v>0.51824485300000001</v>
      </c>
      <c r="V566" s="45">
        <v>26.175610899999999</v>
      </c>
      <c r="W566" s="45">
        <v>5.5754191999999999E-3</v>
      </c>
      <c r="X566" s="45">
        <v>2.2367952399999998E-2</v>
      </c>
      <c r="Y566" s="45">
        <v>1892.2533000000001</v>
      </c>
      <c r="Z566" s="36">
        <v>3.5249999999999999</v>
      </c>
      <c r="AA566" s="38">
        <v>634</v>
      </c>
      <c r="AB566" s="38">
        <v>710</v>
      </c>
      <c r="AC566" s="49" t="s">
        <v>506</v>
      </c>
      <c r="AD566" s="49" t="s">
        <v>506</v>
      </c>
      <c r="AE566" s="46" t="s">
        <v>1218</v>
      </c>
    </row>
    <row r="567" spans="1:31" ht="15" thickBot="1">
      <c r="A567" s="34">
        <v>565</v>
      </c>
      <c r="B567" s="34" t="s">
        <v>253</v>
      </c>
      <c r="C567" s="41" t="s">
        <v>1358</v>
      </c>
      <c r="D567" s="34" t="s">
        <v>1162</v>
      </c>
      <c r="E567" s="80">
        <f t="shared" si="56"/>
        <v>2.0220402655664067</v>
      </c>
      <c r="F567" s="35">
        <f t="shared" si="57"/>
        <v>29.060154310379136</v>
      </c>
      <c r="G567" s="42" cm="1">
        <f t="array" ref="G56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28.844351414702935</v>
      </c>
      <c r="H567" s="81" cm="1">
        <f t="array" ref="H5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2.0118450087284701</v>
      </c>
      <c r="I567" s="81" cm="1">
        <f t="array" ref="I5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2.0220402655664067</v>
      </c>
      <c r="J567" s="81" cm="1">
        <f t="array" ref="J5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2.0303537151365907</v>
      </c>
      <c r="K567" s="81" cm="1">
        <f t="array" ref="K5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2.047014824230839</v>
      </c>
      <c r="L567" s="81" cm="1">
        <f t="array" ref="L5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2.0680548126571683</v>
      </c>
      <c r="M567" s="37">
        <f t="shared" si="58"/>
        <v>3.5169815502368973E-2</v>
      </c>
      <c r="N567" s="43">
        <f t="shared" si="59"/>
        <v>1.019525683793665E-2</v>
      </c>
      <c r="O567" s="43">
        <f t="shared" si="60"/>
        <v>2.1039988426329259E-2</v>
      </c>
      <c r="P567" s="43">
        <f t="shared" si="61"/>
        <v>0.28988656017401959</v>
      </c>
      <c r="Q567" s="37">
        <f t="shared" si="62"/>
        <v>0.59823994313851447</v>
      </c>
      <c r="R567" s="37">
        <v>3.3E-3</v>
      </c>
      <c r="S567" s="44" t="s">
        <v>1393</v>
      </c>
      <c r="T567" s="45">
        <v>2.45505861</v>
      </c>
      <c r="U567" s="45">
        <v>0.45300607700000001</v>
      </c>
      <c r="V567" s="45">
        <v>2.3851308000000002</v>
      </c>
      <c r="W567" s="45">
        <v>1.3567040400000001E-2</v>
      </c>
      <c r="X567" s="45">
        <v>5.4580301999999997E-2</v>
      </c>
      <c r="Y567" s="45">
        <v>167.90471500000001</v>
      </c>
      <c r="Z567" s="36">
        <v>5.41</v>
      </c>
      <c r="AA567" s="38">
        <v>774</v>
      </c>
      <c r="AB567" s="38" t="s">
        <v>248</v>
      </c>
      <c r="AC567" s="49" t="s">
        <v>506</v>
      </c>
      <c r="AD567" s="49" t="s">
        <v>506</v>
      </c>
      <c r="AE567" s="46"/>
    </row>
    <row r="568" spans="1:31" ht="15" thickBot="1">
      <c r="A568" s="34">
        <v>566</v>
      </c>
      <c r="B568" s="34" t="s">
        <v>253</v>
      </c>
      <c r="C568" s="41" t="s">
        <v>1356</v>
      </c>
      <c r="D568" s="34" t="s">
        <v>181</v>
      </c>
      <c r="E568" s="80">
        <f t="shared" si="56"/>
        <v>1.581440423418913</v>
      </c>
      <c r="F568" s="35">
        <f t="shared" si="57"/>
        <v>40.851805941338256</v>
      </c>
      <c r="G568" s="42" cm="1">
        <f t="array" ref="G56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40.574756589956039</v>
      </c>
      <c r="H568" s="81" cm="1">
        <f t="array" ref="H5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1.5772293585393924</v>
      </c>
      <c r="I568" s="81" cm="1">
        <f t="array" ref="I5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1.581440423418913</v>
      </c>
      <c r="J568" s="81" cm="1">
        <f t="array" ref="J5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1.5848176916938563</v>
      </c>
      <c r="K568" s="81" cm="1">
        <f t="array" ref="K5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1.591462277011928</v>
      </c>
      <c r="L568" s="81" cm="1">
        <f t="array" ref="L5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1.5996432772230103</v>
      </c>
      <c r="M568" s="37">
        <f t="shared" si="58"/>
        <v>1.4232918472535605E-2</v>
      </c>
      <c r="N568" s="43">
        <f t="shared" si="59"/>
        <v>4.2110648795206096E-3</v>
      </c>
      <c r="O568" s="43">
        <f t="shared" si="60"/>
        <v>8.1810002110822566E-3</v>
      </c>
      <c r="P568" s="43">
        <f t="shared" si="61"/>
        <v>0.29586798291906502</v>
      </c>
      <c r="Q568" s="37">
        <f t="shared" si="62"/>
        <v>0.5747942859975369</v>
      </c>
      <c r="R568" s="37">
        <v>-2.9999999999999997E-4</v>
      </c>
      <c r="S568" s="44" t="s">
        <v>1393</v>
      </c>
      <c r="T568" s="45">
        <v>1.2803562799999999</v>
      </c>
      <c r="U568" s="45">
        <v>0.163505973</v>
      </c>
      <c r="V568" s="45">
        <v>0.89393011200000005</v>
      </c>
      <c r="W568" s="45">
        <v>9.29854416E-3</v>
      </c>
      <c r="X568" s="45">
        <v>4.4913576900000002E-2</v>
      </c>
      <c r="Y568" s="45">
        <v>110.493685</v>
      </c>
      <c r="Z568" s="36">
        <v>3.22</v>
      </c>
      <c r="AA568" s="38">
        <v>419</v>
      </c>
      <c r="AB568" s="38">
        <v>585</v>
      </c>
      <c r="AC568" s="49" t="s">
        <v>506</v>
      </c>
      <c r="AD568" s="49" t="s">
        <v>506</v>
      </c>
      <c r="AE568" s="46" t="s">
        <v>289</v>
      </c>
    </row>
    <row r="569" spans="1:31" ht="15" thickBot="1">
      <c r="A569" s="34">
        <v>567</v>
      </c>
      <c r="B569" s="34" t="s">
        <v>253</v>
      </c>
      <c r="C569" s="41" t="s">
        <v>1356</v>
      </c>
      <c r="D569" s="34" t="s">
        <v>1163</v>
      </c>
      <c r="E569" s="80">
        <f t="shared" si="56"/>
        <v>1.5965503973523931</v>
      </c>
      <c r="F569" s="35">
        <f t="shared" si="57"/>
        <v>39.891581463611772</v>
      </c>
      <c r="G569" s="42" cm="1">
        <f t="array" ref="G56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39.601198772797183</v>
      </c>
      <c r="H569" s="81" cm="1">
        <f t="array" ref="H5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1.5921443766535586</v>
      </c>
      <c r="I569" s="81" cm="1">
        <f t="array" ref="I5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1.5965503973523931</v>
      </c>
      <c r="J569" s="81" cm="1">
        <f t="array" ref="J5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1.600095360685027</v>
      </c>
      <c r="K569" s="81" cm="1">
        <f t="array" ref="K5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1.6070986696513569</v>
      </c>
      <c r="L569" s="81" cm="1">
        <f t="array" ref="L5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1.615777737507855</v>
      </c>
      <c r="M569" s="37">
        <f t="shared" si="58"/>
        <v>1.495429299779838E-2</v>
      </c>
      <c r="N569" s="43">
        <f t="shared" si="59"/>
        <v>4.4060206988345563E-3</v>
      </c>
      <c r="O569" s="43">
        <f t="shared" si="60"/>
        <v>8.6790678564980794E-3</v>
      </c>
      <c r="P569" s="43">
        <f t="shared" si="61"/>
        <v>0.29463249780402356</v>
      </c>
      <c r="Q569" s="37">
        <f t="shared" si="62"/>
        <v>0.58037299775896056</v>
      </c>
      <c r="R569" s="37">
        <v>3.5999999999999999E-3</v>
      </c>
      <c r="S569" s="44" t="s">
        <v>1393</v>
      </c>
      <c r="T569" s="45">
        <v>1.34611327</v>
      </c>
      <c r="U569" s="45">
        <v>0.14242801799999999</v>
      </c>
      <c r="V569" s="45">
        <v>0.90047717599999999</v>
      </c>
      <c r="W569" s="45">
        <v>9.7174384999999999E-3</v>
      </c>
      <c r="X569" s="45">
        <v>5.0191161900000003E-2</v>
      </c>
      <c r="Y569" s="45">
        <v>111.959703</v>
      </c>
      <c r="Z569" s="36">
        <v>3.3</v>
      </c>
      <c r="AA569" s="38">
        <v>474</v>
      </c>
      <c r="AB569" s="38">
        <v>606</v>
      </c>
      <c r="AC569" s="49" t="s">
        <v>506</v>
      </c>
      <c r="AD569" s="49" t="s">
        <v>506</v>
      </c>
      <c r="AE569" s="46" t="s">
        <v>1217</v>
      </c>
    </row>
    <row r="570" spans="1:31" ht="15" thickBot="1">
      <c r="A570" s="34">
        <v>568</v>
      </c>
      <c r="B570" s="34" t="s">
        <v>253</v>
      </c>
      <c r="C570" s="41" t="s">
        <v>1356</v>
      </c>
      <c r="D570" s="34" t="s">
        <v>182</v>
      </c>
      <c r="E570" s="80">
        <f t="shared" si="56"/>
        <v>1.5814427886522122</v>
      </c>
      <c r="F570" s="35">
        <f t="shared" si="57"/>
        <v>40.890336999060835</v>
      </c>
      <c r="G570" s="42" cm="1">
        <f t="array" ref="G57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40.613651356030147</v>
      </c>
      <c r="H570" s="81" cm="1">
        <f t="array" ref="H5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1.5772350944207947</v>
      </c>
      <c r="I570" s="81" cm="1">
        <f t="array" ref="I5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1.5814427886522122</v>
      </c>
      <c r="J570" s="81" cm="1">
        <f t="array" ref="J5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1.5848170130775534</v>
      </c>
      <c r="K570" s="81" cm="1">
        <f t="array" ref="K5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1.591454659025155</v>
      </c>
      <c r="L570" s="81" cm="1">
        <f t="array" ref="L5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1.5996254965412842</v>
      </c>
      <c r="M570" s="37">
        <f t="shared" si="58"/>
        <v>1.4219564604360357E-2</v>
      </c>
      <c r="N570" s="43">
        <f t="shared" si="59"/>
        <v>4.2076942314175358E-3</v>
      </c>
      <c r="O570" s="43">
        <f t="shared" si="60"/>
        <v>8.1708375161291258E-3</v>
      </c>
      <c r="P570" s="43">
        <f t="shared" si="61"/>
        <v>0.29590879527543817</v>
      </c>
      <c r="Q570" s="37">
        <f t="shared" si="62"/>
        <v>0.57461938838996374</v>
      </c>
      <c r="R570" s="37">
        <v>-4.0000000000000002E-4</v>
      </c>
      <c r="S570" s="44" t="s">
        <v>1393</v>
      </c>
      <c r="T570" s="45">
        <v>1.28552924</v>
      </c>
      <c r="U570" s="45">
        <v>0.158357622</v>
      </c>
      <c r="V570" s="45">
        <v>0.89217512200000004</v>
      </c>
      <c r="W570" s="45">
        <v>9.3988626000000002E-3</v>
      </c>
      <c r="X570" s="45">
        <v>4.52566659E-2</v>
      </c>
      <c r="Y570" s="45">
        <v>110.54482899999999</v>
      </c>
      <c r="Z570" s="36">
        <v>3.22</v>
      </c>
      <c r="AA570" s="38">
        <v>419</v>
      </c>
      <c r="AB570" s="38">
        <v>585</v>
      </c>
      <c r="AC570" s="49" t="s">
        <v>506</v>
      </c>
      <c r="AD570" s="49" t="s">
        <v>506</v>
      </c>
      <c r="AE570" s="46"/>
    </row>
    <row r="571" spans="1:31" ht="15" thickBot="1">
      <c r="A571" s="34">
        <v>569</v>
      </c>
      <c r="B571" s="34" t="s">
        <v>253</v>
      </c>
      <c r="C571" s="41" t="s">
        <v>1356</v>
      </c>
      <c r="D571" s="34" t="s">
        <v>183</v>
      </c>
      <c r="E571" s="80">
        <f t="shared" si="56"/>
        <v>1.5481400960289704</v>
      </c>
      <c r="F571" s="35">
        <f t="shared" si="57"/>
        <v>45.750612745729974</v>
      </c>
      <c r="G571" s="42" cm="1">
        <f t="array" ref="G57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45.467010812553497</v>
      </c>
      <c r="H571" s="81" cm="1">
        <f t="array" ref="H5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1.5445656546057267</v>
      </c>
      <c r="I571" s="81" cm="1">
        <f t="array" ref="I5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1.5481400960289704</v>
      </c>
      <c r="J571" s="81" cm="1">
        <f t="array" ref="J5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1.5509867880256871</v>
      </c>
      <c r="K571" s="81" cm="1">
        <f t="array" ref="K5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1.5565466984242082</v>
      </c>
      <c r="L571" s="81" cm="1">
        <f t="array" ref="L5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1.5633281230806158</v>
      </c>
      <c r="M571" s="37">
        <f t="shared" si="58"/>
        <v>1.1981043818481529E-2</v>
      </c>
      <c r="N571" s="43">
        <f t="shared" si="59"/>
        <v>3.5744414232437016E-3</v>
      </c>
      <c r="O571" s="43">
        <f t="shared" si="60"/>
        <v>6.7814246564075198E-3</v>
      </c>
      <c r="P571" s="43">
        <f t="shared" si="61"/>
        <v>0.29834140308625667</v>
      </c>
      <c r="Q571" s="37">
        <f t="shared" si="62"/>
        <v>0.56601284154780707</v>
      </c>
      <c r="R571" s="37">
        <v>-8.9999999999999998E-4</v>
      </c>
      <c r="S571" s="44" t="s">
        <v>1393</v>
      </c>
      <c r="T571" s="45">
        <v>1.2164012500000001</v>
      </c>
      <c r="U571" s="45">
        <v>0.13366454</v>
      </c>
      <c r="V571" s="45">
        <v>0.88339946800000002</v>
      </c>
      <c r="W571" s="45">
        <v>8.5780724800000006E-3</v>
      </c>
      <c r="X571" s="45">
        <v>4.2014300300000001E-2</v>
      </c>
      <c r="Y571" s="45">
        <v>107.59305999999999</v>
      </c>
      <c r="Z571" s="36">
        <v>2.94</v>
      </c>
      <c r="AA571" s="38">
        <v>431</v>
      </c>
      <c r="AB571" s="38">
        <v>628</v>
      </c>
      <c r="AC571" s="49" t="s">
        <v>506</v>
      </c>
      <c r="AD571" s="49" t="s">
        <v>506</v>
      </c>
      <c r="AE571" s="46" t="s">
        <v>289</v>
      </c>
    </row>
    <row r="572" spans="1:31" ht="15" thickBot="1">
      <c r="A572" s="34">
        <v>570</v>
      </c>
      <c r="B572" s="34" t="s">
        <v>253</v>
      </c>
      <c r="C572" s="41" t="s">
        <v>1356</v>
      </c>
      <c r="D572" s="34" t="s">
        <v>184</v>
      </c>
      <c r="E572" s="80">
        <f t="shared" si="56"/>
        <v>1.5481499354756845</v>
      </c>
      <c r="F572" s="35">
        <f t="shared" si="57"/>
        <v>45.900726703569227</v>
      </c>
      <c r="G572" s="42" cm="1">
        <f t="array" ref="G57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45.618019473511517</v>
      </c>
      <c r="H572" s="81" cm="1">
        <f t="array" ref="H5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1.5445856750486715</v>
      </c>
      <c r="I572" s="81" cm="1">
        <f t="array" ref="I5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1.5481499354756845</v>
      </c>
      <c r="J572" s="81" cm="1">
        <f t="array" ref="J5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1.5509875179014967</v>
      </c>
      <c r="K572" s="81" cm="1">
        <f t="array" ref="K5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1.5565277503673409</v>
      </c>
      <c r="L572" s="81" cm="1">
        <f t="array" ref="L5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1.5632827634207067</v>
      </c>
      <c r="M572" s="37">
        <f t="shared" si="58"/>
        <v>1.1942075318669421E-2</v>
      </c>
      <c r="N572" s="43">
        <f t="shared" si="59"/>
        <v>3.5642604270129663E-3</v>
      </c>
      <c r="O572" s="43">
        <f t="shared" si="60"/>
        <v>6.7550130533657882E-3</v>
      </c>
      <c r="P572" s="43">
        <f t="shared" si="61"/>
        <v>0.2984623971882715</v>
      </c>
      <c r="Q572" s="37">
        <f t="shared" si="62"/>
        <v>0.56564817028121273</v>
      </c>
      <c r="R572" s="37">
        <v>-1E-3</v>
      </c>
      <c r="S572" s="44" t="s">
        <v>1393</v>
      </c>
      <c r="T572" s="45">
        <v>1.2251044499999999</v>
      </c>
      <c r="U572" s="45">
        <v>0.125155671</v>
      </c>
      <c r="V572" s="45">
        <v>0.89223675099999999</v>
      </c>
      <c r="W572" s="45">
        <v>8.7043209799999993E-3</v>
      </c>
      <c r="X572" s="45">
        <v>4.2732523500000001E-2</v>
      </c>
      <c r="Y572" s="45">
        <v>108.04996800000001</v>
      </c>
      <c r="Z572" s="36">
        <v>2.94</v>
      </c>
      <c r="AA572" s="38">
        <v>431</v>
      </c>
      <c r="AB572" s="38">
        <v>628</v>
      </c>
      <c r="AC572" s="49" t="s">
        <v>506</v>
      </c>
      <c r="AD572" s="49" t="s">
        <v>506</v>
      </c>
      <c r="AE572" s="46" t="s">
        <v>248</v>
      </c>
    </row>
    <row r="573" spans="1:31" ht="15" thickBot="1">
      <c r="A573" s="34">
        <v>571</v>
      </c>
      <c r="B573" s="34" t="s">
        <v>253</v>
      </c>
      <c r="C573" s="41" t="s">
        <v>1355</v>
      </c>
      <c r="D573" s="34" t="s">
        <v>1164</v>
      </c>
      <c r="E573" s="80">
        <f t="shared" si="56"/>
        <v>1.670029827754852</v>
      </c>
      <c r="F573" s="35">
        <f t="shared" si="57"/>
        <v>47.112690204875285</v>
      </c>
      <c r="G573" s="42" cm="1">
        <f t="array" ref="G57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46.828672723613593</v>
      </c>
      <c r="H573" s="81" cm="1">
        <f t="array" ref="H5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1.6657783426984103</v>
      </c>
      <c r="I573" s="81" cm="1">
        <f t="array" ref="I5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1.670029827754852</v>
      </c>
      <c r="J573" s="81" cm="1">
        <f t="array" ref="J5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1.6734110957441668</v>
      </c>
      <c r="K573" s="81" cm="1">
        <f t="array" ref="K5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1.6800001972526959</v>
      </c>
      <c r="L573" s="81" cm="1">
        <f t="array" ref="L5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1.6880066922716181</v>
      </c>
      <c r="M573" s="37">
        <f t="shared" si="58"/>
        <v>1.4221854554285596E-2</v>
      </c>
      <c r="N573" s="43">
        <f t="shared" si="59"/>
        <v>4.251485056441684E-3</v>
      </c>
      <c r="O573" s="43">
        <f t="shared" si="60"/>
        <v>8.006495018922255E-3</v>
      </c>
      <c r="P573" s="43">
        <f t="shared" si="61"/>
        <v>0.29894027113085242</v>
      </c>
      <c r="Q573" s="37">
        <f t="shared" si="62"/>
        <v>0.562971234754302</v>
      </c>
      <c r="R573" s="37">
        <v>-1.6000000000000001E-3</v>
      </c>
      <c r="S573" s="44" t="s">
        <v>1393</v>
      </c>
      <c r="T573" s="45">
        <v>1.5851495</v>
      </c>
      <c r="U573" s="45">
        <v>0.14355938500000001</v>
      </c>
      <c r="V573" s="45">
        <v>1.0852126900000001</v>
      </c>
      <c r="W573" s="45">
        <v>9.2668128199999995E-3</v>
      </c>
      <c r="X573" s="45">
        <v>4.2448980499999997E-2</v>
      </c>
      <c r="Y573" s="45">
        <v>105.613573</v>
      </c>
      <c r="Z573" s="36">
        <v>3.7450000000000001</v>
      </c>
      <c r="AA573" s="38">
        <v>660</v>
      </c>
      <c r="AB573" s="38">
        <v>790</v>
      </c>
      <c r="AC573" s="49" t="s">
        <v>506</v>
      </c>
      <c r="AD573" s="49" t="s">
        <v>506</v>
      </c>
      <c r="AE573" s="46" t="s">
        <v>248</v>
      </c>
    </row>
    <row r="574" spans="1:31" ht="15" thickBot="1">
      <c r="A574" s="34">
        <v>572</v>
      </c>
      <c r="B574" s="34" t="s">
        <v>253</v>
      </c>
      <c r="C574" s="41" t="s">
        <v>1355</v>
      </c>
      <c r="D574" s="34" t="s">
        <v>1165</v>
      </c>
      <c r="E574" s="80">
        <f t="shared" si="56"/>
        <v>1.6056829142455458</v>
      </c>
      <c r="F574" s="35">
        <f t="shared" si="57"/>
        <v>43.721265940708456</v>
      </c>
      <c r="G574" s="42" cm="1">
        <f t="array" ref="G57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43.431737468034981</v>
      </c>
      <c r="H574" s="81" cm="1">
        <f t="array" ref="H5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1.6015659320854694</v>
      </c>
      <c r="I574" s="81" cm="1">
        <f t="array" ref="I5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1.6056829142455458</v>
      </c>
      <c r="J574" s="81" cm="1">
        <f t="array" ref="J5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1.6089693991878244</v>
      </c>
      <c r="K574" s="81" cm="1">
        <f t="array" ref="K5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1.6154192115185702</v>
      </c>
      <c r="L574" s="81" cm="1">
        <f t="array" ref="L5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1.6233617149182564</v>
      </c>
      <c r="M574" s="37">
        <f t="shared" si="58"/>
        <v>1.3853279433100774E-2</v>
      </c>
      <c r="N574" s="43">
        <f t="shared" si="59"/>
        <v>4.1169821600763878E-3</v>
      </c>
      <c r="O574" s="43">
        <f t="shared" si="60"/>
        <v>7.9425033996862737E-3</v>
      </c>
      <c r="P574" s="43">
        <f t="shared" si="61"/>
        <v>0.29718466157835133</v>
      </c>
      <c r="Q574" s="37">
        <f t="shared" si="62"/>
        <v>0.5733301950662022</v>
      </c>
      <c r="R574" s="37">
        <v>3.0000000000000001E-3</v>
      </c>
      <c r="S574" s="44" t="s">
        <v>1393</v>
      </c>
      <c r="T574" s="45">
        <v>1.4205632800000001</v>
      </c>
      <c r="U574" s="45">
        <v>0.102721269</v>
      </c>
      <c r="V574" s="45">
        <v>1.1438097599999999</v>
      </c>
      <c r="W574" s="45">
        <v>9.4201538200000007E-3</v>
      </c>
      <c r="X574" s="45">
        <v>5.3108729100000002E-2</v>
      </c>
      <c r="Y574" s="45">
        <v>110.278856</v>
      </c>
      <c r="Z574" s="36">
        <v>2.8889999999999998</v>
      </c>
      <c r="AA574" s="38">
        <v>580</v>
      </c>
      <c r="AB574" s="38">
        <v>709</v>
      </c>
      <c r="AC574" s="49" t="s">
        <v>506</v>
      </c>
      <c r="AD574" s="49" t="s">
        <v>506</v>
      </c>
      <c r="AE574" s="46" t="s">
        <v>248</v>
      </c>
    </row>
    <row r="575" spans="1:31" ht="15" thickBot="1">
      <c r="A575" s="34">
        <v>573</v>
      </c>
      <c r="B575" s="34" t="s">
        <v>253</v>
      </c>
      <c r="C575" s="41" t="s">
        <v>1355</v>
      </c>
      <c r="D575" s="34" t="s">
        <v>1166</v>
      </c>
      <c r="E575" s="80">
        <f t="shared" si="56"/>
        <v>1.6522399181121505</v>
      </c>
      <c r="F575" s="35">
        <f t="shared" si="57"/>
        <v>44.959966352956094</v>
      </c>
      <c r="G575" s="42" cm="1">
        <f t="array" ref="G57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44.673525701266236</v>
      </c>
      <c r="H575" s="81" cm="1">
        <f t="array" ref="H5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1.6479208487610504</v>
      </c>
      <c r="I575" s="81" cm="1">
        <f t="array" ref="I5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1.6522399181121505</v>
      </c>
      <c r="J575" s="81" cm="1">
        <f t="array" ref="J5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1.6556870844852543</v>
      </c>
      <c r="K575" s="81" cm="1">
        <f t="array" ref="K5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1.6624279752342281</v>
      </c>
      <c r="L575" s="81" cm="1">
        <f t="array" ref="L5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1.6706534137125646</v>
      </c>
      <c r="M575" s="37">
        <f t="shared" si="58"/>
        <v>1.4507126473177756E-2</v>
      </c>
      <c r="N575" s="43">
        <f t="shared" si="59"/>
        <v>4.3190693511001577E-3</v>
      </c>
      <c r="O575" s="43">
        <f t="shared" si="60"/>
        <v>8.2254384783364554E-3</v>
      </c>
      <c r="P575" s="43">
        <f t="shared" si="61"/>
        <v>0.29772052784441427</v>
      </c>
      <c r="Q575" s="37">
        <f t="shared" si="62"/>
        <v>0.56699295298379582</v>
      </c>
      <c r="R575" s="37">
        <v>-1.1999999999999999E-3</v>
      </c>
      <c r="S575" s="44" t="s">
        <v>1393</v>
      </c>
      <c r="T575" s="45">
        <v>1.51503623</v>
      </c>
      <c r="U575" s="45">
        <v>0.153621958</v>
      </c>
      <c r="V575" s="45">
        <v>1.15427909</v>
      </c>
      <c r="W575" s="45">
        <v>9.4273471499999994E-3</v>
      </c>
      <c r="X575" s="45">
        <v>4.308265E-2</v>
      </c>
      <c r="Y575" s="45">
        <v>124.88986800000001</v>
      </c>
      <c r="Z575" s="36">
        <v>3.3330000000000002</v>
      </c>
      <c r="AA575" s="38">
        <v>569</v>
      </c>
      <c r="AB575" s="38">
        <v>712</v>
      </c>
      <c r="AC575" s="49" t="s">
        <v>506</v>
      </c>
      <c r="AD575" s="49" t="s">
        <v>506</v>
      </c>
      <c r="AE575" s="46" t="s">
        <v>248</v>
      </c>
    </row>
    <row r="576" spans="1:31" ht="15" thickBot="1">
      <c r="A576" s="34">
        <v>574</v>
      </c>
      <c r="B576" s="34" t="s">
        <v>253</v>
      </c>
      <c r="C576" s="41" t="s">
        <v>1355</v>
      </c>
      <c r="D576" s="34" t="s">
        <v>1167</v>
      </c>
      <c r="E576" s="80">
        <f t="shared" si="56"/>
        <v>1.6086310122297309</v>
      </c>
      <c r="F576" s="35">
        <f t="shared" si="57"/>
        <v>46.597964499474706</v>
      </c>
      <c r="G576" s="42" cm="1">
        <f t="array" ref="G57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46.304820071600496</v>
      </c>
      <c r="H576" s="81" cm="1">
        <f t="array" ref="H5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1.6047321647574875</v>
      </c>
      <c r="I576" s="81" cm="1">
        <f t="array" ref="I5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1.6086310122297309</v>
      </c>
      <c r="J576" s="81" cm="1">
        <f t="array" ref="J5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1.6117324824358259</v>
      </c>
      <c r="K576" s="81" cm="1">
        <f t="array" ref="K5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1.6177934866149388</v>
      </c>
      <c r="L576" s="81" cm="1">
        <f t="array" ref="L5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1.6252108715164846</v>
      </c>
      <c r="M576" s="37">
        <f t="shared" si="58"/>
        <v>1.3061321857451347E-2</v>
      </c>
      <c r="N576" s="43">
        <f t="shared" si="59"/>
        <v>3.8988474722434496E-3</v>
      </c>
      <c r="O576" s="43">
        <f t="shared" si="60"/>
        <v>7.4173849015457538E-3</v>
      </c>
      <c r="P576" s="43">
        <f t="shared" si="61"/>
        <v>0.29850328433788637</v>
      </c>
      <c r="Q576" s="37">
        <f t="shared" si="62"/>
        <v>0.56788929807393218</v>
      </c>
      <c r="R576" s="37">
        <v>2.3999999999999998E-3</v>
      </c>
      <c r="S576" s="44" t="s">
        <v>1393</v>
      </c>
      <c r="T576" s="45">
        <v>1.4390343299999999</v>
      </c>
      <c r="U576" s="45">
        <v>9.6704605200000002E-2</v>
      </c>
      <c r="V576" s="45">
        <v>1.0987581799999999</v>
      </c>
      <c r="W576" s="45">
        <v>9.0780012799999994E-3</v>
      </c>
      <c r="X576" s="45">
        <v>5.0821208E-2</v>
      </c>
      <c r="Y576" s="45">
        <v>105.691856</v>
      </c>
      <c r="Z576" s="36">
        <v>3.0449999999999999</v>
      </c>
      <c r="AA576" s="38">
        <v>594</v>
      </c>
      <c r="AB576" s="38">
        <v>716</v>
      </c>
      <c r="AC576" s="49" t="s">
        <v>506</v>
      </c>
      <c r="AD576" s="49" t="s">
        <v>506</v>
      </c>
      <c r="AE576" s="46" t="s">
        <v>248</v>
      </c>
    </row>
    <row r="577" spans="1:31" ht="15" thickBot="1">
      <c r="A577" s="34">
        <v>575</v>
      </c>
      <c r="B577" s="34" t="s">
        <v>253</v>
      </c>
      <c r="C577" s="41" t="s">
        <v>1355</v>
      </c>
      <c r="D577" s="34" t="s">
        <v>1168</v>
      </c>
      <c r="E577" s="80">
        <f t="shared" si="56"/>
        <v>1.5725001213862162</v>
      </c>
      <c r="F577" s="35">
        <f t="shared" si="57"/>
        <v>57.549993602801422</v>
      </c>
      <c r="G577" s="42" cm="1">
        <f t="array" ref="G57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57.26517660119336</v>
      </c>
      <c r="H577" s="81" cm="1">
        <f t="array" ref="H5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1.5694865765528137</v>
      </c>
      <c r="I577" s="81" cm="1">
        <f t="array" ref="I5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1.5725001213862162</v>
      </c>
      <c r="J577" s="81" cm="1">
        <f t="array" ref="J5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1.5748714979699248</v>
      </c>
      <c r="K577" s="81" cm="1">
        <f t="array" ref="K5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1.5794344511839995</v>
      </c>
      <c r="L577" s="81" cm="1">
        <f t="array" ref="L5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1.5848782711661533</v>
      </c>
      <c r="M577" s="37">
        <f t="shared" si="58"/>
        <v>9.947874631185849E-3</v>
      </c>
      <c r="N577" s="43">
        <f t="shared" si="59"/>
        <v>3.0135448334025483E-3</v>
      </c>
      <c r="O577" s="43">
        <f t="shared" si="60"/>
        <v>5.4438199821538191E-3</v>
      </c>
      <c r="P577" s="43">
        <f t="shared" si="61"/>
        <v>0.30293353556701536</v>
      </c>
      <c r="Q577" s="37">
        <f t="shared" si="62"/>
        <v>0.54723447811534009</v>
      </c>
      <c r="R577" s="37">
        <v>2.0000000000000001E-4</v>
      </c>
      <c r="S577" s="44" t="s">
        <v>1393</v>
      </c>
      <c r="T577" s="45">
        <v>1.12365662</v>
      </c>
      <c r="U577" s="45">
        <v>0.30927684799999999</v>
      </c>
      <c r="V577" s="45">
        <v>0.88151195699999996</v>
      </c>
      <c r="W577" s="45">
        <v>6.44742752E-3</v>
      </c>
      <c r="X577" s="45">
        <v>2.2228440200000001E-2</v>
      </c>
      <c r="Y577" s="45">
        <v>107.29775100000001</v>
      </c>
      <c r="Z577" s="36">
        <v>3.19</v>
      </c>
      <c r="AA577" s="38">
        <v>592</v>
      </c>
      <c r="AB577" s="38">
        <v>746</v>
      </c>
      <c r="AC577" s="49" t="s">
        <v>506</v>
      </c>
      <c r="AD577" s="49" t="s">
        <v>506</v>
      </c>
      <c r="AE577" s="46" t="s">
        <v>248</v>
      </c>
    </row>
    <row r="578" spans="1:31" ht="15" thickBot="1">
      <c r="A578" s="34">
        <v>576</v>
      </c>
      <c r="B578" s="34" t="s">
        <v>253</v>
      </c>
      <c r="C578" s="41" t="s">
        <v>1355</v>
      </c>
      <c r="D578" s="34" t="s">
        <v>1169</v>
      </c>
      <c r="E578" s="80">
        <f t="shared" si="56"/>
        <v>1.5399600930217325</v>
      </c>
      <c r="F578" s="35">
        <f t="shared" si="57"/>
        <v>59.709293800229588</v>
      </c>
      <c r="G578" s="42" cm="1">
        <f t="array" ref="G57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59.439797934459506</v>
      </c>
      <c r="H578" s="81" cm="1">
        <f t="array" ref="H5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1.5372091505376095</v>
      </c>
      <c r="I578" s="81" cm="1">
        <f t="array" ref="I5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1.5399600930217325</v>
      </c>
      <c r="J578" s="81" cm="1">
        <f t="array" ref="J5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1.5421165558036474</v>
      </c>
      <c r="K578" s="81" cm="1">
        <f t="array" ref="K5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1.5462523004168944</v>
      </c>
      <c r="L578" s="81" cm="1">
        <f t="array" ref="L5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1.5511696438565035</v>
      </c>
      <c r="M578" s="37">
        <f t="shared" si="58"/>
        <v>9.0431498792848952E-3</v>
      </c>
      <c r="N578" s="43">
        <f t="shared" si="59"/>
        <v>2.7509424841229979E-3</v>
      </c>
      <c r="O578" s="43">
        <f t="shared" si="60"/>
        <v>4.9173434396090343E-3</v>
      </c>
      <c r="P578" s="43">
        <f t="shared" si="61"/>
        <v>0.30420180145687625</v>
      </c>
      <c r="Q578" s="37">
        <f t="shared" si="62"/>
        <v>0.54376445212670554</v>
      </c>
      <c r="R578" s="37">
        <v>4.0000000000000002E-4</v>
      </c>
      <c r="S578" s="44" t="s">
        <v>1393</v>
      </c>
      <c r="T578" s="45">
        <v>1.01662154</v>
      </c>
      <c r="U578" s="45">
        <v>0.31990305099999999</v>
      </c>
      <c r="V578" s="45">
        <v>0.93723299500000001</v>
      </c>
      <c r="W578" s="45">
        <v>5.9238376299999996E-3</v>
      </c>
      <c r="X578" s="45">
        <v>2.0382841499999999E-2</v>
      </c>
      <c r="Y578" s="45">
        <v>113.11841699999999</v>
      </c>
      <c r="Z578" s="36">
        <v>2.86</v>
      </c>
      <c r="AA578" s="38">
        <v>554</v>
      </c>
      <c r="AB578" s="38">
        <v>727</v>
      </c>
      <c r="AC578" s="49" t="s">
        <v>506</v>
      </c>
      <c r="AD578" s="49" t="s">
        <v>506</v>
      </c>
      <c r="AE578" s="46" t="s">
        <v>248</v>
      </c>
    </row>
    <row r="579" spans="1:31" ht="15" thickBot="1">
      <c r="A579" s="34">
        <v>577</v>
      </c>
      <c r="B579" s="34" t="s">
        <v>253</v>
      </c>
      <c r="C579" s="41" t="s">
        <v>1355</v>
      </c>
      <c r="D579" s="34" t="s">
        <v>1170</v>
      </c>
      <c r="E579" s="80">
        <f t="shared" ref="E579:E642" si="63">I579</f>
        <v>1.5688274865292562</v>
      </c>
      <c r="F579" s="35">
        <f t="shared" ref="F579:F642" si="64">(I579-1)/M579</f>
        <v>55.976465596962306</v>
      </c>
      <c r="G579" s="42" cm="1">
        <f t="array" ref="G57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55.702651404324591</v>
      </c>
      <c r="H579" s="81" cm="1">
        <f t="array" ref="H5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1.5657494210292338</v>
      </c>
      <c r="I579" s="81" cm="1">
        <f t="array" ref="I5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1.5688274865292562</v>
      </c>
      <c r="J579" s="81" cm="1">
        <f t="array" ref="J5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1.5712487825276946</v>
      </c>
      <c r="K579" s="81" cm="1">
        <f t="array" ref="K5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1.5759113253306751</v>
      </c>
      <c r="L579" s="81" cm="1">
        <f t="array" ref="L5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1.5814872728666389</v>
      </c>
      <c r="M579" s="37">
        <f t="shared" ref="M579:M642" si="65">K579-H579</f>
        <v>1.0161904301441371E-2</v>
      </c>
      <c r="N579" s="43">
        <f t="shared" ref="N579:N642" si="66">I579-H579</f>
        <v>3.0780655000224311E-3</v>
      </c>
      <c r="O579" s="43">
        <f t="shared" ref="O579:O642" si="67">L579-K579</f>
        <v>5.5759475359637989E-3</v>
      </c>
      <c r="P579" s="43">
        <f t="shared" ref="P579:P642" si="68">(I579-H579)/M579</f>
        <v>0.30290242937889467</v>
      </c>
      <c r="Q579" s="37">
        <f t="shared" ref="Q579:Q642" si="69">(L579-K579)/M579</f>
        <v>0.5487108882901901</v>
      </c>
      <c r="R579" s="37">
        <v>-1E-3</v>
      </c>
      <c r="S579" s="44" t="s">
        <v>1393</v>
      </c>
      <c r="T579" s="45">
        <v>1.2883464200000001</v>
      </c>
      <c r="U579" s="45">
        <v>0.132817724</v>
      </c>
      <c r="V579" s="45">
        <v>0.94539537299999998</v>
      </c>
      <c r="W579" s="45">
        <v>7.7998062600000001E-3</v>
      </c>
      <c r="X579" s="45">
        <v>3.1563117699999997E-2</v>
      </c>
      <c r="Y579" s="45">
        <v>105.965875</v>
      </c>
      <c r="Z579" s="36">
        <v>3.0459999999999998</v>
      </c>
      <c r="AA579" s="38">
        <v>581</v>
      </c>
      <c r="AB579" s="38">
        <v>725</v>
      </c>
      <c r="AC579" s="49" t="s">
        <v>506</v>
      </c>
      <c r="AD579" s="49" t="s">
        <v>506</v>
      </c>
      <c r="AE579" s="46" t="s">
        <v>248</v>
      </c>
    </row>
    <row r="580" spans="1:31" ht="15" thickBot="1">
      <c r="A580" s="34">
        <v>578</v>
      </c>
      <c r="B580" s="34" t="s">
        <v>253</v>
      </c>
      <c r="C580" s="41" t="s">
        <v>1355</v>
      </c>
      <c r="D580" s="34" t="s">
        <v>1171</v>
      </c>
      <c r="E580" s="80">
        <f t="shared" si="63"/>
        <v>1.5688274865292562</v>
      </c>
      <c r="F580" s="35">
        <f t="shared" si="64"/>
        <v>55.976465596962306</v>
      </c>
      <c r="G580" s="42" cm="1">
        <f t="array" ref="G58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55.702651404324591</v>
      </c>
      <c r="H580" s="81" cm="1">
        <f t="array" ref="H5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1.5657494210292338</v>
      </c>
      <c r="I580" s="81" cm="1">
        <f t="array" ref="I5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1.5688274865292562</v>
      </c>
      <c r="J580" s="81" cm="1">
        <f t="array" ref="J5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1.5712487825276946</v>
      </c>
      <c r="K580" s="81" cm="1">
        <f t="array" ref="K5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1.5759113253306751</v>
      </c>
      <c r="L580" s="81" cm="1">
        <f t="array" ref="L5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1.5814872728666389</v>
      </c>
      <c r="M580" s="37">
        <f t="shared" si="65"/>
        <v>1.0161904301441371E-2</v>
      </c>
      <c r="N580" s="43">
        <f t="shared" si="66"/>
        <v>3.0780655000224311E-3</v>
      </c>
      <c r="O580" s="43">
        <f t="shared" si="67"/>
        <v>5.5759475359637989E-3</v>
      </c>
      <c r="P580" s="43">
        <f t="shared" si="68"/>
        <v>0.30290242937889467</v>
      </c>
      <c r="Q580" s="37">
        <f t="shared" si="69"/>
        <v>0.5487108882901901</v>
      </c>
      <c r="R580" s="37">
        <v>-1E-3</v>
      </c>
      <c r="S580" s="44" t="s">
        <v>1393</v>
      </c>
      <c r="T580" s="45">
        <v>1.2883464200000001</v>
      </c>
      <c r="U580" s="45">
        <v>0.132817724</v>
      </c>
      <c r="V580" s="45">
        <v>0.94539537299999998</v>
      </c>
      <c r="W580" s="45">
        <v>7.7998062600000001E-3</v>
      </c>
      <c r="X580" s="45">
        <v>3.1563117699999997E-2</v>
      </c>
      <c r="Y580" s="45">
        <v>105.965875</v>
      </c>
      <c r="Z580" s="36">
        <v>3.0459999999999998</v>
      </c>
      <c r="AA580" s="38">
        <v>581</v>
      </c>
      <c r="AB580" s="38">
        <v>725</v>
      </c>
      <c r="AC580" s="49" t="s">
        <v>506</v>
      </c>
      <c r="AD580" s="49" t="s">
        <v>506</v>
      </c>
      <c r="AE580" s="46" t="s">
        <v>248</v>
      </c>
    </row>
    <row r="581" spans="1:31" ht="15" thickBot="1">
      <c r="A581" s="34">
        <v>579</v>
      </c>
      <c r="B581" s="34" t="s">
        <v>253</v>
      </c>
      <c r="C581" s="41" t="s">
        <v>1355</v>
      </c>
      <c r="D581" s="34" t="s">
        <v>1172</v>
      </c>
      <c r="E581" s="80">
        <f t="shared" si="63"/>
        <v>1.5795593558767336</v>
      </c>
      <c r="F581" s="35">
        <f t="shared" si="64"/>
        <v>53.86654174462857</v>
      </c>
      <c r="G581" s="42" cm="1">
        <f t="array" ref="G58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53.585803884900393</v>
      </c>
      <c r="H581" s="81" cm="1">
        <f t="array" ref="H5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1.5763113310475234</v>
      </c>
      <c r="I581" s="81" cm="1">
        <f t="array" ref="I5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1.5795593558767336</v>
      </c>
      <c r="J581" s="81" cm="1">
        <f t="array" ref="J5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1.5821217851467786</v>
      </c>
      <c r="K581" s="81" cm="1">
        <f t="array" ref="K5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1.5870705024571958</v>
      </c>
      <c r="L581" s="81" cm="1">
        <f t="array" ref="L5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1.5930099158654576</v>
      </c>
      <c r="M581" s="37">
        <f t="shared" si="65"/>
        <v>1.0759171409672419E-2</v>
      </c>
      <c r="N581" s="43">
        <f t="shared" si="66"/>
        <v>3.248024829210161E-3</v>
      </c>
      <c r="O581" s="43">
        <f t="shared" si="67"/>
        <v>5.9394134082617622E-3</v>
      </c>
      <c r="P581" s="43">
        <f t="shared" si="68"/>
        <v>0.30188429067039585</v>
      </c>
      <c r="Q581" s="37">
        <f t="shared" si="69"/>
        <v>0.55203260382321562</v>
      </c>
      <c r="R581" s="37">
        <v>-1.1999999999999999E-3</v>
      </c>
      <c r="S581" s="44" t="s">
        <v>1393</v>
      </c>
      <c r="T581" s="45">
        <v>1.3100412800000001</v>
      </c>
      <c r="U581" s="45">
        <v>0.142038259</v>
      </c>
      <c r="V581" s="45">
        <v>0.96492935099999999</v>
      </c>
      <c r="W581" s="45">
        <v>7.9659645000000005E-3</v>
      </c>
      <c r="X581" s="45">
        <v>3.3067207199999997E-2</v>
      </c>
      <c r="Y581" s="45">
        <v>109.19732</v>
      </c>
      <c r="Z581" s="36">
        <v>3.1110000000000002</v>
      </c>
      <c r="AA581" s="38">
        <v>578</v>
      </c>
      <c r="AB581" s="38">
        <v>661</v>
      </c>
      <c r="AC581" s="49" t="s">
        <v>506</v>
      </c>
      <c r="AD581" s="49" t="s">
        <v>506</v>
      </c>
      <c r="AE581" s="46"/>
    </row>
    <row r="582" spans="1:31" ht="15" thickBot="1">
      <c r="A582" s="34">
        <v>580</v>
      </c>
      <c r="B582" s="34" t="s">
        <v>253</v>
      </c>
      <c r="C582" s="41" t="s">
        <v>1355</v>
      </c>
      <c r="D582" s="34" t="s">
        <v>1173</v>
      </c>
      <c r="E582" s="80">
        <f t="shared" si="63"/>
        <v>1.5473898803668389</v>
      </c>
      <c r="F582" s="35">
        <f t="shared" si="64"/>
        <v>53.631834527377379</v>
      </c>
      <c r="G582" s="42" cm="1">
        <f t="array" ref="G58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53.3633611466472</v>
      </c>
      <c r="H582" s="81" cm="1">
        <f t="array" ref="H5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1.544302620558607</v>
      </c>
      <c r="I582" s="81" cm="1">
        <f t="array" ref="I5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1.5473898803668389</v>
      </c>
      <c r="J582" s="81" cm="1">
        <f t="array" ref="J5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1.5498189463825491</v>
      </c>
      <c r="K582" s="81" cm="1">
        <f t="array" ref="K5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1.5545090564411501</v>
      </c>
      <c r="L582" s="81" cm="1">
        <f t="array" ref="L5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1.5601553632720087</v>
      </c>
      <c r="M582" s="37">
        <f t="shared" si="65"/>
        <v>1.0206435882543108E-2</v>
      </c>
      <c r="N582" s="43">
        <f t="shared" si="66"/>
        <v>3.0872598082318792E-3</v>
      </c>
      <c r="O582" s="43">
        <f t="shared" si="67"/>
        <v>5.6463068308585385E-3</v>
      </c>
      <c r="P582" s="43">
        <f t="shared" si="68"/>
        <v>0.30248167369691403</v>
      </c>
      <c r="Q582" s="37">
        <f t="shared" si="69"/>
        <v>0.55321043465485076</v>
      </c>
      <c r="R582" s="37">
        <v>-4.0000000000000002E-4</v>
      </c>
      <c r="S582" s="44" t="s">
        <v>1393</v>
      </c>
      <c r="T582" s="45">
        <v>1.2838596499999999</v>
      </c>
      <c r="U582" s="45">
        <v>7.1930094200000003E-2</v>
      </c>
      <c r="V582" s="45">
        <v>1.0504892699999999</v>
      </c>
      <c r="W582" s="45">
        <v>8.2581597500000006E-3</v>
      </c>
      <c r="X582" s="45">
        <v>4.4192002700000003E-2</v>
      </c>
      <c r="Y582" s="45">
        <v>107.097324</v>
      </c>
      <c r="Z582" s="36">
        <v>2.6139999999999999</v>
      </c>
      <c r="AA582" s="38">
        <v>558</v>
      </c>
      <c r="AB582" s="38">
        <v>711</v>
      </c>
      <c r="AC582" s="49" t="s">
        <v>506</v>
      </c>
      <c r="AD582" s="49" t="s">
        <v>506</v>
      </c>
      <c r="AE582" s="46"/>
    </row>
    <row r="583" spans="1:31" ht="15" thickBot="1">
      <c r="A583" s="34">
        <v>581</v>
      </c>
      <c r="B583" s="34" t="s">
        <v>253</v>
      </c>
      <c r="C583" s="41" t="s">
        <v>1355</v>
      </c>
      <c r="D583" s="34" t="s">
        <v>1174</v>
      </c>
      <c r="E583" s="80">
        <f t="shared" si="63"/>
        <v>1.6644601934840138</v>
      </c>
      <c r="F583" s="35">
        <f t="shared" si="64"/>
        <v>36.001081105978123</v>
      </c>
      <c r="G583" s="42" cm="1">
        <f t="array" ref="G58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35.728508780170131</v>
      </c>
      <c r="H583" s="81" cm="1">
        <f t="array" ref="H5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1.6590547023981161</v>
      </c>
      <c r="I583" s="81" cm="1">
        <f t="array" ref="I5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1.6644601934840138</v>
      </c>
      <c r="J583" s="81" cm="1">
        <f t="array" ref="J5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1.6688283772833934</v>
      </c>
      <c r="K583" s="81" cm="1">
        <f t="array" ref="K5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1.6775113757276756</v>
      </c>
      <c r="L583" s="81" cm="1">
        <f t="array" ref="L5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1.6883822596899694</v>
      </c>
      <c r="M583" s="37">
        <f t="shared" si="65"/>
        <v>1.845667332955947E-2</v>
      </c>
      <c r="N583" s="43">
        <f t="shared" si="66"/>
        <v>5.4054910858976069E-3</v>
      </c>
      <c r="O583" s="43">
        <f t="shared" si="67"/>
        <v>1.0870883962293743E-2</v>
      </c>
      <c r="P583" s="43">
        <f t="shared" si="68"/>
        <v>0.29287461447564272</v>
      </c>
      <c r="Q583" s="37">
        <f t="shared" si="69"/>
        <v>0.58899476455940569</v>
      </c>
      <c r="R583" s="37">
        <v>5.7000000000000002E-3</v>
      </c>
      <c r="S583" s="44" t="s">
        <v>1393</v>
      </c>
      <c r="T583" s="45">
        <v>1.5365208100000001</v>
      </c>
      <c r="U583" s="45">
        <v>0.156971102</v>
      </c>
      <c r="V583" s="45">
        <v>1.30196815</v>
      </c>
      <c r="W583" s="45">
        <v>1.0843572900000001E-2</v>
      </c>
      <c r="X583" s="45">
        <v>5.6227876199999999E-2</v>
      </c>
      <c r="Y583" s="45">
        <v>131.33969999999999</v>
      </c>
      <c r="Z583" s="36">
        <v>3.1509999999999998</v>
      </c>
      <c r="AA583" s="38">
        <v>619</v>
      </c>
      <c r="AB583" s="38">
        <v>766</v>
      </c>
      <c r="AC583" s="49" t="s">
        <v>506</v>
      </c>
      <c r="AD583" s="49" t="s">
        <v>506</v>
      </c>
      <c r="AE583" s="46"/>
    </row>
    <row r="584" spans="1:31" ht="15" thickBot="1">
      <c r="A584" s="34">
        <v>582</v>
      </c>
      <c r="B584" s="34" t="s">
        <v>253</v>
      </c>
      <c r="C584" s="41" t="s">
        <v>1355</v>
      </c>
      <c r="D584" s="34" t="s">
        <v>1175</v>
      </c>
      <c r="E584" s="80">
        <f t="shared" si="63"/>
        <v>1.703999913016339</v>
      </c>
      <c r="F584" s="35">
        <f t="shared" si="64"/>
        <v>39.384913357426598</v>
      </c>
      <c r="G584" s="42" cm="1">
        <f t="array" ref="G58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39.119312091393375</v>
      </c>
      <c r="H584" s="81" cm="1">
        <f t="array" ref="H5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1.6987164619544981</v>
      </c>
      <c r="I584" s="81" cm="1">
        <f t="array" ref="I5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1.703999913016339</v>
      </c>
      <c r="J584" s="81" cm="1">
        <f t="array" ref="J5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1.7082393882354983</v>
      </c>
      <c r="K584" s="81" cm="1">
        <f t="array" ref="K5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1.7165913245097966</v>
      </c>
      <c r="L584" s="81" cm="1">
        <f t="array" ref="L5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1.7269043636477435</v>
      </c>
      <c r="M584" s="37">
        <f t="shared" si="65"/>
        <v>1.7874862555298465E-2</v>
      </c>
      <c r="N584" s="43">
        <f t="shared" si="66"/>
        <v>5.2834510618409158E-3</v>
      </c>
      <c r="O584" s="43">
        <f t="shared" si="67"/>
        <v>1.03130391379469E-2</v>
      </c>
      <c r="P584" s="43">
        <f t="shared" si="68"/>
        <v>0.29557995455885594</v>
      </c>
      <c r="Q584" s="37">
        <f t="shared" si="69"/>
        <v>0.57695767483761207</v>
      </c>
      <c r="R584" s="37">
        <v>-5.9999999999999995E-4</v>
      </c>
      <c r="S584" s="44" t="s">
        <v>1393</v>
      </c>
      <c r="T584" s="45">
        <v>1.6555426799999999</v>
      </c>
      <c r="U584" s="45">
        <v>0.17131977000000001</v>
      </c>
      <c r="V584" s="45">
        <v>1.3366444799999999</v>
      </c>
      <c r="W584" s="45">
        <v>1.0448564400000001E-2</v>
      </c>
      <c r="X584" s="45">
        <v>4.9939475599999998E-2</v>
      </c>
      <c r="Y584" s="45">
        <v>118.961472</v>
      </c>
      <c r="Z584" s="36">
        <v>3.2</v>
      </c>
      <c r="AA584" s="38">
        <v>582</v>
      </c>
      <c r="AB584" s="38">
        <v>712</v>
      </c>
      <c r="AC584" s="49" t="s">
        <v>506</v>
      </c>
      <c r="AD584" s="49" t="s">
        <v>506</v>
      </c>
      <c r="AE584" s="46" t="s">
        <v>248</v>
      </c>
    </row>
    <row r="585" spans="1:31" ht="15" thickBot="1">
      <c r="A585" s="34">
        <v>583</v>
      </c>
      <c r="B585" s="34" t="s">
        <v>253</v>
      </c>
      <c r="C585" s="41" t="s">
        <v>1355</v>
      </c>
      <c r="D585" s="34" t="s">
        <v>185</v>
      </c>
      <c r="E585" s="80">
        <f t="shared" si="63"/>
        <v>1.4978210089047967</v>
      </c>
      <c r="F585" s="35">
        <f t="shared" si="64"/>
        <v>66.955246777780047</v>
      </c>
      <c r="G585" s="42" cm="1">
        <f t="array" ref="G58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66.780469746674498</v>
      </c>
      <c r="H585" s="81" cm="1">
        <f t="array" ref="H5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1.4955213933050335</v>
      </c>
      <c r="I585" s="81" cm="1">
        <f t="array" ref="I5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1.4978210089047967</v>
      </c>
      <c r="J585" s="81" cm="1">
        <f t="array" ref="J5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1.4995961942868286</v>
      </c>
      <c r="K585" s="81" cm="1">
        <f t="array" ref="K5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1.5029565239760776</v>
      </c>
      <c r="L585" s="81" cm="1">
        <f t="array" ref="L5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1.5069000077404699</v>
      </c>
      <c r="M585" s="37">
        <f t="shared" si="65"/>
        <v>7.4351306710440657E-3</v>
      </c>
      <c r="N585" s="43">
        <f t="shared" si="66"/>
        <v>2.2996155997632162E-3</v>
      </c>
      <c r="O585" s="43">
        <f t="shared" si="67"/>
        <v>3.9434837643923526E-3</v>
      </c>
      <c r="P585" s="43">
        <f t="shared" si="68"/>
        <v>0.30929054262879507</v>
      </c>
      <c r="Q585" s="37">
        <f t="shared" si="69"/>
        <v>0.53038526676473263</v>
      </c>
      <c r="R585" s="37">
        <v>-8.0000000000000004E-4</v>
      </c>
      <c r="S585" s="44" t="s">
        <v>1393</v>
      </c>
      <c r="T585" s="45">
        <v>0.88830813099999995</v>
      </c>
      <c r="U585" s="45">
        <v>0.32896447499999998</v>
      </c>
      <c r="V585" s="45">
        <v>0.984610769</v>
      </c>
      <c r="W585" s="45">
        <v>5.1690082200000001E-3</v>
      </c>
      <c r="X585" s="45">
        <v>1.6119004499999999E-2</v>
      </c>
      <c r="Y585" s="45">
        <v>99.757533100000003</v>
      </c>
      <c r="Z585" s="36">
        <v>2.39</v>
      </c>
      <c r="AA585" s="38">
        <v>551</v>
      </c>
      <c r="AB585" s="38">
        <v>753</v>
      </c>
      <c r="AC585" s="39" t="s">
        <v>508</v>
      </c>
      <c r="AD585" s="49" t="s">
        <v>506</v>
      </c>
      <c r="AE585" s="46"/>
    </row>
    <row r="586" spans="1:31" ht="15" thickBot="1">
      <c r="A586" s="34">
        <v>584</v>
      </c>
      <c r="B586" s="34" t="s">
        <v>253</v>
      </c>
      <c r="C586" s="41" t="s">
        <v>1355</v>
      </c>
      <c r="D586" s="34" t="s">
        <v>186</v>
      </c>
      <c r="E586" s="80">
        <f t="shared" si="63"/>
        <v>1.5168000345005883</v>
      </c>
      <c r="F586" s="35">
        <f t="shared" si="64"/>
        <v>64.168085583372218</v>
      </c>
      <c r="G586" s="42" cm="1">
        <f t="array" ref="G58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63.961363272934676</v>
      </c>
      <c r="H586" s="81" cm="1">
        <f t="array" ref="H5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1.5143223472613747</v>
      </c>
      <c r="I586" s="81" cm="1">
        <f t="array" ref="I5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1.5168000345005883</v>
      </c>
      <c r="J586" s="81" cm="1">
        <f t="array" ref="J5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1.5187220228315597</v>
      </c>
      <c r="K586" s="81" cm="1">
        <f t="array" ref="K5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1.5223761956784219</v>
      </c>
      <c r="L586" s="81" cm="1">
        <f t="array" ref="L5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1.5266847389079568</v>
      </c>
      <c r="M586" s="37">
        <f t="shared" si="65"/>
        <v>8.0538484170471492E-3</v>
      </c>
      <c r="N586" s="43">
        <f t="shared" si="66"/>
        <v>2.4776872392135996E-3</v>
      </c>
      <c r="O586" s="43">
        <f t="shared" si="67"/>
        <v>4.3085432295348891E-3</v>
      </c>
      <c r="P586" s="43">
        <f t="shared" si="68"/>
        <v>0.30764016292747848</v>
      </c>
      <c r="Q586" s="37">
        <f t="shared" si="69"/>
        <v>0.53496701284012582</v>
      </c>
      <c r="R586" s="37">
        <v>-8.9999999999999998E-4</v>
      </c>
      <c r="S586" s="44" t="s">
        <v>1393</v>
      </c>
      <c r="T586" s="45">
        <v>1.0396121199999999</v>
      </c>
      <c r="U586" s="45">
        <v>0.23179234400000001</v>
      </c>
      <c r="V586" s="45">
        <v>1.01046945</v>
      </c>
      <c r="W586" s="45">
        <v>6.0006986700000004E-3</v>
      </c>
      <c r="X586" s="45">
        <v>2.00179144E-2</v>
      </c>
      <c r="Y586" s="45">
        <v>103.560653</v>
      </c>
      <c r="Z586" s="36">
        <v>2.5099999999999998</v>
      </c>
      <c r="AA586" s="38">
        <v>557</v>
      </c>
      <c r="AB586" s="38">
        <v>719</v>
      </c>
      <c r="AC586" s="39" t="s">
        <v>508</v>
      </c>
      <c r="AD586" s="49" t="s">
        <v>506</v>
      </c>
      <c r="AE586" s="46"/>
    </row>
    <row r="587" spans="1:31" ht="15" thickBot="1">
      <c r="A587" s="34">
        <v>585</v>
      </c>
      <c r="B587" s="34" t="s">
        <v>253</v>
      </c>
      <c r="C587" s="41" t="s">
        <v>1355</v>
      </c>
      <c r="D587" s="34" t="s">
        <v>187</v>
      </c>
      <c r="E587" s="80">
        <f t="shared" si="63"/>
        <v>1.5168000345005883</v>
      </c>
      <c r="F587" s="35">
        <f t="shared" si="64"/>
        <v>64.168085583372218</v>
      </c>
      <c r="G587" s="42" cm="1">
        <f t="array" ref="G58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63.961363272934676</v>
      </c>
      <c r="H587" s="81" cm="1">
        <f t="array" ref="H5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1.5143223472613747</v>
      </c>
      <c r="I587" s="81" cm="1">
        <f t="array" ref="I5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1.5168000345005883</v>
      </c>
      <c r="J587" s="81" cm="1">
        <f t="array" ref="J5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1.5187220228315597</v>
      </c>
      <c r="K587" s="81" cm="1">
        <f t="array" ref="K5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1.5223761956784219</v>
      </c>
      <c r="L587" s="81" cm="1">
        <f t="array" ref="L5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1.5266847389079568</v>
      </c>
      <c r="M587" s="37">
        <f t="shared" si="65"/>
        <v>8.0538484170471492E-3</v>
      </c>
      <c r="N587" s="43">
        <f t="shared" si="66"/>
        <v>2.4776872392135996E-3</v>
      </c>
      <c r="O587" s="43">
        <f t="shared" si="67"/>
        <v>4.3085432295348891E-3</v>
      </c>
      <c r="P587" s="43">
        <f t="shared" si="68"/>
        <v>0.30764016292747848</v>
      </c>
      <c r="Q587" s="37">
        <f t="shared" si="69"/>
        <v>0.53496701284012582</v>
      </c>
      <c r="R587" s="37">
        <v>-8.9999999999999998E-4</v>
      </c>
      <c r="S587" s="44" t="s">
        <v>1393</v>
      </c>
      <c r="T587" s="45">
        <v>1.0396121199999999</v>
      </c>
      <c r="U587" s="45">
        <v>0.23179234400000001</v>
      </c>
      <c r="V587" s="45">
        <v>1.01046945</v>
      </c>
      <c r="W587" s="45">
        <v>6.0006986700000004E-3</v>
      </c>
      <c r="X587" s="45">
        <v>2.00179144E-2</v>
      </c>
      <c r="Y587" s="45">
        <v>103.560653</v>
      </c>
      <c r="Z587" s="36">
        <v>2.5099999999999998</v>
      </c>
      <c r="AA587" s="38">
        <v>557</v>
      </c>
      <c r="AB587" s="38">
        <v>719</v>
      </c>
      <c r="AC587" s="49" t="s">
        <v>506</v>
      </c>
      <c r="AD587" s="49" t="s">
        <v>506</v>
      </c>
      <c r="AE587" s="46"/>
    </row>
    <row r="588" spans="1:31" ht="15" thickBot="1">
      <c r="A588" s="34">
        <v>586</v>
      </c>
      <c r="B588" s="34" t="s">
        <v>253</v>
      </c>
      <c r="C588" s="41" t="s">
        <v>1355</v>
      </c>
      <c r="D588" s="34" t="s">
        <v>188</v>
      </c>
      <c r="E588" s="80">
        <f t="shared" si="63"/>
        <v>1.5168000345005883</v>
      </c>
      <c r="F588" s="35">
        <f t="shared" si="64"/>
        <v>64.168085583372218</v>
      </c>
      <c r="G588" s="42" cm="1">
        <f t="array" ref="G58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63.961363272934676</v>
      </c>
      <c r="H588" s="81" cm="1">
        <f t="array" ref="H5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1.5143223472613747</v>
      </c>
      <c r="I588" s="81" cm="1">
        <f t="array" ref="I5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1.5168000345005883</v>
      </c>
      <c r="J588" s="81" cm="1">
        <f t="array" ref="J5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1.5187220228315597</v>
      </c>
      <c r="K588" s="81" cm="1">
        <f t="array" ref="K5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1.5223761956784219</v>
      </c>
      <c r="L588" s="81" cm="1">
        <f t="array" ref="L5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1.5266847389079568</v>
      </c>
      <c r="M588" s="37">
        <f t="shared" si="65"/>
        <v>8.0538484170471492E-3</v>
      </c>
      <c r="N588" s="43">
        <f t="shared" si="66"/>
        <v>2.4776872392135996E-3</v>
      </c>
      <c r="O588" s="43">
        <f t="shared" si="67"/>
        <v>4.3085432295348891E-3</v>
      </c>
      <c r="P588" s="43">
        <f t="shared" si="68"/>
        <v>0.30764016292747848</v>
      </c>
      <c r="Q588" s="37">
        <f t="shared" si="69"/>
        <v>0.53496701284012582</v>
      </c>
      <c r="R588" s="37">
        <v>-8.9999999999999998E-4</v>
      </c>
      <c r="S588" s="44" t="s">
        <v>1393</v>
      </c>
      <c r="T588" s="45">
        <v>1.0396121199999999</v>
      </c>
      <c r="U588" s="45">
        <v>0.23179234400000001</v>
      </c>
      <c r="V588" s="45">
        <v>1.01046945</v>
      </c>
      <c r="W588" s="45">
        <v>6.0006986700000004E-3</v>
      </c>
      <c r="X588" s="45">
        <v>2.00179144E-2</v>
      </c>
      <c r="Y588" s="45">
        <v>103.560653</v>
      </c>
      <c r="Z588" s="36">
        <v>2.5099999999999998</v>
      </c>
      <c r="AA588" s="38">
        <v>557</v>
      </c>
      <c r="AB588" s="38">
        <v>719</v>
      </c>
      <c r="AC588" s="49" t="s">
        <v>506</v>
      </c>
      <c r="AD588" s="49" t="s">
        <v>506</v>
      </c>
      <c r="AE588" s="46" t="s">
        <v>248</v>
      </c>
    </row>
    <row r="589" spans="1:31" ht="15" thickBot="1">
      <c r="A589" s="34">
        <v>587</v>
      </c>
      <c r="B589" s="34" t="s">
        <v>253</v>
      </c>
      <c r="C589" s="41" t="s">
        <v>1356</v>
      </c>
      <c r="D589" s="34" t="s">
        <v>189</v>
      </c>
      <c r="E589" s="80">
        <f t="shared" si="63"/>
        <v>1.6200531373031555</v>
      </c>
      <c r="F589" s="35">
        <f t="shared" si="64"/>
        <v>36.431387521939577</v>
      </c>
      <c r="G589" s="42" cm="1">
        <f t="array" ref="G58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36.162151309231248</v>
      </c>
      <c r="H589" s="81" cm="1">
        <f t="array" ref="H5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1.6150579013103492</v>
      </c>
      <c r="I589" s="81" cm="1">
        <f t="array" ref="I5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1.6200531373031555</v>
      </c>
      <c r="J589" s="81" cm="1">
        <f t="array" ref="J5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1.6240806835808155</v>
      </c>
      <c r="K589" s="81" cm="1">
        <f t="array" ref="K5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1.6320776521208213</v>
      </c>
      <c r="L589" s="81" cm="1">
        <f t="array" ref="L5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1.6420876567361902</v>
      </c>
      <c r="M589" s="37">
        <f t="shared" si="65"/>
        <v>1.7019750810472134E-2</v>
      </c>
      <c r="N589" s="43">
        <f t="shared" si="66"/>
        <v>4.9952359928062684E-3</v>
      </c>
      <c r="O589" s="43">
        <f t="shared" si="67"/>
        <v>1.0010004615368828E-2</v>
      </c>
      <c r="P589" s="43">
        <f t="shared" si="68"/>
        <v>0.29349642356295452</v>
      </c>
      <c r="Q589" s="37">
        <f t="shared" si="69"/>
        <v>0.58814049199884533</v>
      </c>
      <c r="R589" s="37">
        <v>5.5999999999999999E-3</v>
      </c>
      <c r="S589" s="44" t="s">
        <v>1393</v>
      </c>
      <c r="T589" s="45">
        <v>1.39757037</v>
      </c>
      <c r="U589" s="45">
        <v>0.15920140299999999</v>
      </c>
      <c r="V589" s="45">
        <v>1.2686542999999999</v>
      </c>
      <c r="W589" s="45">
        <v>9.9590614300000008E-3</v>
      </c>
      <c r="X589" s="45">
        <v>5.4693175199999999E-2</v>
      </c>
      <c r="Y589" s="45">
        <v>119.248346</v>
      </c>
      <c r="Z589" s="36">
        <v>2.6509999999999998</v>
      </c>
      <c r="AA589" s="38">
        <v>569</v>
      </c>
      <c r="AB589" s="38">
        <v>686</v>
      </c>
      <c r="AC589" s="49" t="s">
        <v>506</v>
      </c>
      <c r="AD589" s="49" t="s">
        <v>506</v>
      </c>
      <c r="AE589" s="46" t="s">
        <v>248</v>
      </c>
    </row>
    <row r="590" spans="1:31" ht="15" thickBot="1">
      <c r="A590" s="34">
        <v>588</v>
      </c>
      <c r="B590" s="34" t="s">
        <v>253</v>
      </c>
      <c r="C590" s="41" t="s">
        <v>1355</v>
      </c>
      <c r="D590" s="34" t="s">
        <v>190</v>
      </c>
      <c r="E590" s="80">
        <f t="shared" si="63"/>
        <v>1.4874900036786896</v>
      </c>
      <c r="F590" s="35">
        <f t="shared" si="64"/>
        <v>70.406586753075956</v>
      </c>
      <c r="G590" s="42" cm="1">
        <f t="array" ref="G59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70.225259567637423</v>
      </c>
      <c r="H590" s="81" cm="1">
        <f t="array" ref="H5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1.4853454569873066</v>
      </c>
      <c r="I590" s="81" cm="1">
        <f t="array" ref="I5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1.4874900036786896</v>
      </c>
      <c r="J590" s="81" cm="1">
        <f t="array" ref="J5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1.4891434437254663</v>
      </c>
      <c r="K590" s="81" cm="1">
        <f t="array" ref="K5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1.4922693830879763</v>
      </c>
      <c r="L590" s="81" cm="1">
        <f t="array" ref="L5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1.4959321811207795</v>
      </c>
      <c r="M590" s="37">
        <f t="shared" si="65"/>
        <v>6.9239261006697195E-3</v>
      </c>
      <c r="N590" s="43">
        <f t="shared" si="66"/>
        <v>2.1445466913829758E-3</v>
      </c>
      <c r="O590" s="43">
        <f t="shared" si="67"/>
        <v>3.6627980328032272E-3</v>
      </c>
      <c r="P590" s="43">
        <f t="shared" si="68"/>
        <v>0.30972986427101579</v>
      </c>
      <c r="Q590" s="37">
        <f t="shared" si="69"/>
        <v>0.52900593962852116</v>
      </c>
      <c r="R590" s="37">
        <v>3.5999999999999999E-3</v>
      </c>
      <c r="S590" s="44" t="s">
        <v>1393</v>
      </c>
      <c r="T590" s="45">
        <v>0.84430933799999996</v>
      </c>
      <c r="U590" s="45">
        <v>0.34414782399999999</v>
      </c>
      <c r="V590" s="45">
        <v>0.91079021299999996</v>
      </c>
      <c r="W590" s="45">
        <v>4.7511195500000002E-3</v>
      </c>
      <c r="X590" s="45">
        <v>1.49814849E-2</v>
      </c>
      <c r="Y590" s="45">
        <v>97.860029299999994</v>
      </c>
      <c r="Z590" s="36">
        <v>2.4500000000000002</v>
      </c>
      <c r="AA590" s="38">
        <v>466</v>
      </c>
      <c r="AB590" s="38">
        <v>672</v>
      </c>
      <c r="AC590" s="39" t="s">
        <v>508</v>
      </c>
      <c r="AD590" s="49" t="s">
        <v>506</v>
      </c>
      <c r="AE590" s="46"/>
    </row>
    <row r="591" spans="1:31" ht="15" thickBot="1">
      <c r="A591" s="34">
        <v>589</v>
      </c>
      <c r="B591" s="34" t="s">
        <v>253</v>
      </c>
      <c r="C591" s="41" t="s">
        <v>1365</v>
      </c>
      <c r="D591" s="34" t="s">
        <v>191</v>
      </c>
      <c r="E591" s="80">
        <f t="shared" si="63"/>
        <v>1.4865610802032982</v>
      </c>
      <c r="F591" s="35">
        <f t="shared" si="64"/>
        <v>84.468983228617773</v>
      </c>
      <c r="G591" s="42" cm="1">
        <f t="array" ref="G59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84.074298076546327</v>
      </c>
      <c r="H591" s="81" cm="1">
        <f t="array" ref="H5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1.4847971396639363</v>
      </c>
      <c r="I591" s="81" cm="1">
        <f t="array" ref="I5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1.4865610802032982</v>
      </c>
      <c r="J591" s="81" cm="1">
        <f t="array" ref="J5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1.4879365952737447</v>
      </c>
      <c r="K591" s="81" cm="1">
        <f t="array" ref="K5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1.4905573733213773</v>
      </c>
      <c r="L591" s="81" cm="1">
        <f t="array" ref="L5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1.4936444970109057</v>
      </c>
      <c r="M591" s="37">
        <f t="shared" si="65"/>
        <v>5.7602336574409385E-3</v>
      </c>
      <c r="N591" s="43">
        <f t="shared" si="66"/>
        <v>1.7639405393619079E-3</v>
      </c>
      <c r="O591" s="43">
        <f t="shared" si="67"/>
        <v>3.0871236895284593E-3</v>
      </c>
      <c r="P591" s="43">
        <f t="shared" si="68"/>
        <v>0.30622725470229661</v>
      </c>
      <c r="Q591" s="37">
        <f t="shared" si="69"/>
        <v>0.5359372332996567</v>
      </c>
      <c r="R591" s="37">
        <v>3.4200000000000001E-2</v>
      </c>
      <c r="S591" s="44" t="s">
        <v>1393</v>
      </c>
      <c r="T591" s="45">
        <v>0.97124781699999996</v>
      </c>
      <c r="U591" s="45">
        <v>0.21690141700000001</v>
      </c>
      <c r="V591" s="45">
        <v>0.90465166600000002</v>
      </c>
      <c r="W591" s="45">
        <v>4.7230199499999998E-3</v>
      </c>
      <c r="X591" s="45">
        <v>1.53575612E-2</v>
      </c>
      <c r="Y591" s="45">
        <v>168.68133</v>
      </c>
      <c r="Z591" s="36">
        <v>3.6749999999999998</v>
      </c>
      <c r="AA591" s="38">
        <v>464</v>
      </c>
      <c r="AB591" s="38">
        <v>527</v>
      </c>
      <c r="AC591" s="39" t="s">
        <v>508</v>
      </c>
      <c r="AD591" s="49" t="s">
        <v>506</v>
      </c>
      <c r="AE591" s="46"/>
    </row>
    <row r="592" spans="1:31" ht="15" thickBot="1">
      <c r="A592" s="34">
        <v>590</v>
      </c>
      <c r="B592" s="34" t="s">
        <v>253</v>
      </c>
      <c r="C592" s="41" t="s">
        <v>1365</v>
      </c>
      <c r="D592" s="34" t="s">
        <v>192</v>
      </c>
      <c r="E592" s="80">
        <f t="shared" si="63"/>
        <v>1.4560003606596605</v>
      </c>
      <c r="F592" s="35">
        <f t="shared" si="64"/>
        <v>90.901108497412665</v>
      </c>
      <c r="G592" s="42" cm="1">
        <f t="array" ref="G59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90.473458392070555</v>
      </c>
      <c r="H592" s="81" cm="1">
        <f t="array" ref="H5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1.4544624736384117</v>
      </c>
      <c r="I592" s="81" cm="1">
        <f t="array" ref="I5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1.4560003606596605</v>
      </c>
      <c r="J592" s="81" cm="1">
        <f t="array" ref="J5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1.4571985016563178</v>
      </c>
      <c r="K592" s="81" cm="1">
        <f t="array" ref="K5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1.4594789180822398</v>
      </c>
      <c r="L592" s="81" cm="1">
        <f t="array" ref="L5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1.4621612346655777</v>
      </c>
      <c r="M592" s="37">
        <f t="shared" si="65"/>
        <v>5.0164444438280942E-3</v>
      </c>
      <c r="N592" s="43">
        <f t="shared" si="66"/>
        <v>1.5378870212487961E-3</v>
      </c>
      <c r="O592" s="43">
        <f t="shared" si="67"/>
        <v>2.6823165833378404E-3</v>
      </c>
      <c r="P592" s="43">
        <f t="shared" si="68"/>
        <v>0.30656913247407969</v>
      </c>
      <c r="Q592" s="37">
        <f t="shared" si="69"/>
        <v>0.53470473228064708</v>
      </c>
      <c r="R592" s="37">
        <v>4.3799999999999999E-2</v>
      </c>
      <c r="S592" s="44" t="s">
        <v>1393</v>
      </c>
      <c r="T592" s="45">
        <v>0.73804271200000005</v>
      </c>
      <c r="U592" s="45">
        <v>0.36337196700000002</v>
      </c>
      <c r="V592" s="45">
        <v>0.98929626400000004</v>
      </c>
      <c r="W592" s="45">
        <v>3.3906560699999999E-3</v>
      </c>
      <c r="X592" s="45">
        <v>1.17551189E-2</v>
      </c>
      <c r="Y592" s="45">
        <v>212.84214499999999</v>
      </c>
      <c r="Z592" s="36">
        <v>3.6459999999999999</v>
      </c>
      <c r="AA592" s="38">
        <v>445</v>
      </c>
      <c r="AB592" s="38">
        <v>508</v>
      </c>
      <c r="AC592" s="49" t="s">
        <v>506</v>
      </c>
      <c r="AD592" s="49" t="s">
        <v>506</v>
      </c>
      <c r="AE592" s="46"/>
    </row>
    <row r="593" spans="1:31" ht="15" thickBot="1">
      <c r="A593" s="34">
        <v>591</v>
      </c>
      <c r="B593" s="34" t="s">
        <v>253</v>
      </c>
      <c r="C593" s="41" t="s">
        <v>1355</v>
      </c>
      <c r="D593" s="34" t="s">
        <v>193</v>
      </c>
      <c r="E593" s="80">
        <f t="shared" si="63"/>
        <v>1.5224887602500623</v>
      </c>
      <c r="F593" s="35">
        <f t="shared" si="64"/>
        <v>59.483374514588881</v>
      </c>
      <c r="G593" s="42" cm="1">
        <f t="array" ref="G59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59.219889419523909</v>
      </c>
      <c r="H593" s="81" cm="1">
        <f t="array" ref="H5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1.5198150605606526</v>
      </c>
      <c r="I593" s="81" cm="1">
        <f t="array" ref="I5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1.5224887602500623</v>
      </c>
      <c r="J593" s="81" cm="1">
        <f t="array" ref="J5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1.5245830825745168</v>
      </c>
      <c r="K593" s="81" cm="1">
        <f t="array" ref="K5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1.5285988386249236</v>
      </c>
      <c r="L593" s="81" cm="1">
        <f t="array" ref="L5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1.5333757043645966</v>
      </c>
      <c r="M593" s="37">
        <f t="shared" si="65"/>
        <v>8.7837780642709973E-3</v>
      </c>
      <c r="N593" s="43">
        <f t="shared" si="66"/>
        <v>2.6736996894096698E-3</v>
      </c>
      <c r="O593" s="43">
        <f t="shared" si="67"/>
        <v>4.776865739672953E-3</v>
      </c>
      <c r="P593" s="43">
        <f t="shared" si="68"/>
        <v>0.30439062438123787</v>
      </c>
      <c r="Q593" s="37">
        <f t="shared" si="69"/>
        <v>0.54382814601195251</v>
      </c>
      <c r="R593" s="37">
        <v>0</v>
      </c>
      <c r="S593" s="44" t="s">
        <v>1393</v>
      </c>
      <c r="T593" s="45">
        <v>1.08511833</v>
      </c>
      <c r="U593" s="45">
        <v>0.19956200499999999</v>
      </c>
      <c r="V593" s="45">
        <v>0.93051166299999999</v>
      </c>
      <c r="W593" s="45">
        <v>6.6109950299999996E-3</v>
      </c>
      <c r="X593" s="45">
        <v>2.4110866000000002E-2</v>
      </c>
      <c r="Y593" s="45">
        <v>111.982777</v>
      </c>
      <c r="Z593" s="36">
        <v>2.59</v>
      </c>
      <c r="AA593" s="38">
        <v>546</v>
      </c>
      <c r="AB593" s="38">
        <v>720</v>
      </c>
      <c r="AC593" s="49" t="s">
        <v>506</v>
      </c>
      <c r="AD593" s="49" t="s">
        <v>506</v>
      </c>
      <c r="AE593" s="46"/>
    </row>
    <row r="594" spans="1:31" ht="15" thickBot="1">
      <c r="A594" s="34">
        <v>592</v>
      </c>
      <c r="B594" s="34" t="s">
        <v>253</v>
      </c>
      <c r="C594" s="41" t="s">
        <v>1355</v>
      </c>
      <c r="D594" s="34" t="s">
        <v>194</v>
      </c>
      <c r="E594" s="80">
        <f t="shared" si="63"/>
        <v>1.5234591091903165</v>
      </c>
      <c r="F594" s="35">
        <f t="shared" si="64"/>
        <v>51.541106731519498</v>
      </c>
      <c r="G594" s="42" cm="1">
        <f t="array" ref="G59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51.263130513543167</v>
      </c>
      <c r="H594" s="81" cm="1">
        <f t="array" ref="H5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1.520400214809974</v>
      </c>
      <c r="I594" s="81" cm="1">
        <f t="array" ref="I5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1.5234591091903165</v>
      </c>
      <c r="J594" s="81" cm="1">
        <f t="array" ref="J5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1.5258760496983643</v>
      </c>
      <c r="K594" s="81" cm="1">
        <f t="array" ref="K5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1.5305563628321157</v>
      </c>
      <c r="L594" s="81" cm="1">
        <f t="array" ref="L5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1.53620108083604</v>
      </c>
      <c r="M594" s="37">
        <f t="shared" si="65"/>
        <v>1.0156148022141709E-2</v>
      </c>
      <c r="N594" s="43">
        <f t="shared" si="66"/>
        <v>3.0588943803424584E-3</v>
      </c>
      <c r="O594" s="43">
        <f t="shared" si="67"/>
        <v>5.6447180039242983E-3</v>
      </c>
      <c r="P594" s="43">
        <f t="shared" si="68"/>
        <v>0.30118647086214922</v>
      </c>
      <c r="Q594" s="37">
        <f t="shared" si="69"/>
        <v>0.55579319951009842</v>
      </c>
      <c r="R594" s="37">
        <v>-1.4E-3</v>
      </c>
      <c r="S594" s="44" t="s">
        <v>1393</v>
      </c>
      <c r="T594" s="45">
        <v>1.19286778</v>
      </c>
      <c r="U594" s="45">
        <v>8.9334657100000006E-2</v>
      </c>
      <c r="V594" s="45">
        <v>0.92081980500000005</v>
      </c>
      <c r="W594" s="45">
        <v>8.3915469599999994E-3</v>
      </c>
      <c r="X594" s="45">
        <v>4.0401078600000001E-2</v>
      </c>
      <c r="Y594" s="45">
        <v>112.572446</v>
      </c>
      <c r="Z594" s="36">
        <v>2.4990000000000001</v>
      </c>
      <c r="AA594" s="38">
        <v>476</v>
      </c>
      <c r="AB594" s="38">
        <v>640</v>
      </c>
      <c r="AC594" s="49" t="s">
        <v>506</v>
      </c>
      <c r="AD594" s="49" t="s">
        <v>506</v>
      </c>
      <c r="AE594" s="46"/>
    </row>
    <row r="595" spans="1:31" ht="15" thickBot="1">
      <c r="A595" s="34">
        <v>593</v>
      </c>
      <c r="B595" s="34" t="s">
        <v>253</v>
      </c>
      <c r="C595" s="41" t="s">
        <v>1359</v>
      </c>
      <c r="D595" s="34" t="s">
        <v>1176</v>
      </c>
      <c r="E595" s="80">
        <f t="shared" si="63"/>
        <v>1.6377497011712219</v>
      </c>
      <c r="F595" s="35">
        <f t="shared" si="64"/>
        <v>42.410688382096069</v>
      </c>
      <c r="G595" s="42" cm="1">
        <f t="array" ref="G59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42.199245116134776</v>
      </c>
      <c r="H595" s="81" cm="1">
        <f t="array" ref="H5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1.6332377829456044</v>
      </c>
      <c r="I595" s="81" cm="1">
        <f t="array" ref="I5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1.6377497011712219</v>
      </c>
      <c r="J595" s="81" cm="1">
        <f t="array" ref="J5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1.6413249182571759</v>
      </c>
      <c r="K595" s="81" cm="1">
        <f t="array" ref="K5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1.6482752587683371</v>
      </c>
      <c r="L595" s="81" cm="1">
        <f t="array" ref="L5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1.6567045552419979</v>
      </c>
      <c r="M595" s="37">
        <f t="shared" si="65"/>
        <v>1.5037475822732738E-2</v>
      </c>
      <c r="N595" s="43">
        <f t="shared" si="66"/>
        <v>4.5119182256174728E-3</v>
      </c>
      <c r="O595" s="43">
        <f t="shared" si="67"/>
        <v>8.4292964736607523E-3</v>
      </c>
      <c r="P595" s="43">
        <f t="shared" si="68"/>
        <v>0.30004491969301328</v>
      </c>
      <c r="Q595" s="37">
        <f t="shared" si="69"/>
        <v>0.56055262020224539</v>
      </c>
      <c r="R595" s="37">
        <v>-1.2E-2</v>
      </c>
      <c r="S595" s="44" t="s">
        <v>1393</v>
      </c>
      <c r="T595" s="45">
        <v>1.3322244999999999</v>
      </c>
      <c r="U595" s="45">
        <v>0.28924160999999998</v>
      </c>
      <c r="V595" s="45">
        <v>1.15161734</v>
      </c>
      <c r="W595" s="45">
        <v>8.4029848000000008E-3</v>
      </c>
      <c r="X595" s="45">
        <v>3.4423971999999997E-2</v>
      </c>
      <c r="Y595" s="45">
        <v>88.431053199999994</v>
      </c>
      <c r="Z595" s="36">
        <v>3.1960000000000002</v>
      </c>
      <c r="AA595" s="38">
        <v>551</v>
      </c>
      <c r="AB595" s="38" t="s">
        <v>248</v>
      </c>
      <c r="AC595" s="39" t="s">
        <v>508</v>
      </c>
      <c r="AD595" s="49" t="s">
        <v>506</v>
      </c>
      <c r="AE595" s="46"/>
    </row>
    <row r="596" spans="1:31" ht="15" thickBot="1">
      <c r="A596" s="34">
        <v>594</v>
      </c>
      <c r="B596" s="34" t="s">
        <v>253</v>
      </c>
      <c r="C596" s="41" t="s">
        <v>1359</v>
      </c>
      <c r="D596" s="34" t="s">
        <v>1177</v>
      </c>
      <c r="E596" s="80">
        <f t="shared" si="63"/>
        <v>1.558359800954962</v>
      </c>
      <c r="F596" s="35">
        <f t="shared" si="64"/>
        <v>54.008675816428152</v>
      </c>
      <c r="G596" s="42" cm="1">
        <f t="array" ref="G59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53.830210597891515</v>
      </c>
      <c r="H596" s="81" cm="1">
        <f t="array" ref="H5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1.5551947194224931</v>
      </c>
      <c r="I596" s="81" cm="1">
        <f t="array" ref="I5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1.558359800954962</v>
      </c>
      <c r="J596" s="81" cm="1">
        <f t="array" ref="J5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1.5608235514273965</v>
      </c>
      <c r="K596" s="81" cm="1">
        <f t="array" ref="K5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1.5655330547457436</v>
      </c>
      <c r="L596" s="81" cm="1">
        <f t="array" ref="L5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1.5711353301617879</v>
      </c>
      <c r="M596" s="37">
        <f t="shared" si="65"/>
        <v>1.0338335323250458E-2</v>
      </c>
      <c r="N596" s="43">
        <f t="shared" si="66"/>
        <v>3.1650815324688608E-3</v>
      </c>
      <c r="O596" s="43">
        <f t="shared" si="67"/>
        <v>5.6022754160443E-3</v>
      </c>
      <c r="P596" s="43">
        <f t="shared" si="68"/>
        <v>0.30615001675857162</v>
      </c>
      <c r="Q596" s="37">
        <f t="shared" si="69"/>
        <v>0.5418933745982325</v>
      </c>
      <c r="R596" s="37">
        <v>-1.11E-2</v>
      </c>
      <c r="S596" s="44" t="s">
        <v>1393</v>
      </c>
      <c r="T596" s="45">
        <v>1.23697554</v>
      </c>
      <c r="U596" s="45">
        <v>0.15356937600000001</v>
      </c>
      <c r="V596" s="45">
        <v>0.90397627199999997</v>
      </c>
      <c r="W596" s="45">
        <v>7.4717050500000002E-3</v>
      </c>
      <c r="X596" s="45">
        <v>3.0805355600000001E-2</v>
      </c>
      <c r="Y596" s="45">
        <v>70.173108400000004</v>
      </c>
      <c r="Z596" s="36">
        <v>2.54</v>
      </c>
      <c r="AA596" s="38">
        <v>482</v>
      </c>
      <c r="AB596" s="38">
        <v>590</v>
      </c>
      <c r="AC596" s="39" t="s">
        <v>508</v>
      </c>
      <c r="AD596" s="49" t="s">
        <v>506</v>
      </c>
      <c r="AE596" s="46" t="s">
        <v>248</v>
      </c>
    </row>
    <row r="597" spans="1:31" ht="15" thickBot="1">
      <c r="A597" s="34">
        <v>595</v>
      </c>
      <c r="B597" s="34" t="s">
        <v>253</v>
      </c>
      <c r="C597" s="41" t="s">
        <v>1359</v>
      </c>
      <c r="D597" s="34" t="s">
        <v>1178</v>
      </c>
      <c r="E597" s="80">
        <f t="shared" si="63"/>
        <v>1.6133601948394209</v>
      </c>
      <c r="F597" s="35">
        <f t="shared" si="64"/>
        <v>44.494203257089296</v>
      </c>
      <c r="G597" s="42" cm="1">
        <f t="array" ref="G59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44.271430471252025</v>
      </c>
      <c r="H597" s="81" cm="1">
        <f t="array" ref="H5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1.6092169809820289</v>
      </c>
      <c r="I597" s="81" cm="1">
        <f t="array" ref="I5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1.6133601948394209</v>
      </c>
      <c r="J597" s="81" cm="1">
        <f t="array" ref="J5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1.6166383641786084</v>
      </c>
      <c r="K597" s="81" cm="1">
        <f t="array" ref="K5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1.623002151856882</v>
      </c>
      <c r="L597" s="81" cm="1">
        <f t="array" ref="L5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1.630708530047345</v>
      </c>
      <c r="M597" s="37">
        <f t="shared" si="65"/>
        <v>1.3785170874853092E-2</v>
      </c>
      <c r="N597" s="43">
        <f t="shared" si="66"/>
        <v>4.1432138573920252E-3</v>
      </c>
      <c r="O597" s="43">
        <f t="shared" si="67"/>
        <v>7.7063781904629369E-3</v>
      </c>
      <c r="P597" s="43">
        <f t="shared" si="68"/>
        <v>0.30055585781312844</v>
      </c>
      <c r="Q597" s="37">
        <f t="shared" si="69"/>
        <v>0.55903392568901067</v>
      </c>
      <c r="R597" s="37">
        <v>-0.01</v>
      </c>
      <c r="S597" s="44" t="s">
        <v>1393</v>
      </c>
      <c r="T597" s="45">
        <v>1.3505542399999999</v>
      </c>
      <c r="U597" s="45">
        <v>0.19757550600000001</v>
      </c>
      <c r="V597" s="45">
        <v>1.0996299199999999</v>
      </c>
      <c r="W597" s="45">
        <v>8.7628207E-3</v>
      </c>
      <c r="X597" s="45">
        <v>3.7176720099999998E-2</v>
      </c>
      <c r="Y597" s="45">
        <v>90.386699399999998</v>
      </c>
      <c r="Z597" s="36">
        <v>3.0019999999999998</v>
      </c>
      <c r="AA597" s="38">
        <v>536</v>
      </c>
      <c r="AB597" s="38">
        <v>664</v>
      </c>
      <c r="AC597" s="39" t="s">
        <v>508</v>
      </c>
      <c r="AD597" s="49" t="s">
        <v>506</v>
      </c>
      <c r="AE597" s="46" t="s">
        <v>248</v>
      </c>
    </row>
    <row r="598" spans="1:31" ht="15" thickBot="1">
      <c r="A598" s="34">
        <v>596</v>
      </c>
      <c r="B598" s="34" t="s">
        <v>253</v>
      </c>
      <c r="C598" s="41" t="s">
        <v>1359</v>
      </c>
      <c r="D598" s="34" t="s">
        <v>1179</v>
      </c>
      <c r="E598" s="80">
        <f t="shared" si="63"/>
        <v>1.6541204415459989</v>
      </c>
      <c r="F598" s="35">
        <f t="shared" si="64"/>
        <v>39.700547346746163</v>
      </c>
      <c r="G598" s="42" cm="1">
        <f t="array" ref="G59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39.462855424688669</v>
      </c>
      <c r="H598" s="81" cm="1">
        <f t="array" ref="H5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1.6492230802600605</v>
      </c>
      <c r="I598" s="81" cm="1">
        <f t="array" ref="I5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1.6541204415459989</v>
      </c>
      <c r="J598" s="81" cm="1">
        <f t="array" ref="J5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1.6580314834447409</v>
      </c>
      <c r="K598" s="81" cm="1">
        <f t="array" ref="K5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1.6656994385286981</v>
      </c>
      <c r="L598" s="81" cm="1">
        <f t="array" ref="L5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1.6751078795377343</v>
      </c>
      <c r="M598" s="37">
        <f t="shared" si="65"/>
        <v>1.6476358268637581E-2</v>
      </c>
      <c r="N598" s="43">
        <f t="shared" si="66"/>
        <v>4.8973612859384286E-3</v>
      </c>
      <c r="O598" s="43">
        <f t="shared" si="67"/>
        <v>9.4084410090362613E-3</v>
      </c>
      <c r="P598" s="43">
        <f t="shared" si="68"/>
        <v>0.29723566373647375</v>
      </c>
      <c r="Q598" s="37">
        <f t="shared" si="69"/>
        <v>0.57102673149230077</v>
      </c>
      <c r="R598" s="37">
        <v>-6.0000000000000001E-3</v>
      </c>
      <c r="S598" s="44" t="s">
        <v>1393</v>
      </c>
      <c r="T598" s="45">
        <v>1.4746078899999999</v>
      </c>
      <c r="U598" s="45">
        <v>0.193584488</v>
      </c>
      <c r="V598" s="45">
        <v>1.2658997400000001</v>
      </c>
      <c r="W598" s="45">
        <v>9.8614381599999995E-3</v>
      </c>
      <c r="X598" s="45">
        <v>4.4547758299999997E-2</v>
      </c>
      <c r="Y598" s="45">
        <v>106.436258</v>
      </c>
      <c r="Z598" s="36">
        <v>3.0409999999999999</v>
      </c>
      <c r="AA598" s="38">
        <v>584</v>
      </c>
      <c r="AB598" s="38">
        <v>739</v>
      </c>
      <c r="AC598" s="39" t="s">
        <v>508</v>
      </c>
      <c r="AD598" s="49" t="s">
        <v>506</v>
      </c>
      <c r="AE598" s="46"/>
    </row>
    <row r="599" spans="1:31" ht="15" thickBot="1">
      <c r="A599" s="34">
        <v>597</v>
      </c>
      <c r="B599" s="34" t="s">
        <v>253</v>
      </c>
      <c r="C599" s="41" t="s">
        <v>1359</v>
      </c>
      <c r="D599" s="34" t="s">
        <v>1180</v>
      </c>
      <c r="E599" s="80">
        <f t="shared" si="63"/>
        <v>1.7204696908765893</v>
      </c>
      <c r="F599" s="35">
        <f t="shared" si="64"/>
        <v>34.700579818153457</v>
      </c>
      <c r="G599" s="42" cm="1">
        <f t="array" ref="G59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34.467290442715885</v>
      </c>
      <c r="H599" s="81" cm="1">
        <f t="array" ref="H5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1.7143650748942241</v>
      </c>
      <c r="I599" s="81" cm="1">
        <f t="array" ref="I5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1.7204696908765893</v>
      </c>
      <c r="J599" s="81" cm="1">
        <f t="array" ref="J5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1.7253884190919144</v>
      </c>
      <c r="K599" s="81" cm="1">
        <f t="array" ref="K5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1.7351275432636915</v>
      </c>
      <c r="L599" s="81" cm="1">
        <f t="array" ref="L5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1.7472389663232848</v>
      </c>
      <c r="M599" s="37">
        <f t="shared" si="65"/>
        <v>2.076246836946738E-2</v>
      </c>
      <c r="N599" s="43">
        <f t="shared" si="66"/>
        <v>6.1046159823652246E-3</v>
      </c>
      <c r="O599" s="43">
        <f t="shared" si="67"/>
        <v>1.211142305959334E-2</v>
      </c>
      <c r="P599" s="43">
        <f t="shared" si="68"/>
        <v>0.2940216872933315</v>
      </c>
      <c r="Q599" s="37">
        <f t="shared" si="69"/>
        <v>0.58333252309267869</v>
      </c>
      <c r="R599" s="37">
        <v>-2.0999999999999999E-3</v>
      </c>
      <c r="S599" s="44" t="s">
        <v>1393</v>
      </c>
      <c r="T599" s="45">
        <v>1.6269365099999999</v>
      </c>
      <c r="U599" s="45">
        <v>0.24369875999999999</v>
      </c>
      <c r="V599" s="45">
        <v>1.62007141</v>
      </c>
      <c r="W599" s="45">
        <v>1.0880862999999999E-2</v>
      </c>
      <c r="X599" s="45">
        <v>4.9420775299999997E-2</v>
      </c>
      <c r="Y599" s="45">
        <v>131.009163</v>
      </c>
      <c r="Z599" s="36">
        <v>3.2040000000000002</v>
      </c>
      <c r="AA599" s="38">
        <v>509</v>
      </c>
      <c r="AB599" s="38">
        <v>635</v>
      </c>
      <c r="AC599" s="39" t="s">
        <v>508</v>
      </c>
      <c r="AD599" s="49" t="s">
        <v>506</v>
      </c>
      <c r="AE599" s="46" t="s">
        <v>248</v>
      </c>
    </row>
    <row r="600" spans="1:31" ht="15" thickBot="1">
      <c r="A600" s="34">
        <v>598</v>
      </c>
      <c r="B600" s="34" t="s">
        <v>253</v>
      </c>
      <c r="C600" s="41" t="s">
        <v>1358</v>
      </c>
      <c r="D600" s="34" t="s">
        <v>1181</v>
      </c>
      <c r="E600" s="80">
        <f t="shared" si="63"/>
        <v>1.7439722668552078</v>
      </c>
      <c r="F600" s="35">
        <f t="shared" si="64"/>
        <v>44.850945605887951</v>
      </c>
      <c r="G600" s="42" cm="1">
        <f t="array" ref="G60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44.57151343707752</v>
      </c>
      <c r="H600" s="81" cm="1">
        <f t="array" ref="H6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1.7390299400016183</v>
      </c>
      <c r="I600" s="81" cm="1">
        <f t="array" ref="I6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1.7439722668552078</v>
      </c>
      <c r="J600" s="81" cm="1">
        <f t="array" ref="J6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1.747914999767612</v>
      </c>
      <c r="K600" s="81" cm="1">
        <f t="array" ref="K6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1.7556176006808959</v>
      </c>
      <c r="L600" s="81" cm="1">
        <f t="array" ref="L6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1.7650006671669178</v>
      </c>
      <c r="M600" s="37">
        <f t="shared" si="65"/>
        <v>1.6587660679277638E-2</v>
      </c>
      <c r="N600" s="43">
        <f t="shared" si="66"/>
        <v>4.9423268535895293E-3</v>
      </c>
      <c r="O600" s="43">
        <f t="shared" si="67"/>
        <v>9.3830664860219404E-3</v>
      </c>
      <c r="P600" s="43">
        <f t="shared" si="68"/>
        <v>0.29795201078376282</v>
      </c>
      <c r="Q600" s="37">
        <f t="shared" si="69"/>
        <v>0.56566544658969686</v>
      </c>
      <c r="R600" s="37">
        <v>-2.7000000000000001E-3</v>
      </c>
      <c r="S600" s="44" t="s">
        <v>1393</v>
      </c>
      <c r="T600" s="45">
        <v>1.8098422700000001</v>
      </c>
      <c r="U600" s="45">
        <v>0.15729555000000001</v>
      </c>
      <c r="V600" s="45">
        <v>1.0930036999999999</v>
      </c>
      <c r="W600" s="45">
        <v>1.01711622E-2</v>
      </c>
      <c r="X600" s="45">
        <v>4.4243176500000002E-2</v>
      </c>
      <c r="Y600" s="45">
        <v>100.687748</v>
      </c>
      <c r="Z600" s="36">
        <v>4.2949999999999999</v>
      </c>
      <c r="AA600" s="38">
        <v>653</v>
      </c>
      <c r="AB600" s="38">
        <v>734</v>
      </c>
      <c r="AC600" s="49" t="s">
        <v>506</v>
      </c>
      <c r="AD600" s="49" t="s">
        <v>506</v>
      </c>
      <c r="AE600" s="46" t="s">
        <v>248</v>
      </c>
    </row>
    <row r="601" spans="1:31" ht="15" thickBot="1">
      <c r="A601" s="34">
        <v>599</v>
      </c>
      <c r="B601" s="34" t="s">
        <v>253</v>
      </c>
      <c r="C601" s="41" t="s">
        <v>1358</v>
      </c>
      <c r="D601" s="34" t="s">
        <v>1182</v>
      </c>
      <c r="E601" s="80">
        <f t="shared" si="63"/>
        <v>1.7880000602455861</v>
      </c>
      <c r="F601" s="35">
        <f t="shared" si="64"/>
        <v>47.490437522069904</v>
      </c>
      <c r="G601" s="42" cm="1">
        <f t="array" ref="G60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47.248737569403836</v>
      </c>
      <c r="H601" s="81" cm="1">
        <f t="array" ref="H6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1.7830067268754051</v>
      </c>
      <c r="I601" s="81" cm="1">
        <f t="array" ref="I6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1.7880000602455861</v>
      </c>
      <c r="J601" s="81" cm="1">
        <f t="array" ref="J6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1.7919495641712551</v>
      </c>
      <c r="K601" s="81" cm="1">
        <f t="array" ref="K6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1.7995995422159541</v>
      </c>
      <c r="L601" s="81" cm="1">
        <f t="array" ref="L6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1.8088174301147768</v>
      </c>
      <c r="M601" s="37">
        <f t="shared" si="65"/>
        <v>1.6592815340549016E-2</v>
      </c>
      <c r="N601" s="43">
        <f t="shared" si="66"/>
        <v>4.9933333701810412E-3</v>
      </c>
      <c r="O601" s="43">
        <f t="shared" si="67"/>
        <v>9.2178878988227186E-3</v>
      </c>
      <c r="P601" s="43">
        <f t="shared" si="68"/>
        <v>0.30093346232682316</v>
      </c>
      <c r="Q601" s="37">
        <f t="shared" si="69"/>
        <v>0.55553489324360317</v>
      </c>
      <c r="R601" s="37">
        <v>-8.3999999999999995E-3</v>
      </c>
      <c r="S601" s="44" t="s">
        <v>1393</v>
      </c>
      <c r="T601" s="45">
        <v>1.8713452900000001</v>
      </c>
      <c r="U601" s="45">
        <v>0.25078300999999997</v>
      </c>
      <c r="V601" s="45">
        <v>1.22048639</v>
      </c>
      <c r="W601" s="45">
        <v>9.3332228000000007E-3</v>
      </c>
      <c r="X601" s="45">
        <v>3.45637762E-2</v>
      </c>
      <c r="Y601" s="45">
        <v>83.240486599999997</v>
      </c>
      <c r="Z601" s="36">
        <v>4.2809999999999997</v>
      </c>
      <c r="AA601" s="38">
        <v>653</v>
      </c>
      <c r="AB601" s="38">
        <v>729</v>
      </c>
      <c r="AC601" s="49" t="s">
        <v>506</v>
      </c>
      <c r="AD601" s="49" t="s">
        <v>506</v>
      </c>
      <c r="AE601" s="46" t="s">
        <v>248</v>
      </c>
    </row>
    <row r="602" spans="1:31" ht="15" thickBot="1">
      <c r="A602" s="34">
        <v>600</v>
      </c>
      <c r="B602" s="34" t="s">
        <v>253</v>
      </c>
      <c r="C602" s="41" t="s">
        <v>1358</v>
      </c>
      <c r="D602" s="34" t="s">
        <v>1183</v>
      </c>
      <c r="E602" s="80">
        <f t="shared" si="63"/>
        <v>1.7858245578889926</v>
      </c>
      <c r="F602" s="35">
        <f t="shared" si="64"/>
        <v>44.052476346494679</v>
      </c>
      <c r="G602" s="42" cm="1">
        <f t="array" ref="G60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43.800283226069091</v>
      </c>
      <c r="H602" s="81" cm="1">
        <f t="array" ref="H6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1.7804944936737916</v>
      </c>
      <c r="I602" s="81" cm="1">
        <f t="array" ref="I6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1.7858245578889926</v>
      </c>
      <c r="J602" s="81" cm="1">
        <f t="array" ref="J6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1.7900661996734797</v>
      </c>
      <c r="K602" s="81" cm="1">
        <f t="array" ref="K6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1.7983328678824988</v>
      </c>
      <c r="L602" s="81" cm="1">
        <f t="array" ref="L6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1.8083698529171033</v>
      </c>
      <c r="M602" s="37">
        <f t="shared" si="65"/>
        <v>1.7838374208707153E-2</v>
      </c>
      <c r="N602" s="43">
        <f t="shared" si="66"/>
        <v>5.3300642152009914E-3</v>
      </c>
      <c r="O602" s="43">
        <f t="shared" si="67"/>
        <v>1.0036985034604484E-2</v>
      </c>
      <c r="P602" s="43">
        <f t="shared" si="68"/>
        <v>0.29879764561723987</v>
      </c>
      <c r="Q602" s="37">
        <f t="shared" si="69"/>
        <v>0.56266254520578984</v>
      </c>
      <c r="R602" s="37">
        <v>-7.1000000000000004E-3</v>
      </c>
      <c r="S602" s="44" t="s">
        <v>1393</v>
      </c>
      <c r="T602" s="45">
        <v>1.7965341699999999</v>
      </c>
      <c r="U602" s="45">
        <v>0.31157790299999999</v>
      </c>
      <c r="V602" s="45">
        <v>1.15981863</v>
      </c>
      <c r="W602" s="45">
        <v>9.2731349299999995E-3</v>
      </c>
      <c r="X602" s="45">
        <v>3.5820118099999999E-2</v>
      </c>
      <c r="Y602" s="45">
        <v>87.3448712</v>
      </c>
      <c r="Z602" s="36">
        <v>4.3600000000000003</v>
      </c>
      <c r="AA602" s="38">
        <v>600</v>
      </c>
      <c r="AB602" s="38">
        <v>673</v>
      </c>
      <c r="AC602" s="39" t="s">
        <v>508</v>
      </c>
      <c r="AD602" s="49" t="s">
        <v>506</v>
      </c>
      <c r="AE602" s="46" t="s">
        <v>248</v>
      </c>
    </row>
    <row r="603" spans="1:31" ht="15" thickBot="1">
      <c r="A603" s="34">
        <v>601</v>
      </c>
      <c r="B603" s="34" t="s">
        <v>253</v>
      </c>
      <c r="C603" s="41" t="s">
        <v>1358</v>
      </c>
      <c r="D603" s="34" t="s">
        <v>1184</v>
      </c>
      <c r="E603" s="80">
        <f t="shared" si="63"/>
        <v>1.7725000643242328</v>
      </c>
      <c r="F603" s="35">
        <f t="shared" si="64"/>
        <v>49.620819453834805</v>
      </c>
      <c r="G603" s="42" cm="1">
        <f t="array" ref="G60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49.379374999631231</v>
      </c>
      <c r="H603" s="81" cm="1">
        <f t="array" ref="H6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1.7678017251145339</v>
      </c>
      <c r="I603" s="81" cm="1">
        <f t="array" ref="I6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1.7725000643242328</v>
      </c>
      <c r="J603" s="81" cm="1">
        <f t="array" ref="J6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1.7762081023052141</v>
      </c>
      <c r="K603" s="81" cm="1">
        <f t="array" ref="K6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1.7833697885368427</v>
      </c>
      <c r="L603" s="81" cm="1">
        <f t="array" ref="L6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1.7919614267268891</v>
      </c>
      <c r="M603" s="37">
        <f t="shared" si="65"/>
        <v>1.5568063422308764E-2</v>
      </c>
      <c r="N603" s="43">
        <f t="shared" si="66"/>
        <v>4.6983392096988652E-3</v>
      </c>
      <c r="O603" s="43">
        <f t="shared" si="67"/>
        <v>8.5916381900463801E-3</v>
      </c>
      <c r="P603" s="43">
        <f t="shared" si="68"/>
        <v>0.30179342685399307</v>
      </c>
      <c r="Q603" s="37">
        <f t="shared" si="69"/>
        <v>0.55187584717407512</v>
      </c>
      <c r="R603" s="37">
        <v>-8.5000000000000006E-3</v>
      </c>
      <c r="S603" s="44" t="s">
        <v>1393</v>
      </c>
      <c r="T603" s="45">
        <v>1.7583695800000001</v>
      </c>
      <c r="U603" s="45">
        <v>0.31353778500000001</v>
      </c>
      <c r="V603" s="45">
        <v>1.1892523100000001</v>
      </c>
      <c r="W603" s="45">
        <v>8.7281002599999997E-3</v>
      </c>
      <c r="X603" s="45">
        <v>2.9302083199999999E-2</v>
      </c>
      <c r="Y603" s="45">
        <v>85.178064399999997</v>
      </c>
      <c r="Z603" s="36">
        <v>4.24</v>
      </c>
      <c r="AA603" s="38">
        <v>668</v>
      </c>
      <c r="AB603" s="38">
        <v>745</v>
      </c>
      <c r="AC603" s="49" t="s">
        <v>506</v>
      </c>
      <c r="AD603" s="49" t="s">
        <v>506</v>
      </c>
      <c r="AE603" s="46" t="s">
        <v>248</v>
      </c>
    </row>
    <row r="604" spans="1:31" ht="15" thickBot="1">
      <c r="A604" s="34">
        <v>602</v>
      </c>
      <c r="B604" s="34" t="s">
        <v>253</v>
      </c>
      <c r="C604" s="41" t="s">
        <v>1358</v>
      </c>
      <c r="D604" s="34" t="s">
        <v>1185</v>
      </c>
      <c r="E604" s="80">
        <f t="shared" si="63"/>
        <v>1.7494998653004885</v>
      </c>
      <c r="F604" s="35">
        <f t="shared" si="64"/>
        <v>34.820388668661813</v>
      </c>
      <c r="G604" s="42" cm="1">
        <f t="array" ref="G60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34.562380184739979</v>
      </c>
      <c r="H604" s="81" cm="1">
        <f t="array" ref="H6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1.743198288777501</v>
      </c>
      <c r="I604" s="81" cm="1">
        <f t="array" ref="I6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1.7494998653004885</v>
      </c>
      <c r="J604" s="81" cm="1">
        <f t="array" ref="J6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1.7545934175106086</v>
      </c>
      <c r="K604" s="81" cm="1">
        <f t="array" ref="K6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1.7647230302854853</v>
      </c>
      <c r="L604" s="81" cm="1">
        <f t="array" ref="L6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1.7774115256736478</v>
      </c>
      <c r="M604" s="37">
        <f t="shared" si="65"/>
        <v>2.1524741507984224E-2</v>
      </c>
      <c r="N604" s="43">
        <f t="shared" si="66"/>
        <v>6.3015765229874621E-3</v>
      </c>
      <c r="O604" s="43">
        <f t="shared" si="67"/>
        <v>1.2688495388162524E-2</v>
      </c>
      <c r="P604" s="43">
        <f t="shared" si="68"/>
        <v>0.29275968404312791</v>
      </c>
      <c r="Q604" s="37">
        <f t="shared" si="69"/>
        <v>0.58948421673059115</v>
      </c>
      <c r="R604" s="37">
        <v>4.1999999999999997E-3</v>
      </c>
      <c r="S604" s="44" t="s">
        <v>1393</v>
      </c>
      <c r="T604" s="45">
        <v>1.74028764</v>
      </c>
      <c r="U604" s="45">
        <v>0.22671055400000001</v>
      </c>
      <c r="V604" s="45">
        <v>1.32525548</v>
      </c>
      <c r="W604" s="45">
        <v>1.0792558000000001E-2</v>
      </c>
      <c r="X604" s="45">
        <v>5.3862663900000003E-2</v>
      </c>
      <c r="Y604" s="45">
        <v>106.268665</v>
      </c>
      <c r="Z604" s="36">
        <v>3.73</v>
      </c>
      <c r="AA604" s="38">
        <v>568</v>
      </c>
      <c r="AB604" s="38">
        <v>669</v>
      </c>
      <c r="AC604" s="49" t="s">
        <v>506</v>
      </c>
      <c r="AD604" s="49" t="s">
        <v>506</v>
      </c>
      <c r="AE604" s="46" t="s">
        <v>248</v>
      </c>
    </row>
    <row r="605" spans="1:31" ht="15" thickBot="1">
      <c r="A605" s="34">
        <v>603</v>
      </c>
      <c r="B605" s="34" t="s">
        <v>253</v>
      </c>
      <c r="C605" s="41" t="s">
        <v>1358</v>
      </c>
      <c r="D605" s="34" t="s">
        <v>1186</v>
      </c>
      <c r="E605" s="80">
        <f t="shared" si="63"/>
        <v>1.7200280067420852</v>
      </c>
      <c r="F605" s="35">
        <f t="shared" si="64"/>
        <v>50.622841555459374</v>
      </c>
      <c r="G605" s="42" cm="1">
        <f t="array" ref="G60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50.386306308198421</v>
      </c>
      <c r="H605" s="81" cm="1">
        <f t="array" ref="H6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1.7157249934046765</v>
      </c>
      <c r="I605" s="81" cm="1">
        <f t="array" ref="I6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1.7200280067420852</v>
      </c>
      <c r="J605" s="81" cm="1">
        <f t="array" ref="J6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1.7234146636727368</v>
      </c>
      <c r="K605" s="81" cm="1">
        <f t="array" ref="K6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1.7299483752737734</v>
      </c>
      <c r="L605" s="81" cm="1">
        <f t="array" ref="L6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1.7377928014407946</v>
      </c>
      <c r="M605" s="37">
        <f t="shared" si="65"/>
        <v>1.4223381869096885E-2</v>
      </c>
      <c r="N605" s="43">
        <f t="shared" si="66"/>
        <v>4.3030133374086788E-3</v>
      </c>
      <c r="O605" s="43">
        <f t="shared" si="67"/>
        <v>7.8444261670211901E-3</v>
      </c>
      <c r="P605" s="43">
        <f t="shared" si="68"/>
        <v>0.30253095761689613</v>
      </c>
      <c r="Q605" s="37">
        <f t="shared" si="69"/>
        <v>0.55151624551856826</v>
      </c>
      <c r="R605" s="37">
        <v>-7.1999999999999998E-3</v>
      </c>
      <c r="S605" s="44" t="s">
        <v>1393</v>
      </c>
      <c r="T605" s="45">
        <v>1.7287801700000001</v>
      </c>
      <c r="U605" s="45">
        <v>0.169257825</v>
      </c>
      <c r="V605" s="45">
        <v>1.19386956</v>
      </c>
      <c r="W605" s="45">
        <v>8.8601463500000005E-3</v>
      </c>
      <c r="X605" s="45">
        <v>3.6341650900000001E-2</v>
      </c>
      <c r="Y605" s="45">
        <v>82.900906899999995</v>
      </c>
      <c r="Z605" s="36">
        <v>3.6890000000000001</v>
      </c>
      <c r="AA605" s="38">
        <v>636</v>
      </c>
      <c r="AB605" s="38">
        <v>714</v>
      </c>
      <c r="AC605" s="49" t="s">
        <v>506</v>
      </c>
      <c r="AD605" s="49" t="s">
        <v>506</v>
      </c>
      <c r="AE605" s="46" t="s">
        <v>248</v>
      </c>
    </row>
    <row r="606" spans="1:31" ht="15" thickBot="1">
      <c r="A606" s="34">
        <v>604</v>
      </c>
      <c r="B606" s="34" t="s">
        <v>253</v>
      </c>
      <c r="C606" s="41" t="s">
        <v>1358</v>
      </c>
      <c r="D606" s="34" t="s">
        <v>1187</v>
      </c>
      <c r="E606" s="80">
        <f t="shared" si="63"/>
        <v>1.6779000506492587</v>
      </c>
      <c r="F606" s="35">
        <f t="shared" si="64"/>
        <v>55.200222620964126</v>
      </c>
      <c r="G606" s="42" cm="1">
        <f t="array" ref="G60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54.923671113009128</v>
      </c>
      <c r="H606" s="81" cm="1">
        <f t="array" ref="H6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1.6741861441444901</v>
      </c>
      <c r="I606" s="81" cm="1">
        <f t="array" ref="I6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1.6779000506492587</v>
      </c>
      <c r="J606" s="81" cm="1">
        <f t="array" ref="J6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1.6808271420849143</v>
      </c>
      <c r="K606" s="81" cm="1">
        <f t="array" ref="K6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1.6864668926353812</v>
      </c>
      <c r="L606" s="81" cm="1">
        <f t="array" ref="L6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1.693203944186279</v>
      </c>
      <c r="M606" s="37">
        <f t="shared" si="65"/>
        <v>1.2280748490891114E-2</v>
      </c>
      <c r="N606" s="43">
        <f t="shared" si="66"/>
        <v>3.7139065047686604E-3</v>
      </c>
      <c r="O606" s="43">
        <f t="shared" si="67"/>
        <v>6.7370515508977658E-3</v>
      </c>
      <c r="P606" s="43">
        <f t="shared" si="68"/>
        <v>0.302416950198381</v>
      </c>
      <c r="Q606" s="37">
        <f t="shared" si="69"/>
        <v>0.54858639568221568</v>
      </c>
      <c r="R606" s="37">
        <v>-2.3999999999999998E-3</v>
      </c>
      <c r="S606" s="44" t="s">
        <v>1393</v>
      </c>
      <c r="T606" s="45">
        <v>1.1736570399999999</v>
      </c>
      <c r="U606" s="45">
        <v>0.58899239800000003</v>
      </c>
      <c r="V606" s="45">
        <v>0.97801439400000001</v>
      </c>
      <c r="W606" s="45">
        <v>5.7703179700000001E-3</v>
      </c>
      <c r="X606" s="45">
        <v>2.0040167800000001E-2</v>
      </c>
      <c r="Y606" s="45">
        <v>95.4873482</v>
      </c>
      <c r="Z606" s="36">
        <v>4.0999999999999996</v>
      </c>
      <c r="AA606" s="38">
        <v>614</v>
      </c>
      <c r="AB606" s="38">
        <v>714</v>
      </c>
      <c r="AC606" s="49" t="s">
        <v>506</v>
      </c>
      <c r="AD606" s="49" t="s">
        <v>506</v>
      </c>
      <c r="AE606" s="46" t="s">
        <v>248</v>
      </c>
    </row>
    <row r="607" spans="1:31" ht="15" thickBot="1">
      <c r="A607" s="34">
        <v>605</v>
      </c>
      <c r="B607" s="34" t="s">
        <v>253</v>
      </c>
      <c r="C607" s="41" t="s">
        <v>1358</v>
      </c>
      <c r="D607" s="34" t="s">
        <v>1188</v>
      </c>
      <c r="E607" s="80">
        <f t="shared" si="63"/>
        <v>1.6968000242457755</v>
      </c>
      <c r="F607" s="35">
        <f t="shared" si="64"/>
        <v>55.410868613386576</v>
      </c>
      <c r="G607" s="42" cm="1">
        <f t="array" ref="G60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55.194630404438733</v>
      </c>
      <c r="H607" s="81" cm="1">
        <f t="array" ref="H6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1.6929655018194998</v>
      </c>
      <c r="I607" s="81" cm="1">
        <f t="array" ref="I6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1.6968000242457755</v>
      </c>
      <c r="J607" s="81" cm="1">
        <f t="array" ref="J6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1.699798301338707</v>
      </c>
      <c r="K607" s="81" cm="1">
        <f t="array" ref="K6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1.7055406525378092</v>
      </c>
      <c r="L607" s="81" cm="1">
        <f t="array" ref="L6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1.7123662623463585</v>
      </c>
      <c r="M607" s="37">
        <f t="shared" si="65"/>
        <v>1.2575150718309391E-2</v>
      </c>
      <c r="N607" s="43">
        <f t="shared" si="66"/>
        <v>3.8345224262756883E-3</v>
      </c>
      <c r="O607" s="43">
        <f t="shared" si="67"/>
        <v>6.8256098085492933E-3</v>
      </c>
      <c r="P607" s="43">
        <f t="shared" si="68"/>
        <v>0.30492854615989867</v>
      </c>
      <c r="Q607" s="37">
        <f t="shared" si="69"/>
        <v>0.54278552690515436</v>
      </c>
      <c r="R607" s="37">
        <v>-7.9000000000000008E-3</v>
      </c>
      <c r="S607" s="44" t="s">
        <v>1393</v>
      </c>
      <c r="T607" s="45">
        <v>1.5078121200000001</v>
      </c>
      <c r="U607" s="45">
        <v>0.31886682900000002</v>
      </c>
      <c r="V607" s="45">
        <v>1.14287213</v>
      </c>
      <c r="W607" s="45">
        <v>7.4609872700000003E-3</v>
      </c>
      <c r="X607" s="45">
        <v>2.4202483399999999E-2</v>
      </c>
      <c r="Y607" s="45">
        <v>80.956516500000006</v>
      </c>
      <c r="Z607" s="36">
        <v>3.63</v>
      </c>
      <c r="AA607" s="38">
        <v>661</v>
      </c>
      <c r="AB607" s="38">
        <v>734</v>
      </c>
      <c r="AC607" s="49" t="s">
        <v>506</v>
      </c>
      <c r="AD607" s="49" t="s">
        <v>506</v>
      </c>
      <c r="AE607" s="46"/>
    </row>
    <row r="608" spans="1:31" ht="15" thickBot="1">
      <c r="A608" s="34">
        <v>606</v>
      </c>
      <c r="B608" s="34" t="s">
        <v>253</v>
      </c>
      <c r="C608" s="41" t="s">
        <v>1358</v>
      </c>
      <c r="D608" s="34" t="s">
        <v>1189</v>
      </c>
      <c r="E608" s="80">
        <f t="shared" si="63"/>
        <v>1.640494774825817</v>
      </c>
      <c r="F608" s="35">
        <f t="shared" si="64"/>
        <v>60.102592784458935</v>
      </c>
      <c r="G608" s="42" cm="1">
        <f t="array" ref="G60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59.858350339673656</v>
      </c>
      <c r="H608" s="81" cm="1">
        <f t="array" ref="H6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1.6372418654523719</v>
      </c>
      <c r="I608" s="81" cm="1">
        <f t="array" ref="I6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1.640494774825817</v>
      </c>
      <c r="J608" s="81" cm="1">
        <f t="array" ref="J6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1.6430365751611389</v>
      </c>
      <c r="K608" s="81" cm="1">
        <f t="array" ref="K6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1.6478985567056557</v>
      </c>
      <c r="L608" s="81" cm="1">
        <f t="array" ref="L6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1.6536648124244788</v>
      </c>
      <c r="M608" s="37">
        <f t="shared" si="65"/>
        <v>1.0656691253283723E-2</v>
      </c>
      <c r="N608" s="43">
        <f t="shared" si="66"/>
        <v>3.2529093734450232E-3</v>
      </c>
      <c r="O608" s="43">
        <f t="shared" si="67"/>
        <v>5.7662557188231656E-3</v>
      </c>
      <c r="P608" s="43">
        <f t="shared" si="68"/>
        <v>0.30524571803116474</v>
      </c>
      <c r="Q608" s="37">
        <f t="shared" si="69"/>
        <v>0.54109250064332748</v>
      </c>
      <c r="R608" s="37">
        <v>-1.6999999999999999E-3</v>
      </c>
      <c r="S608" s="44" t="s">
        <v>1393</v>
      </c>
      <c r="T608" s="45">
        <v>1.22718116</v>
      </c>
      <c r="U608" s="45">
        <v>0.42078374299999999</v>
      </c>
      <c r="V608" s="45">
        <v>1.01284843</v>
      </c>
      <c r="W608" s="45">
        <v>6.0207568199999997E-3</v>
      </c>
      <c r="X608" s="45">
        <v>1.9686288900000001E-2</v>
      </c>
      <c r="Y608" s="45">
        <v>88.437009900000007</v>
      </c>
      <c r="Z608" s="36">
        <v>3.74</v>
      </c>
      <c r="AA608" s="38">
        <v>639</v>
      </c>
      <c r="AB608" s="38">
        <v>716</v>
      </c>
      <c r="AC608" s="39" t="s">
        <v>508</v>
      </c>
      <c r="AD608" s="49" t="s">
        <v>506</v>
      </c>
      <c r="AE608" s="46" t="s">
        <v>248</v>
      </c>
    </row>
    <row r="609" spans="1:31" ht="15" thickBot="1">
      <c r="A609" s="34">
        <v>607</v>
      </c>
      <c r="B609" s="34" t="s">
        <v>253</v>
      </c>
      <c r="C609" s="41" t="s">
        <v>1358</v>
      </c>
      <c r="D609" s="34" t="s">
        <v>1190</v>
      </c>
      <c r="E609" s="80">
        <f t="shared" si="63"/>
        <v>1.6511304534373294</v>
      </c>
      <c r="F609" s="35">
        <f t="shared" si="64"/>
        <v>55.892417514825624</v>
      </c>
      <c r="G609" s="42" cm="1">
        <f t="array" ref="G60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55.627304907712649</v>
      </c>
      <c r="H609" s="81" cm="1">
        <f t="array" ref="H6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1.6475992470773313</v>
      </c>
      <c r="I609" s="81" cm="1">
        <f t="array" ref="I6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1.6511304534373294</v>
      </c>
      <c r="J609" s="81" cm="1">
        <f t="array" ref="J6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1.6539076265448087</v>
      </c>
      <c r="K609" s="81" cm="1">
        <f t="array" ref="K6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1.65924895704496</v>
      </c>
      <c r="L609" s="81" cm="1">
        <f t="array" ref="L6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1.6656182378648412</v>
      </c>
      <c r="M609" s="37">
        <f t="shared" si="65"/>
        <v>1.1649709967628707E-2</v>
      </c>
      <c r="N609" s="43">
        <f t="shared" si="66"/>
        <v>3.5312063599981514E-3</v>
      </c>
      <c r="O609" s="43">
        <f t="shared" si="67"/>
        <v>6.3692808198811957E-3</v>
      </c>
      <c r="P609" s="43">
        <f t="shared" si="68"/>
        <v>0.30311538826377554</v>
      </c>
      <c r="Q609" s="37">
        <f t="shared" si="69"/>
        <v>0.54673299486250293</v>
      </c>
      <c r="R609" s="37">
        <v>-3.0999999999999999E-3</v>
      </c>
      <c r="S609" s="44" t="s">
        <v>1393</v>
      </c>
      <c r="T609" s="45">
        <v>1.1422978100000001</v>
      </c>
      <c r="U609" s="45">
        <v>0.53513844099999996</v>
      </c>
      <c r="V609" s="45">
        <v>1.0408838499999999</v>
      </c>
      <c r="W609" s="45">
        <v>5.8577859399999996E-3</v>
      </c>
      <c r="X609" s="45">
        <v>1.9854614699999999E-2</v>
      </c>
      <c r="Y609" s="45">
        <v>100.834017</v>
      </c>
      <c r="Z609" s="36">
        <v>3.7679999999999998</v>
      </c>
      <c r="AA609" s="38">
        <v>689</v>
      </c>
      <c r="AB609" s="38" t="s">
        <v>248</v>
      </c>
      <c r="AC609" s="49" t="s">
        <v>506</v>
      </c>
      <c r="AD609" s="49" t="s">
        <v>506</v>
      </c>
      <c r="AE609" s="46" t="s">
        <v>248</v>
      </c>
    </row>
    <row r="610" spans="1:31" ht="15" thickBot="1">
      <c r="A610" s="34">
        <v>608</v>
      </c>
      <c r="B610" s="34" t="s">
        <v>253</v>
      </c>
      <c r="C610" s="41" t="s">
        <v>1358</v>
      </c>
      <c r="D610" s="34" t="s">
        <v>1191</v>
      </c>
      <c r="E610" s="80">
        <f t="shared" si="63"/>
        <v>1.744286612027413</v>
      </c>
      <c r="F610" s="35">
        <f t="shared" si="64"/>
        <v>50.771511033291127</v>
      </c>
      <c r="G610" s="42" cm="1">
        <f t="array" ref="G61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50.536492812336498</v>
      </c>
      <c r="H610" s="81" cm="1">
        <f t="array" ref="H6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1.7398514147137794</v>
      </c>
      <c r="I610" s="81" cm="1">
        <f t="array" ref="I6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1.744286612027413</v>
      </c>
      <c r="J610" s="81" cm="1">
        <f t="array" ref="J6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1.747778811498564</v>
      </c>
      <c r="K610" s="81" cm="1">
        <f t="array" ref="K6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1.7545109471342224</v>
      </c>
      <c r="L610" s="81" cm="1">
        <f t="array" ref="L6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1.7625721638476917</v>
      </c>
      <c r="M610" s="37">
        <f t="shared" si="65"/>
        <v>1.4659532420443044E-2</v>
      </c>
      <c r="N610" s="43">
        <f t="shared" si="66"/>
        <v>4.4351973136336209E-3</v>
      </c>
      <c r="O610" s="43">
        <f t="shared" si="67"/>
        <v>8.0612167134692658E-3</v>
      </c>
      <c r="P610" s="43">
        <f t="shared" si="68"/>
        <v>0.30254698352101866</v>
      </c>
      <c r="Q610" s="37">
        <f t="shared" si="69"/>
        <v>0.54989589587644139</v>
      </c>
      <c r="R610" s="37">
        <v>-8.5000000000000006E-3</v>
      </c>
      <c r="S610" s="44" t="s">
        <v>1393</v>
      </c>
      <c r="T610" s="45">
        <v>1.5044198600000001</v>
      </c>
      <c r="U610" s="45">
        <v>0.474120561</v>
      </c>
      <c r="V610" s="45">
        <v>1.17784354</v>
      </c>
      <c r="W610" s="45">
        <v>7.1966559200000004E-3</v>
      </c>
      <c r="X610" s="45">
        <v>2.4914322700000002E-2</v>
      </c>
      <c r="Y610" s="45">
        <v>83.144321000000005</v>
      </c>
      <c r="Z610" s="36">
        <v>4.09</v>
      </c>
      <c r="AA610" s="38">
        <v>625</v>
      </c>
      <c r="AB610" s="38"/>
      <c r="AC610" s="49" t="s">
        <v>506</v>
      </c>
      <c r="AD610" s="49" t="s">
        <v>506</v>
      </c>
      <c r="AE610" s="46" t="s">
        <v>248</v>
      </c>
    </row>
    <row r="611" spans="1:31" ht="15" thickBot="1">
      <c r="A611" s="34">
        <v>609</v>
      </c>
      <c r="B611" s="34" t="s">
        <v>253</v>
      </c>
      <c r="C611" s="41" t="s">
        <v>1358</v>
      </c>
      <c r="D611" s="34" t="s">
        <v>1192</v>
      </c>
      <c r="E611" s="80">
        <f t="shared" si="63"/>
        <v>1.7550001645219675</v>
      </c>
      <c r="F611" s="35">
        <f t="shared" si="64"/>
        <v>52.300743546179135</v>
      </c>
      <c r="G611" s="42" cm="1">
        <f t="array" ref="G61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52.068887314293598</v>
      </c>
      <c r="H611" s="81" cm="1">
        <f t="array" ref="H6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1.7506230048826996</v>
      </c>
      <c r="I611" s="81" cm="1">
        <f t="array" ref="I6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1.7550001645219675</v>
      </c>
      <c r="J611" s="81" cm="1">
        <f t="array" ref="J6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1.7584405534965855</v>
      </c>
      <c r="K611" s="81" cm="1">
        <f t="array" ref="K6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1.7650587492589787</v>
      </c>
      <c r="L611" s="81" cm="1">
        <f t="array" ref="L6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1.77295973540223</v>
      </c>
      <c r="M611" s="37">
        <f t="shared" si="65"/>
        <v>1.4435744376279036E-2</v>
      </c>
      <c r="N611" s="43">
        <f t="shared" si="66"/>
        <v>4.3771596392678802E-3</v>
      </c>
      <c r="O611" s="43">
        <f t="shared" si="67"/>
        <v>7.9009861432512984E-3</v>
      </c>
      <c r="P611" s="43">
        <f t="shared" si="68"/>
        <v>0.3032167600903542</v>
      </c>
      <c r="Q611" s="37">
        <f t="shared" si="69"/>
        <v>0.54732100661426786</v>
      </c>
      <c r="R611" s="37">
        <v>-8.5000000000000006E-3</v>
      </c>
      <c r="S611" s="44" t="s">
        <v>1393</v>
      </c>
      <c r="T611" s="45">
        <v>1.42288601</v>
      </c>
      <c r="U611" s="45">
        <v>0.59366133600000004</v>
      </c>
      <c r="V611" s="45">
        <v>1.1613526000000001</v>
      </c>
      <c r="W611" s="45">
        <v>6.7028345200000001E-3</v>
      </c>
      <c r="X611" s="45">
        <v>2.1941621000000001E-2</v>
      </c>
      <c r="Y611" s="45">
        <v>80.740770100000006</v>
      </c>
      <c r="Z611" s="36">
        <v>4.2210000000000001</v>
      </c>
      <c r="AA611" s="38">
        <v>668</v>
      </c>
      <c r="AB611" s="38">
        <v>750</v>
      </c>
      <c r="AC611" s="49" t="s">
        <v>506</v>
      </c>
      <c r="AD611" s="49" t="s">
        <v>506</v>
      </c>
      <c r="AE611" s="46"/>
    </row>
    <row r="612" spans="1:31" ht="15" thickBot="1">
      <c r="A612" s="34">
        <v>610</v>
      </c>
      <c r="B612" s="34" t="s">
        <v>253</v>
      </c>
      <c r="C612" s="41" t="s">
        <v>1358</v>
      </c>
      <c r="D612" s="34" t="s">
        <v>1193</v>
      </c>
      <c r="E612" s="80">
        <f t="shared" si="63"/>
        <v>1.7291600601924044</v>
      </c>
      <c r="F612" s="35">
        <f t="shared" si="64"/>
        <v>54.499879384560472</v>
      </c>
      <c r="G612" s="42" cm="1">
        <f t="array" ref="G61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54.274287147672837</v>
      </c>
      <c r="H612" s="81" cm="1">
        <f t="array" ref="H6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1.7250896646665024</v>
      </c>
      <c r="I612" s="81" cm="1">
        <f t="array" ref="I6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1.7291600601924044</v>
      </c>
      <c r="J612" s="81" cm="1">
        <f t="array" ref="J6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1.7323497587209546</v>
      </c>
      <c r="K612" s="81" cm="1">
        <f t="array" ref="K6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1.7384687779494388</v>
      </c>
      <c r="L612" s="81" cm="1">
        <f t="array" ref="L6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1.7457512748011563</v>
      </c>
      <c r="M612" s="37">
        <f t="shared" si="65"/>
        <v>1.3379113282936395E-2</v>
      </c>
      <c r="N612" s="43">
        <f t="shared" si="66"/>
        <v>4.0703955259020486E-3</v>
      </c>
      <c r="O612" s="43">
        <f t="shared" si="67"/>
        <v>7.282496851717557E-3</v>
      </c>
      <c r="P612" s="43">
        <f t="shared" si="68"/>
        <v>0.30423507446441878</v>
      </c>
      <c r="Q612" s="37">
        <f t="shared" si="69"/>
        <v>0.54431834888531738</v>
      </c>
      <c r="R612" s="37">
        <v>-7.9000000000000008E-3</v>
      </c>
      <c r="S612" s="44" t="s">
        <v>1393</v>
      </c>
      <c r="T612" s="45">
        <v>1.26661442</v>
      </c>
      <c r="U612" s="45">
        <v>0.66591931800000004</v>
      </c>
      <c r="V612" s="45">
        <v>1.1249612</v>
      </c>
      <c r="W612" s="45">
        <v>5.8927806200000004E-3</v>
      </c>
      <c r="X612" s="45">
        <v>1.9750904100000001E-2</v>
      </c>
      <c r="Y612" s="45">
        <v>78.889417399999999</v>
      </c>
      <c r="Z612" s="36">
        <v>4.0199999999999996</v>
      </c>
      <c r="AA612" s="38">
        <v>668</v>
      </c>
      <c r="AB612" s="38">
        <v>740</v>
      </c>
      <c r="AC612" s="49" t="s">
        <v>506</v>
      </c>
      <c r="AD612" s="49" t="s">
        <v>506</v>
      </c>
      <c r="AE612" s="46" t="s">
        <v>248</v>
      </c>
    </row>
    <row r="613" spans="1:31" ht="15" thickBot="1">
      <c r="A613" s="34">
        <v>611</v>
      </c>
      <c r="B613" s="34" t="s">
        <v>253</v>
      </c>
      <c r="C613" s="41" t="s">
        <v>1358</v>
      </c>
      <c r="D613" s="34" t="s">
        <v>1194</v>
      </c>
      <c r="E613" s="80">
        <f t="shared" si="63"/>
        <v>1.6515996385973282</v>
      </c>
      <c r="F613" s="35">
        <f t="shared" si="64"/>
        <v>58.518464809986838</v>
      </c>
      <c r="G613" s="42" cm="1">
        <f t="array" ref="G61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58.264901350956798</v>
      </c>
      <c r="H613" s="81" cm="1">
        <f t="array" ref="H6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1.6482098488175474</v>
      </c>
      <c r="I613" s="81" cm="1">
        <f t="array" ref="I6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1.6515996385973282</v>
      </c>
      <c r="J613" s="81" cm="1">
        <f t="array" ref="J6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1.6542549348784652</v>
      </c>
      <c r="K613" s="81" cm="1">
        <f t="array" ref="K6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1.6593447895702331</v>
      </c>
      <c r="L613" s="81" cm="1">
        <f t="array" ref="L6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1.6653943450725761</v>
      </c>
      <c r="M613" s="37">
        <f t="shared" si="65"/>
        <v>1.1134940752685729E-2</v>
      </c>
      <c r="N613" s="43">
        <f t="shared" si="66"/>
        <v>3.3897897797807719E-3</v>
      </c>
      <c r="O613" s="43">
        <f t="shared" si="67"/>
        <v>6.0495555023429848E-3</v>
      </c>
      <c r="P613" s="43">
        <f t="shared" si="68"/>
        <v>0.30442818287678453</v>
      </c>
      <c r="Q613" s="37">
        <f t="shared" si="69"/>
        <v>0.54329480836113497</v>
      </c>
      <c r="R613" s="37">
        <v>-2.0999999999999999E-3</v>
      </c>
      <c r="S613" s="44" t="s">
        <v>1393</v>
      </c>
      <c r="T613" s="45">
        <v>1.23679889</v>
      </c>
      <c r="U613" s="45">
        <v>0.44505183700000001</v>
      </c>
      <c r="V613" s="45">
        <v>1.01745888</v>
      </c>
      <c r="W613" s="45">
        <v>6.1010553800000004E-3</v>
      </c>
      <c r="X613" s="45">
        <v>2.01388334E-2</v>
      </c>
      <c r="Y613" s="45">
        <v>90.638037999999995</v>
      </c>
      <c r="Z613" s="36">
        <v>3.84</v>
      </c>
      <c r="AA613" s="38">
        <v>618</v>
      </c>
      <c r="AB613" s="38">
        <v>716</v>
      </c>
      <c r="AC613" s="49" t="s">
        <v>506</v>
      </c>
      <c r="AD613" s="49" t="s">
        <v>506</v>
      </c>
      <c r="AE613" s="46" t="s">
        <v>248</v>
      </c>
    </row>
    <row r="614" spans="1:31" ht="15" thickBot="1">
      <c r="A614" s="34">
        <v>612</v>
      </c>
      <c r="B614" s="34" t="s">
        <v>253</v>
      </c>
      <c r="C614" s="41" t="s">
        <v>1358</v>
      </c>
      <c r="D614" s="34" t="s">
        <v>1195</v>
      </c>
      <c r="E614" s="80">
        <f t="shared" si="63"/>
        <v>1.7130031720052463</v>
      </c>
      <c r="F614" s="35">
        <f t="shared" si="64"/>
        <v>53.832269906908422</v>
      </c>
      <c r="G614" s="42" cm="1">
        <f t="array" ref="G61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53.610749483514965</v>
      </c>
      <c r="H614" s="81" cm="1">
        <f t="array" ref="H6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1.7089738858134345</v>
      </c>
      <c r="I614" s="81" cm="1">
        <f t="array" ref="I6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1.7130031720052463</v>
      </c>
      <c r="J614" s="81" cm="1">
        <f t="array" ref="J6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1.7161601675600253</v>
      </c>
      <c r="K614" s="81" cm="1">
        <f t="array" ref="K6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1.7222187884199609</v>
      </c>
      <c r="L614" s="81" cm="1">
        <f t="array" ref="L6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1.7294373922787969</v>
      </c>
      <c r="M614" s="37">
        <f t="shared" si="65"/>
        <v>1.3244902606526443E-2</v>
      </c>
      <c r="N614" s="43">
        <f t="shared" si="66"/>
        <v>4.029286191811865E-3</v>
      </c>
      <c r="O614" s="43">
        <f t="shared" si="67"/>
        <v>7.2186038588359924E-3</v>
      </c>
      <c r="P614" s="43">
        <f t="shared" si="68"/>
        <v>0.30421410496642148</v>
      </c>
      <c r="Q614" s="37">
        <f t="shared" si="69"/>
        <v>0.54500996143822278</v>
      </c>
      <c r="R614" s="37">
        <v>-8.3000000000000001E-3</v>
      </c>
      <c r="S614" s="44" t="s">
        <v>1393</v>
      </c>
      <c r="T614" s="45">
        <v>1.3318316699999999</v>
      </c>
      <c r="U614" s="45">
        <v>0.54662320600000003</v>
      </c>
      <c r="V614" s="45">
        <v>1.1908401500000001</v>
      </c>
      <c r="W614" s="45">
        <v>6.20023871E-3</v>
      </c>
      <c r="X614" s="45">
        <v>2.1646543899999999E-2</v>
      </c>
      <c r="Y614" s="45">
        <v>82.582773599999996</v>
      </c>
      <c r="Z614" s="36">
        <v>3.7490000000000001</v>
      </c>
      <c r="AA614" s="38">
        <v>643</v>
      </c>
      <c r="AB614" s="38">
        <v>717</v>
      </c>
      <c r="AC614" s="49" t="s">
        <v>506</v>
      </c>
      <c r="AD614" s="49" t="s">
        <v>506</v>
      </c>
      <c r="AE614" s="46" t="s">
        <v>248</v>
      </c>
    </row>
    <row r="615" spans="1:31" ht="15" thickBot="1">
      <c r="A615" s="34">
        <v>613</v>
      </c>
      <c r="B615" s="34" t="s">
        <v>253</v>
      </c>
      <c r="C615" s="41" t="s">
        <v>1358</v>
      </c>
      <c r="D615" s="34" t="s">
        <v>1196</v>
      </c>
      <c r="E615" s="80">
        <f t="shared" si="63"/>
        <v>1.6910020663241181</v>
      </c>
      <c r="F615" s="35">
        <f t="shared" si="64"/>
        <v>54.709055623439276</v>
      </c>
      <c r="G615" s="42" cm="1">
        <f t="array" ref="G61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54.482065939141059</v>
      </c>
      <c r="H615" s="81" cm="1">
        <f t="array" ref="H6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1.687158793213573</v>
      </c>
      <c r="I615" s="81" cm="1">
        <f t="array" ref="I6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1.6910020663241181</v>
      </c>
      <c r="J615" s="81" cm="1">
        <f t="array" ref="J6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1.6940128383264335</v>
      </c>
      <c r="K615" s="81" cm="1">
        <f t="array" ref="K6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1.6997892811364548</v>
      </c>
      <c r="L615" s="81" cm="1">
        <f t="array" ref="L6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1.7066690681772203</v>
      </c>
      <c r="M615" s="37">
        <f t="shared" si="65"/>
        <v>1.2630487922881795E-2</v>
      </c>
      <c r="N615" s="43">
        <f t="shared" si="66"/>
        <v>3.843273110545109E-3</v>
      </c>
      <c r="O615" s="43">
        <f t="shared" si="67"/>
        <v>6.8797870407655282E-3</v>
      </c>
      <c r="P615" s="43">
        <f t="shared" si="68"/>
        <v>0.30428540322520026</v>
      </c>
      <c r="Q615" s="37">
        <f t="shared" si="69"/>
        <v>0.54469685437107196</v>
      </c>
      <c r="R615" s="37">
        <v>-7.1000000000000004E-3</v>
      </c>
      <c r="S615" s="44" t="s">
        <v>1393</v>
      </c>
      <c r="T615" s="45">
        <v>1.4623190500000001</v>
      </c>
      <c r="U615" s="45">
        <v>0.34439958900000001</v>
      </c>
      <c r="V615" s="45">
        <v>1.1550837199999999</v>
      </c>
      <c r="W615" s="45">
        <v>7.2427015600000002E-3</v>
      </c>
      <c r="X615" s="45">
        <v>2.4335313099999999E-2</v>
      </c>
      <c r="Y615" s="45">
        <v>85.4686868</v>
      </c>
      <c r="Z615" s="36">
        <v>3.51</v>
      </c>
      <c r="AA615" s="38">
        <v>656</v>
      </c>
      <c r="AB615" s="38">
        <v>722</v>
      </c>
      <c r="AC615" s="49" t="s">
        <v>506</v>
      </c>
      <c r="AD615" s="49" t="s">
        <v>506</v>
      </c>
      <c r="AE615" s="46" t="s">
        <v>248</v>
      </c>
    </row>
    <row r="616" spans="1:31" ht="15" thickBot="1">
      <c r="A616" s="34">
        <v>614</v>
      </c>
      <c r="B616" s="34" t="s">
        <v>253</v>
      </c>
      <c r="C616" s="41" t="s">
        <v>1358</v>
      </c>
      <c r="D616" s="34" t="s">
        <v>1197</v>
      </c>
      <c r="E616" s="80">
        <f t="shared" si="63"/>
        <v>1.8829998095924994</v>
      </c>
      <c r="F616" s="35">
        <f t="shared" si="64"/>
        <v>40.760525785670644</v>
      </c>
      <c r="G616" s="42" cm="1">
        <f t="array" ref="G61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40.515369502366447</v>
      </c>
      <c r="H616" s="81" cm="1">
        <f t="array" ref="H6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1.8765612518832744</v>
      </c>
      <c r="I616" s="81" cm="1">
        <f t="array" ref="I6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1.8829998095924994</v>
      </c>
      <c r="J616" s="81" cm="1">
        <f t="array" ref="J6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1.8881489607390864</v>
      </c>
      <c r="K616" s="81" cm="1">
        <f t="array" ref="K6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1.8982243632532194</v>
      </c>
      <c r="L616" s="81" cm="1">
        <f t="array" ref="L6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1.9105024666859343</v>
      </c>
      <c r="M616" s="37">
        <f t="shared" si="65"/>
        <v>2.1663111369945032E-2</v>
      </c>
      <c r="N616" s="43">
        <f t="shared" si="66"/>
        <v>6.438557709224968E-3</v>
      </c>
      <c r="O616" s="43">
        <f t="shared" si="67"/>
        <v>1.2278103432714849E-2</v>
      </c>
      <c r="P616" s="43">
        <f t="shared" si="68"/>
        <v>0.29721297182443029</v>
      </c>
      <c r="Q616" s="37">
        <f t="shared" si="69"/>
        <v>0.56677469930516278</v>
      </c>
      <c r="R616" s="37">
        <v>-8.5000000000000006E-3</v>
      </c>
      <c r="S616" s="44" t="s">
        <v>1393</v>
      </c>
      <c r="T616" s="45">
        <v>1.9648507500000001</v>
      </c>
      <c r="U616" s="45">
        <v>0.47523125900000002</v>
      </c>
      <c r="V616" s="45">
        <v>1.4836010900000001</v>
      </c>
      <c r="W616" s="45">
        <v>9.8206015500000004E-3</v>
      </c>
      <c r="X616" s="45">
        <v>3.4471343799999998E-2</v>
      </c>
      <c r="Y616" s="45">
        <v>110.739863</v>
      </c>
      <c r="Z616" s="36">
        <v>5.51</v>
      </c>
      <c r="AA616" s="38">
        <v>719</v>
      </c>
      <c r="AB616" s="38">
        <v>830</v>
      </c>
      <c r="AC616" s="49" t="s">
        <v>506</v>
      </c>
      <c r="AD616" s="49" t="s">
        <v>506</v>
      </c>
      <c r="AE616" s="46" t="s">
        <v>248</v>
      </c>
    </row>
    <row r="617" spans="1:31" ht="15" thickBot="1">
      <c r="A617" s="34">
        <v>615</v>
      </c>
      <c r="B617" s="34" t="s">
        <v>253</v>
      </c>
      <c r="C617" s="41" t="s">
        <v>1358</v>
      </c>
      <c r="D617" s="34" t="s">
        <v>1198</v>
      </c>
      <c r="E617" s="80">
        <f t="shared" si="63"/>
        <v>1.8340436906929021</v>
      </c>
      <c r="F617" s="35">
        <f t="shared" si="64"/>
        <v>37.296107882728563</v>
      </c>
      <c r="G617" s="42" cm="1">
        <f t="array" ref="G61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37.044358053449997</v>
      </c>
      <c r="H617" s="81" cm="1">
        <f t="array" ref="H6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1.8274508333960913</v>
      </c>
      <c r="I617" s="81" cm="1">
        <f t="array" ref="I6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1.8340436906929021</v>
      </c>
      <c r="J617" s="81" cm="1">
        <f t="array" ref="J6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1.8393468622082667</v>
      </c>
      <c r="K617" s="81" cm="1">
        <f t="array" ref="K6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1.8498135875289197</v>
      </c>
      <c r="L617" s="81" cm="1">
        <f t="array" ref="L6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1.862754591128523</v>
      </c>
      <c r="M617" s="37">
        <f t="shared" si="65"/>
        <v>2.23627541328284E-2</v>
      </c>
      <c r="N617" s="43">
        <f t="shared" si="66"/>
        <v>6.5928572968108057E-3</v>
      </c>
      <c r="O617" s="43">
        <f t="shared" si="67"/>
        <v>1.2941003599603373E-2</v>
      </c>
      <c r="P617" s="43">
        <f t="shared" si="68"/>
        <v>0.29481419227931893</v>
      </c>
      <c r="Q617" s="37">
        <f t="shared" si="69"/>
        <v>0.5786855913514718</v>
      </c>
      <c r="R617" s="37">
        <v>-2.3999999999999998E-3</v>
      </c>
      <c r="S617" s="44" t="s">
        <v>1393</v>
      </c>
      <c r="T617" s="45">
        <v>1.9855033099999999</v>
      </c>
      <c r="U617" s="45">
        <v>0.27405704199999997</v>
      </c>
      <c r="V617" s="45">
        <v>1.28945661</v>
      </c>
      <c r="W617" s="45">
        <v>1.0958331E-2</v>
      </c>
      <c r="X617" s="45">
        <v>4.74551603E-2</v>
      </c>
      <c r="Y617" s="45">
        <v>96.908528599999997</v>
      </c>
      <c r="Z617" s="36">
        <v>4.43</v>
      </c>
      <c r="AA617" s="38">
        <v>590</v>
      </c>
      <c r="AB617" s="38">
        <v>677</v>
      </c>
      <c r="AC617" s="49" t="s">
        <v>506</v>
      </c>
      <c r="AD617" s="49" t="s">
        <v>506</v>
      </c>
      <c r="AE617" s="46" t="s">
        <v>248</v>
      </c>
    </row>
    <row r="618" spans="1:31" ht="15" thickBot="1">
      <c r="A618" s="34">
        <v>616</v>
      </c>
      <c r="B618" s="34" t="s">
        <v>253</v>
      </c>
      <c r="C618" s="41" t="s">
        <v>1358</v>
      </c>
      <c r="D618" s="34" t="s">
        <v>1199</v>
      </c>
      <c r="E618" s="80">
        <f t="shared" si="63"/>
        <v>1.835010171727693</v>
      </c>
      <c r="F618" s="35">
        <f t="shared" si="64"/>
        <v>43.129565888270925</v>
      </c>
      <c r="G618" s="42" cm="1">
        <f t="array" ref="G61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42.88483608143796</v>
      </c>
      <c r="H618" s="81" cm="1">
        <f t="array" ref="H6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1.8292281385612377</v>
      </c>
      <c r="I618" s="81" cm="1">
        <f t="array" ref="I6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1.835010171727693</v>
      </c>
      <c r="J618" s="81" cm="1">
        <f t="array" ref="J6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1.8396136610186224</v>
      </c>
      <c r="K618" s="81" cm="1">
        <f t="array" ref="K6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1.848588643461538</v>
      </c>
      <c r="L618" s="81" cm="1">
        <f t="array" ref="L6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1.8594876290920179</v>
      </c>
      <c r="M618" s="37">
        <f t="shared" si="65"/>
        <v>1.9360504900300279E-2</v>
      </c>
      <c r="N618" s="43">
        <f t="shared" si="66"/>
        <v>5.7820331664553137E-3</v>
      </c>
      <c r="O618" s="43">
        <f t="shared" si="67"/>
        <v>1.0898985630479974E-2</v>
      </c>
      <c r="P618" s="43">
        <f t="shared" si="68"/>
        <v>0.29865094925110319</v>
      </c>
      <c r="Q618" s="37">
        <f t="shared" si="69"/>
        <v>0.56294945233122162</v>
      </c>
      <c r="R618" s="37">
        <v>-8.3000000000000001E-3</v>
      </c>
      <c r="S618" s="44" t="s">
        <v>1393</v>
      </c>
      <c r="T618" s="45">
        <v>1.8634833099999999</v>
      </c>
      <c r="U618" s="45">
        <v>0.41330725499999998</v>
      </c>
      <c r="V618" s="45">
        <v>1.3578481499999999</v>
      </c>
      <c r="W618" s="45">
        <v>9.1036821900000002E-3</v>
      </c>
      <c r="X618" s="45">
        <v>3.3924726799999999E-2</v>
      </c>
      <c r="Y618" s="45">
        <v>93.358059499999996</v>
      </c>
      <c r="Z618" s="36">
        <v>4.8449999999999998</v>
      </c>
      <c r="AA618" s="38">
        <v>651</v>
      </c>
      <c r="AB618" s="38">
        <v>739</v>
      </c>
      <c r="AC618" s="49" t="s">
        <v>506</v>
      </c>
      <c r="AD618" s="49" t="s">
        <v>506</v>
      </c>
      <c r="AE618" s="46" t="s">
        <v>248</v>
      </c>
    </row>
    <row r="619" spans="1:31" ht="15" thickBot="1">
      <c r="A619" s="34">
        <v>617</v>
      </c>
      <c r="B619" s="34" t="s">
        <v>253</v>
      </c>
      <c r="C619" s="41" t="s">
        <v>1358</v>
      </c>
      <c r="D619" s="34" t="s">
        <v>1200</v>
      </c>
      <c r="E619" s="80">
        <f t="shared" si="63"/>
        <v>1.8060999440976919</v>
      </c>
      <c r="F619" s="35">
        <f t="shared" si="64"/>
        <v>40.610791370537719</v>
      </c>
      <c r="G619" s="42" cm="1">
        <f t="array" ref="G61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40.361999313543215</v>
      </c>
      <c r="H619" s="81" cm="1">
        <f t="array" ref="H6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1.8002015660843866</v>
      </c>
      <c r="I619" s="81" cm="1">
        <f t="array" ref="I6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1.8060999440976919</v>
      </c>
      <c r="J619" s="81" cm="1">
        <f t="array" ref="J6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1.810813032723575</v>
      </c>
      <c r="K619" s="81" cm="1">
        <f t="array" ref="K6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1.8200509685927677</v>
      </c>
      <c r="L619" s="81" cm="1">
        <f t="array" ref="L6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1.8313712137795759</v>
      </c>
      <c r="M619" s="37">
        <f t="shared" si="65"/>
        <v>1.9849402508381075E-2</v>
      </c>
      <c r="N619" s="43">
        <f t="shared" si="66"/>
        <v>5.8983780133052832E-3</v>
      </c>
      <c r="O619" s="43">
        <f t="shared" si="67"/>
        <v>1.1320245186808187E-2</v>
      </c>
      <c r="P619" s="43">
        <f t="shared" si="68"/>
        <v>0.29715645147579595</v>
      </c>
      <c r="Q619" s="37">
        <f t="shared" si="69"/>
        <v>0.57030659648462489</v>
      </c>
      <c r="R619" s="37">
        <v>-5.1999999999999998E-3</v>
      </c>
      <c r="S619" s="44" t="s">
        <v>1393</v>
      </c>
      <c r="T619" s="45">
        <v>1.9350282700000001</v>
      </c>
      <c r="U619" s="45">
        <v>0.23662934999999999</v>
      </c>
      <c r="V619" s="45">
        <v>1.2629134399999999</v>
      </c>
      <c r="W619" s="45">
        <v>1.04001413E-2</v>
      </c>
      <c r="X619" s="45">
        <v>4.47505292E-2</v>
      </c>
      <c r="Y619" s="45">
        <v>87.437568999999996</v>
      </c>
      <c r="Z619" s="36">
        <v>4.26</v>
      </c>
      <c r="AA619" s="38">
        <v>614</v>
      </c>
      <c r="AB619" s="38">
        <v>699</v>
      </c>
      <c r="AC619" s="49" t="s">
        <v>506</v>
      </c>
      <c r="AD619" s="49" t="s">
        <v>506</v>
      </c>
      <c r="AE619" s="46"/>
    </row>
    <row r="620" spans="1:31" ht="15" thickBot="1">
      <c r="A620" s="34">
        <v>618</v>
      </c>
      <c r="B620" s="34" t="s">
        <v>253</v>
      </c>
      <c r="C620" s="41" t="s">
        <v>1358</v>
      </c>
      <c r="D620" s="34" t="s">
        <v>1201</v>
      </c>
      <c r="E620" s="80">
        <f t="shared" si="63"/>
        <v>1.8041998963955477</v>
      </c>
      <c r="F620" s="35">
        <f t="shared" si="64"/>
        <v>46.501195354489766</v>
      </c>
      <c r="G620" s="42" cm="1">
        <f t="array" ref="G62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46.254116422169773</v>
      </c>
      <c r="H620" s="81" cm="1">
        <f t="array" ref="H6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1.7990082564511936</v>
      </c>
      <c r="I620" s="81" cm="1">
        <f t="array" ref="I6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1.8041998963955477</v>
      </c>
      <c r="J620" s="81" cm="1">
        <f t="array" ref="J6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1.8083158379211888</v>
      </c>
      <c r="K620" s="81" cm="1">
        <f t="array" ref="K6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1.8163024333054645</v>
      </c>
      <c r="L620" s="81" cm="1">
        <f t="array" ref="L6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1.8259395428472496</v>
      </c>
      <c r="M620" s="37">
        <f t="shared" si="65"/>
        <v>1.7294176854270926E-2</v>
      </c>
      <c r="N620" s="43">
        <f t="shared" si="66"/>
        <v>5.1916399443541206E-3</v>
      </c>
      <c r="O620" s="43">
        <f t="shared" si="67"/>
        <v>9.6371095417850938E-3</v>
      </c>
      <c r="P620" s="43">
        <f t="shared" si="68"/>
        <v>0.30019583979633041</v>
      </c>
      <c r="Q620" s="37">
        <f t="shared" si="69"/>
        <v>0.55724592289023211</v>
      </c>
      <c r="R620" s="37">
        <v>-8.3999999999999995E-3</v>
      </c>
      <c r="S620" s="44" t="s">
        <v>1393</v>
      </c>
      <c r="T620" s="45">
        <v>1.78897105</v>
      </c>
      <c r="U620" s="45">
        <v>0.38675867000000003</v>
      </c>
      <c r="V620" s="45">
        <v>1.30506243</v>
      </c>
      <c r="W620" s="45">
        <v>8.72506277E-3</v>
      </c>
      <c r="X620" s="45">
        <v>3.0808502299999999E-2</v>
      </c>
      <c r="Y620" s="45">
        <v>92.774382399999993</v>
      </c>
      <c r="Z620" s="36">
        <v>4.4400000000000004</v>
      </c>
      <c r="AA620" s="38">
        <v>655</v>
      </c>
      <c r="AB620" s="38">
        <v>742</v>
      </c>
      <c r="AC620" s="49" t="s">
        <v>506</v>
      </c>
      <c r="AD620" s="49" t="s">
        <v>506</v>
      </c>
      <c r="AE620" s="46"/>
    </row>
    <row r="621" spans="1:31" ht="15" thickBot="1">
      <c r="A621" s="34">
        <v>619</v>
      </c>
      <c r="B621" s="34" t="s">
        <v>253</v>
      </c>
      <c r="C621" s="41" t="s">
        <v>1358</v>
      </c>
      <c r="D621" s="34" t="s">
        <v>1202</v>
      </c>
      <c r="E621" s="80">
        <f t="shared" si="63"/>
        <v>1.8010701963667894</v>
      </c>
      <c r="F621" s="35">
        <f t="shared" si="64"/>
        <v>34.974305243357527</v>
      </c>
      <c r="G621" s="42" cm="1">
        <f t="array" ref="G62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34.721815098071346</v>
      </c>
      <c r="H621" s="81" cm="1">
        <f t="array" ref="H6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1.7943581108051001</v>
      </c>
      <c r="I621" s="81" cm="1">
        <f t="array" ref="I6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1.8010701963667894</v>
      </c>
      <c r="J621" s="81" cm="1">
        <f t="array" ref="J6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1.8064952491230175</v>
      </c>
      <c r="K621" s="81" cm="1">
        <f t="array" ref="K6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1.8172626457427579</v>
      </c>
      <c r="L621" s="81" cm="1">
        <f t="array" ref="L6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1.8306824844493061</v>
      </c>
      <c r="M621" s="37">
        <f t="shared" si="65"/>
        <v>2.2904534937657761E-2</v>
      </c>
      <c r="N621" s="43">
        <f t="shared" si="66"/>
        <v>6.7120855616893405E-3</v>
      </c>
      <c r="O621" s="43">
        <f t="shared" si="67"/>
        <v>1.3419838706548282E-2</v>
      </c>
      <c r="P621" s="43">
        <f t="shared" si="68"/>
        <v>0.29304614042409038</v>
      </c>
      <c r="Q621" s="37">
        <f t="shared" si="69"/>
        <v>0.58590312979830395</v>
      </c>
      <c r="R621" s="37">
        <v>8.9999999999999998E-4</v>
      </c>
      <c r="S621" s="44" t="s">
        <v>1393</v>
      </c>
      <c r="T621" s="45">
        <v>1.8714019799999999</v>
      </c>
      <c r="U621" s="45">
        <v>0.267777879</v>
      </c>
      <c r="V621" s="45">
        <v>1.7303000799999999</v>
      </c>
      <c r="W621" s="45">
        <v>1.1217192000000001E-2</v>
      </c>
      <c r="X621" s="45">
        <v>5.05134972E-2</v>
      </c>
      <c r="Y621" s="45">
        <v>147.106505</v>
      </c>
      <c r="Z621" s="36">
        <v>3.6259999999999999</v>
      </c>
      <c r="AA621" s="38">
        <v>647</v>
      </c>
      <c r="AB621" s="38">
        <v>773</v>
      </c>
      <c r="AC621" s="49" t="s">
        <v>506</v>
      </c>
      <c r="AD621" s="49" t="s">
        <v>506</v>
      </c>
      <c r="AE621" s="46"/>
    </row>
    <row r="622" spans="1:31" ht="15" thickBot="1">
      <c r="A622" s="34">
        <v>620</v>
      </c>
      <c r="B622" s="34" t="s">
        <v>253</v>
      </c>
      <c r="C622" s="41" t="s">
        <v>1358</v>
      </c>
      <c r="D622" s="34" t="s">
        <v>1203</v>
      </c>
      <c r="E622" s="80">
        <f t="shared" si="63"/>
        <v>1.9036601021657866</v>
      </c>
      <c r="F622" s="35">
        <f t="shared" si="64"/>
        <v>31.320452509778534</v>
      </c>
      <c r="G622" s="42" cm="1">
        <f t="array" ref="G62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31.086151962535197</v>
      </c>
      <c r="H622" s="81" cm="1">
        <f t="array" ref="H6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1.895261858500362</v>
      </c>
      <c r="I622" s="81" cm="1">
        <f t="array" ref="I6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1.9036601021657866</v>
      </c>
      <c r="J622" s="81" cm="1">
        <f t="array" ref="J6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1.9104812811769778</v>
      </c>
      <c r="K622" s="81" cm="1">
        <f t="array" ref="K6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1.924113935330467</v>
      </c>
      <c r="L622" s="81" cm="1">
        <f t="array" ref="L6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1.9413002837922626</v>
      </c>
      <c r="M622" s="37">
        <f t="shared" si="65"/>
        <v>2.8852076830105045E-2</v>
      </c>
      <c r="N622" s="43">
        <f t="shared" si="66"/>
        <v>8.3982436654246317E-3</v>
      </c>
      <c r="O622" s="43">
        <f t="shared" si="67"/>
        <v>1.7186348461795564E-2</v>
      </c>
      <c r="P622" s="43">
        <f t="shared" si="68"/>
        <v>0.29107934638041982</v>
      </c>
      <c r="Q622" s="37">
        <f t="shared" si="69"/>
        <v>0.59567110412872804</v>
      </c>
      <c r="R622" s="37">
        <v>4.4999999999999997E-3</v>
      </c>
      <c r="S622" s="44" t="s">
        <v>1393</v>
      </c>
      <c r="T622" s="45">
        <v>2.1798892200000002</v>
      </c>
      <c r="U622" s="45">
        <v>0.30649518399999998</v>
      </c>
      <c r="V622" s="45">
        <v>1.56882437</v>
      </c>
      <c r="W622" s="45">
        <v>1.2580538400000001E-2</v>
      </c>
      <c r="X622" s="45">
        <v>5.6719136699999999E-2</v>
      </c>
      <c r="Y622" s="45">
        <v>105.31653799999999</v>
      </c>
      <c r="Z622" s="36">
        <v>4.51</v>
      </c>
      <c r="AA622" s="38">
        <v>611</v>
      </c>
      <c r="AB622" s="38">
        <v>703</v>
      </c>
      <c r="AC622" s="39" t="s">
        <v>508</v>
      </c>
      <c r="AD622" s="49" t="s">
        <v>506</v>
      </c>
      <c r="AE622" s="46"/>
    </row>
    <row r="623" spans="1:31" ht="15" thickBot="1">
      <c r="A623" s="34">
        <v>621</v>
      </c>
      <c r="B623" s="34" t="s">
        <v>253</v>
      </c>
      <c r="C623" s="41" t="s">
        <v>1358</v>
      </c>
      <c r="D623" s="34" t="s">
        <v>1204</v>
      </c>
      <c r="E623" s="80">
        <f t="shared" si="63"/>
        <v>1.9537996484209124</v>
      </c>
      <c r="F623" s="35">
        <f t="shared" si="64"/>
        <v>30.56036751947898</v>
      </c>
      <c r="G623" s="42" cm="1">
        <f t="array" ref="G62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30.332129979431841</v>
      </c>
      <c r="H623" s="81" cm="1">
        <f t="array" ref="H6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1.9447281394436331</v>
      </c>
      <c r="I623" s="81" cm="1">
        <f t="array" ref="I6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1.9537996484209124</v>
      </c>
      <c r="J623" s="81" cm="1">
        <f t="array" ref="J6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1.9611788479880967</v>
      </c>
      <c r="K623" s="81" cm="1">
        <f t="array" ref="K6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1.9759384855827287</v>
      </c>
      <c r="L623" s="81" cm="1">
        <f t="array" ref="L6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1.9945455201694715</v>
      </c>
      <c r="M623" s="37">
        <f t="shared" si="65"/>
        <v>3.1210346139095568E-2</v>
      </c>
      <c r="N623" s="43">
        <f t="shared" si="66"/>
        <v>9.0715089772792634E-3</v>
      </c>
      <c r="O623" s="43">
        <f t="shared" si="67"/>
        <v>1.8607034586742843E-2</v>
      </c>
      <c r="P623" s="43">
        <f t="shared" si="68"/>
        <v>0.2906571089231163</v>
      </c>
      <c r="Q623" s="37">
        <f t="shared" si="69"/>
        <v>0.59618161566733741</v>
      </c>
      <c r="R623" s="37">
        <v>3.7000000000000002E-3</v>
      </c>
      <c r="S623" s="44" t="s">
        <v>1393</v>
      </c>
      <c r="T623" s="45">
        <v>2.3086122800000002</v>
      </c>
      <c r="U623" s="45">
        <v>0.35473663799999999</v>
      </c>
      <c r="V623" s="45">
        <v>1.9222712500000001</v>
      </c>
      <c r="W623" s="45">
        <v>1.30446995E-2</v>
      </c>
      <c r="X623" s="45">
        <v>5.5752422099999997E-2</v>
      </c>
      <c r="Y623" s="45">
        <v>133.19686899999999</v>
      </c>
      <c r="Z623" s="36">
        <v>4.8550000000000004</v>
      </c>
      <c r="AA623" s="38">
        <v>718</v>
      </c>
      <c r="AB623" s="38">
        <v>796</v>
      </c>
      <c r="AC623" s="49" t="s">
        <v>506</v>
      </c>
      <c r="AD623" s="49" t="s">
        <v>506</v>
      </c>
      <c r="AE623" s="46"/>
    </row>
    <row r="624" spans="1:31" ht="15" thickBot="1">
      <c r="A624" s="34">
        <v>622</v>
      </c>
      <c r="B624" s="34" t="s">
        <v>253</v>
      </c>
      <c r="C624" s="41" t="s">
        <v>1358</v>
      </c>
      <c r="D624" s="34" t="s">
        <v>1205</v>
      </c>
      <c r="E624" s="80">
        <f t="shared" si="63"/>
        <v>1.8502493027312386</v>
      </c>
      <c r="F624" s="35">
        <f t="shared" si="64"/>
        <v>32.170465730391278</v>
      </c>
      <c r="G624" s="42" cm="1">
        <f t="array" ref="G62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31.926777574264761</v>
      </c>
      <c r="H624" s="81" cm="1">
        <f t="array" ref="H6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1.8425539050068513</v>
      </c>
      <c r="I624" s="81" cm="1">
        <f t="array" ref="I6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1.8502493027312386</v>
      </c>
      <c r="J624" s="81" cm="1">
        <f t="array" ref="J6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1.8565014788261851</v>
      </c>
      <c r="K624" s="81" cm="1">
        <f t="array" ref="K6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1.8689834043450599</v>
      </c>
      <c r="L624" s="81" cm="1">
        <f t="array" ref="L6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1.8846685731443344</v>
      </c>
      <c r="M624" s="37">
        <f t="shared" si="65"/>
        <v>2.6429499338208595E-2</v>
      </c>
      <c r="N624" s="43">
        <f t="shared" si="66"/>
        <v>7.6953977243872096E-3</v>
      </c>
      <c r="O624" s="43">
        <f t="shared" si="67"/>
        <v>1.5685168799274507E-2</v>
      </c>
      <c r="P624" s="43">
        <f t="shared" si="68"/>
        <v>0.29116698829259047</v>
      </c>
      <c r="Q624" s="37">
        <f t="shared" si="69"/>
        <v>0.593472036626845</v>
      </c>
      <c r="R624" s="37">
        <v>3.7000000000000002E-3</v>
      </c>
      <c r="S624" s="44" t="s">
        <v>1393</v>
      </c>
      <c r="T624" s="45">
        <v>2.0002954700000002</v>
      </c>
      <c r="U624" s="45">
        <v>0.298926886</v>
      </c>
      <c r="V624" s="45">
        <v>1.8069184300000001</v>
      </c>
      <c r="W624" s="45">
        <v>1.21426017E-2</v>
      </c>
      <c r="X624" s="45">
        <v>5.3873623599999997E-2</v>
      </c>
      <c r="Y624" s="45">
        <v>156.53082900000001</v>
      </c>
      <c r="Z624" s="36">
        <v>4.41</v>
      </c>
      <c r="AA624" s="38">
        <v>683</v>
      </c>
      <c r="AB624" s="38">
        <v>817</v>
      </c>
      <c r="AC624" s="49" t="s">
        <v>506</v>
      </c>
      <c r="AD624" s="49" t="s">
        <v>506</v>
      </c>
      <c r="AE624" s="46"/>
    </row>
    <row r="625" spans="1:31" ht="15" thickBot="1">
      <c r="A625" s="34">
        <v>623</v>
      </c>
      <c r="B625" s="34" t="s">
        <v>253</v>
      </c>
      <c r="C625" s="41" t="s">
        <v>1366</v>
      </c>
      <c r="D625" s="34" t="s">
        <v>195</v>
      </c>
      <c r="E625" s="80">
        <f t="shared" si="63"/>
        <v>1.5285543452369901</v>
      </c>
      <c r="F625" s="35">
        <f t="shared" si="64"/>
        <v>76.976421734403104</v>
      </c>
      <c r="G625" s="42" cm="1">
        <f t="array" ref="G62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76.581275856199895</v>
      </c>
      <c r="H625" s="81" cm="1">
        <f t="array" ref="H6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1.5264626664469791</v>
      </c>
      <c r="I625" s="81" cm="1">
        <f t="array" ref="I6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1.5285543452369901</v>
      </c>
      <c r="J625" s="81" cm="1">
        <f t="array" ref="J6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1.5301933785335011</v>
      </c>
      <c r="K625" s="81" cm="1">
        <f t="array" ref="K6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1.5333291111754792</v>
      </c>
      <c r="L625" s="81" cm="1">
        <f t="array" ref="L6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1.5370381261096151</v>
      </c>
      <c r="M625" s="37">
        <f t="shared" si="65"/>
        <v>6.8664447285000652E-3</v>
      </c>
      <c r="N625" s="43">
        <f t="shared" si="66"/>
        <v>2.0916787900109313E-3</v>
      </c>
      <c r="O625" s="43">
        <f t="shared" si="67"/>
        <v>3.7090149341358902E-3</v>
      </c>
      <c r="P625" s="43">
        <f t="shared" si="68"/>
        <v>0.30462326177754673</v>
      </c>
      <c r="Q625" s="37">
        <f t="shared" si="69"/>
        <v>0.54016526467345538</v>
      </c>
      <c r="R625" s="37">
        <v>2.58E-2</v>
      </c>
      <c r="S625" s="44" t="s">
        <v>1393</v>
      </c>
      <c r="T625" s="45">
        <v>1.1561077500000001</v>
      </c>
      <c r="U625" s="45">
        <v>0.15322934399999999</v>
      </c>
      <c r="V625" s="45">
        <v>0.78561896600000003</v>
      </c>
      <c r="W625" s="45">
        <v>5.8559740199999998E-3</v>
      </c>
      <c r="X625" s="45">
        <v>1.94072416E-2</v>
      </c>
      <c r="Y625" s="45">
        <v>140.537046</v>
      </c>
      <c r="Z625" s="36">
        <v>3.855</v>
      </c>
      <c r="AA625" s="38">
        <v>487</v>
      </c>
      <c r="AB625" s="38">
        <v>568</v>
      </c>
      <c r="AC625" s="49" t="s">
        <v>506</v>
      </c>
      <c r="AD625" s="49" t="s">
        <v>506</v>
      </c>
      <c r="AE625" s="46"/>
    </row>
    <row r="626" spans="1:31" ht="15" thickBot="1">
      <c r="A626" s="34">
        <v>624</v>
      </c>
      <c r="B626" s="34" t="s">
        <v>253</v>
      </c>
      <c r="C626" s="41" t="s">
        <v>1366</v>
      </c>
      <c r="D626" s="34" t="s">
        <v>196</v>
      </c>
      <c r="E626" s="80">
        <f t="shared" si="63"/>
        <v>1.4970000692449992</v>
      </c>
      <c r="F626" s="35">
        <f t="shared" si="64"/>
        <v>81.611270425778997</v>
      </c>
      <c r="G626" s="42" cm="1">
        <f t="array" ref="G62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81.211911008165274</v>
      </c>
      <c r="H626" s="81" cm="1">
        <f t="array" ref="H6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1.4951394805373293</v>
      </c>
      <c r="I626" s="81" cm="1">
        <f t="array" ref="I6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1.4970000692449992</v>
      </c>
      <c r="J626" s="81" cm="1">
        <f t="array" ref="J6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1.4984540951144767</v>
      </c>
      <c r="K626" s="81" cm="1">
        <f t="array" ref="K6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1.5012293265433045</v>
      </c>
      <c r="L626" s="81" cm="1">
        <f t="array" ref="L6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1.5045037979061027</v>
      </c>
      <c r="M626" s="37">
        <f t="shared" si="65"/>
        <v>6.0898460059752857E-3</v>
      </c>
      <c r="N626" s="43">
        <f t="shared" si="66"/>
        <v>1.860588707669919E-3</v>
      </c>
      <c r="O626" s="43">
        <f t="shared" si="67"/>
        <v>3.2744713627981259E-3</v>
      </c>
      <c r="P626" s="43">
        <f t="shared" si="68"/>
        <v>0.30552311270996524</v>
      </c>
      <c r="Q626" s="37">
        <f t="shared" si="69"/>
        <v>0.53769362305471313</v>
      </c>
      <c r="R626" s="37">
        <v>3.1099999999999999E-2</v>
      </c>
      <c r="S626" s="44" t="s">
        <v>1393</v>
      </c>
      <c r="T626" s="45">
        <v>1.0296069999999999</v>
      </c>
      <c r="U626" s="45">
        <v>0.18805060000000001</v>
      </c>
      <c r="V626" s="45">
        <v>0.73648816500000003</v>
      </c>
      <c r="W626" s="45">
        <v>5.1680015499999997E-3</v>
      </c>
      <c r="X626" s="45">
        <v>1.6665879799999998E-2</v>
      </c>
      <c r="Y626" s="45">
        <v>138.96412900000001</v>
      </c>
      <c r="Z626" s="36">
        <v>3.7</v>
      </c>
      <c r="AA626" s="38">
        <v>467</v>
      </c>
      <c r="AB626" s="38">
        <v>538</v>
      </c>
      <c r="AC626" s="49" t="s">
        <v>506</v>
      </c>
      <c r="AD626" s="49" t="s">
        <v>506</v>
      </c>
      <c r="AE626" s="46"/>
    </row>
    <row r="627" spans="1:31" ht="15" thickBot="1">
      <c r="A627" s="34">
        <v>625</v>
      </c>
      <c r="B627" s="34" t="s">
        <v>253</v>
      </c>
      <c r="C627" s="41" t="s">
        <v>1366</v>
      </c>
      <c r="D627" s="34" t="s">
        <v>197</v>
      </c>
      <c r="E627" s="80">
        <f t="shared" si="63"/>
        <v>1.5523218700903822</v>
      </c>
      <c r="F627" s="35">
        <f t="shared" si="64"/>
        <v>63.456996249598362</v>
      </c>
      <c r="G627" s="42" cm="1">
        <f t="array" ref="G62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63.233645587091758</v>
      </c>
      <c r="H627" s="81" cm="1">
        <f t="array" ref="H6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1.5496508968456029</v>
      </c>
      <c r="I627" s="81" cm="1">
        <f t="array" ref="I6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1.5523218700903822</v>
      </c>
      <c r="J627" s="81" cm="1">
        <f t="array" ref="J6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1.5543988733975249</v>
      </c>
      <c r="K627" s="81" cm="1">
        <f t="array" ref="K6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1.5583547735295529</v>
      </c>
      <c r="L627" s="81" cm="1">
        <f t="array" ref="L6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1.5630250802949877</v>
      </c>
      <c r="M627" s="37">
        <f t="shared" si="65"/>
        <v>8.703876683950007E-3</v>
      </c>
      <c r="N627" s="43">
        <f t="shared" si="66"/>
        <v>2.6709732447793844E-3</v>
      </c>
      <c r="O627" s="43">
        <f t="shared" si="67"/>
        <v>4.6703067654347841E-3</v>
      </c>
      <c r="P627" s="43">
        <f t="shared" si="68"/>
        <v>0.30687167819193401</v>
      </c>
      <c r="Q627" s="37">
        <f t="shared" si="69"/>
        <v>0.53657777275806928</v>
      </c>
      <c r="R627" s="37">
        <v>-5.0000000000000001E-4</v>
      </c>
      <c r="S627" s="44" t="s">
        <v>1393</v>
      </c>
      <c r="T627" s="45">
        <v>0.88727210999999995</v>
      </c>
      <c r="U627" s="45">
        <v>0.489592425</v>
      </c>
      <c r="V627" s="45">
        <v>1.0486529600000001</v>
      </c>
      <c r="W627" s="45">
        <v>4.6982406700000002E-3</v>
      </c>
      <c r="X627" s="45">
        <v>1.61818463E-2</v>
      </c>
      <c r="Y627" s="45">
        <v>104.37497500000001</v>
      </c>
      <c r="Z627" s="36">
        <v>2.91</v>
      </c>
      <c r="AA627" s="38">
        <v>599</v>
      </c>
      <c r="AB627" s="38">
        <v>736</v>
      </c>
      <c r="AC627" s="39" t="s">
        <v>508</v>
      </c>
      <c r="AD627" s="49" t="s">
        <v>506</v>
      </c>
      <c r="AE627" s="46"/>
    </row>
    <row r="628" spans="1:31" ht="15" thickBot="1">
      <c r="A628" s="34">
        <v>626</v>
      </c>
      <c r="B628" s="34" t="s">
        <v>253</v>
      </c>
      <c r="C628" s="41" t="s">
        <v>1366</v>
      </c>
      <c r="D628" s="34" t="s">
        <v>198</v>
      </c>
      <c r="E628" s="80">
        <f t="shared" si="63"/>
        <v>1.618000100821424</v>
      </c>
      <c r="F628" s="35">
        <f t="shared" si="64"/>
        <v>63.39044719229247</v>
      </c>
      <c r="G628" s="42" cm="1">
        <f t="array" ref="G62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63.097484185820171</v>
      </c>
      <c r="H628" s="81" cm="1">
        <f t="array" ref="H6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1.6150323197377547</v>
      </c>
      <c r="I628" s="81" cm="1">
        <f t="array" ref="I6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1.618000100821424</v>
      </c>
      <c r="J628" s="81" cm="1">
        <f t="array" ref="J6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1.6203257003233027</v>
      </c>
      <c r="K628" s="81" cm="1">
        <f t="array" ref="K6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1.6247814243456895</v>
      </c>
      <c r="L628" s="81" cm="1">
        <f t="array" ref="L6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1.6300695220689154</v>
      </c>
      <c r="M628" s="37">
        <f t="shared" si="65"/>
        <v>9.7491046079347665E-3</v>
      </c>
      <c r="N628" s="43">
        <f t="shared" si="66"/>
        <v>2.9677810836692409E-3</v>
      </c>
      <c r="O628" s="43">
        <f t="shared" si="67"/>
        <v>5.2880977232259152E-3</v>
      </c>
      <c r="P628" s="43">
        <f t="shared" si="68"/>
        <v>0.30441575949998245</v>
      </c>
      <c r="Q628" s="37">
        <f t="shared" si="69"/>
        <v>0.54241881033074035</v>
      </c>
      <c r="R628" s="37">
        <v>5.1999999999999998E-3</v>
      </c>
      <c r="S628" s="44" t="s">
        <v>1393</v>
      </c>
      <c r="T628" s="45">
        <v>1.3812183600000001</v>
      </c>
      <c r="U628" s="45">
        <v>0.196745645</v>
      </c>
      <c r="V628" s="45">
        <v>0.88608920499999999</v>
      </c>
      <c r="W628" s="45">
        <v>7.0641633700000003E-3</v>
      </c>
      <c r="X628" s="45">
        <v>2.3325134500000001E-2</v>
      </c>
      <c r="Y628" s="45">
        <v>97.484734500000002</v>
      </c>
      <c r="Z628" s="36">
        <v>3.5680000000000001</v>
      </c>
      <c r="AA628" s="38">
        <v>606</v>
      </c>
      <c r="AB628" s="38">
        <v>699</v>
      </c>
      <c r="AC628" s="39" t="s">
        <v>508</v>
      </c>
      <c r="AD628" s="49" t="s">
        <v>506</v>
      </c>
      <c r="AE628" s="46"/>
    </row>
    <row r="629" spans="1:31" ht="15" thickBot="1">
      <c r="A629" s="34">
        <v>627</v>
      </c>
      <c r="B629" s="34" t="s">
        <v>253</v>
      </c>
      <c r="C629" s="41" t="s">
        <v>1356</v>
      </c>
      <c r="D629" s="34" t="s">
        <v>199</v>
      </c>
      <c r="E629" s="80">
        <f t="shared" si="63"/>
        <v>1.7173601232496902</v>
      </c>
      <c r="F629" s="35">
        <f t="shared" si="64"/>
        <v>29.620517933818547</v>
      </c>
      <c r="G629" s="42" cm="1">
        <f t="array" ref="G62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29.386624179484503</v>
      </c>
      <c r="H629" s="81" cm="1">
        <f t="array" ref="H6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1.7103489596550818</v>
      </c>
      <c r="I629" s="81" cm="1">
        <f t="array" ref="I6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1.7173601232496902</v>
      </c>
      <c r="J629" s="81" cm="1">
        <f t="array" ref="J6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1.7230769254605107</v>
      </c>
      <c r="K629" s="81" cm="1">
        <f t="array" ref="K6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1.7345673114358473</v>
      </c>
      <c r="L629" s="81" cm="1">
        <f t="array" ref="L6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1.7491883470326584</v>
      </c>
      <c r="M629" s="37">
        <f t="shared" si="65"/>
        <v>2.4218351780765479E-2</v>
      </c>
      <c r="N629" s="43">
        <f t="shared" si="66"/>
        <v>7.011163594608405E-3</v>
      </c>
      <c r="O629" s="43">
        <f t="shared" si="67"/>
        <v>1.4621035596811049E-2</v>
      </c>
      <c r="P629" s="43">
        <f t="shared" si="68"/>
        <v>0.28949796658651061</v>
      </c>
      <c r="Q629" s="37">
        <f t="shared" si="69"/>
        <v>0.60371720293629816</v>
      </c>
      <c r="R629" s="37">
        <v>9.7000000000000003E-3</v>
      </c>
      <c r="S629" s="44" t="s">
        <v>1393</v>
      </c>
      <c r="T629" s="45">
        <v>1.6086515800000001</v>
      </c>
      <c r="U629" s="45">
        <v>0.23772591600000001</v>
      </c>
      <c r="V629" s="45">
        <v>1.5153065299999999</v>
      </c>
      <c r="W629" s="45">
        <v>1.19654879E-2</v>
      </c>
      <c r="X629" s="45">
        <v>5.9058972199999997E-2</v>
      </c>
      <c r="Y629" s="45">
        <v>135.52167600000001</v>
      </c>
      <c r="Z629" s="36">
        <v>3.0249999999999999</v>
      </c>
      <c r="AA629" s="38">
        <v>553</v>
      </c>
      <c r="AB629" s="38">
        <v>660</v>
      </c>
      <c r="AC629" s="49" t="s">
        <v>506</v>
      </c>
      <c r="AD629" s="49" t="s">
        <v>506</v>
      </c>
      <c r="AE629" s="46"/>
    </row>
    <row r="630" spans="1:31" ht="15" thickBot="1">
      <c r="A630" s="34">
        <v>628</v>
      </c>
      <c r="B630" s="34" t="s">
        <v>253</v>
      </c>
      <c r="C630" s="41" t="s">
        <v>1356</v>
      </c>
      <c r="D630" s="34" t="s">
        <v>200</v>
      </c>
      <c r="E630" s="80">
        <f t="shared" si="63"/>
        <v>1.7282770663068054</v>
      </c>
      <c r="F630" s="35">
        <f t="shared" si="64"/>
        <v>28.533009449525029</v>
      </c>
      <c r="G630" s="42" cm="1">
        <f t="array" ref="G63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28.30599941143802</v>
      </c>
      <c r="H630" s="81" cm="1">
        <f t="array" ref="H6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1.7209061660427765</v>
      </c>
      <c r="I630" s="81" cm="1">
        <f t="array" ref="I6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1.7282770663068054</v>
      </c>
      <c r="J630" s="81" cm="1">
        <f t="array" ref="J6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1.7342990639358722</v>
      </c>
      <c r="K630" s="81" cm="1">
        <f t="array" ref="K6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1.7464301847270001</v>
      </c>
      <c r="L630" s="81" cm="1">
        <f t="array" ref="L6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1.7619147908496433</v>
      </c>
      <c r="M630" s="37">
        <f t="shared" si="65"/>
        <v>2.5524018684223604E-2</v>
      </c>
      <c r="N630" s="43">
        <f t="shared" si="66"/>
        <v>7.3709002640289789E-3</v>
      </c>
      <c r="O630" s="43">
        <f t="shared" si="67"/>
        <v>1.5484606122643241E-2</v>
      </c>
      <c r="P630" s="43">
        <f t="shared" si="68"/>
        <v>0.28878290504406079</v>
      </c>
      <c r="Q630" s="37">
        <f t="shared" si="69"/>
        <v>0.60666802960045929</v>
      </c>
      <c r="R630" s="37">
        <v>1.0800000000000001E-2</v>
      </c>
      <c r="S630" s="44" t="s">
        <v>1393</v>
      </c>
      <c r="T630" s="45">
        <v>1.6215390199999999</v>
      </c>
      <c r="U630" s="45">
        <v>0.25628784199999999</v>
      </c>
      <c r="V630" s="45">
        <v>1.6444755200000001</v>
      </c>
      <c r="W630" s="45">
        <v>1.2224145699999999E-2</v>
      </c>
      <c r="X630" s="45">
        <v>5.9573677499999998E-2</v>
      </c>
      <c r="Y630" s="45">
        <v>147.46879300000001</v>
      </c>
      <c r="Z630" s="36">
        <v>3.05</v>
      </c>
      <c r="AA630" s="38">
        <v>559</v>
      </c>
      <c r="AB630" s="38">
        <v>652</v>
      </c>
      <c r="AC630" s="49" t="s">
        <v>506</v>
      </c>
      <c r="AD630" s="49" t="s">
        <v>506</v>
      </c>
      <c r="AE630" s="46"/>
    </row>
    <row r="631" spans="1:31" ht="15" thickBot="1">
      <c r="A631" s="34">
        <v>629</v>
      </c>
      <c r="B631" s="34" t="s">
        <v>253</v>
      </c>
      <c r="C631" s="41" t="s">
        <v>1356</v>
      </c>
      <c r="D631" s="34" t="s">
        <v>201</v>
      </c>
      <c r="E631" s="80">
        <f t="shared" si="63"/>
        <v>1.7847199423100499</v>
      </c>
      <c r="F631" s="35">
        <f t="shared" si="64"/>
        <v>25.680326542354315</v>
      </c>
      <c r="G631" s="42" cm="1">
        <f t="array" ref="G63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25.473287203093701</v>
      </c>
      <c r="H631" s="81" cm="1">
        <f t="array" ref="H6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1.7759551112771916</v>
      </c>
      <c r="I631" s="81" cm="1">
        <f t="array" ref="I6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1.7847199423100499</v>
      </c>
      <c r="J631" s="81" cm="1">
        <f t="array" ref="J6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1.791917764429265</v>
      </c>
      <c r="K631" s="81" cm="1">
        <f t="array" ref="K6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1.8065123528689533</v>
      </c>
      <c r="L631" s="81" cm="1">
        <f t="array" ref="L6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1.8253261205808695</v>
      </c>
      <c r="M631" s="37">
        <f t="shared" si="65"/>
        <v>3.0557241591761652E-2</v>
      </c>
      <c r="N631" s="43">
        <f t="shared" si="66"/>
        <v>8.7648310328583001E-3</v>
      </c>
      <c r="O631" s="43">
        <f t="shared" si="67"/>
        <v>1.8813767711916229E-2</v>
      </c>
      <c r="P631" s="43">
        <f t="shared" si="68"/>
        <v>0.28683318834712268</v>
      </c>
      <c r="Q631" s="37">
        <f t="shared" si="69"/>
        <v>0.61568933358790123</v>
      </c>
      <c r="R631" s="37">
        <v>1.4999999999999999E-2</v>
      </c>
      <c r="S631" s="44" t="s">
        <v>1393</v>
      </c>
      <c r="T631" s="45">
        <v>1.7375969499999999</v>
      </c>
      <c r="U631" s="45">
        <v>0.31374734599999998</v>
      </c>
      <c r="V631" s="45">
        <v>1.89878101</v>
      </c>
      <c r="W631" s="45">
        <v>1.3188706999999999E-2</v>
      </c>
      <c r="X631" s="45">
        <v>6.2306814199999998E-2</v>
      </c>
      <c r="Y631" s="45">
        <v>155.23629</v>
      </c>
      <c r="Z631" s="36">
        <v>3.2240000000000002</v>
      </c>
      <c r="AA631" s="38">
        <v>592</v>
      </c>
      <c r="AB631" s="38">
        <v>688</v>
      </c>
      <c r="AC631" s="49" t="s">
        <v>506</v>
      </c>
      <c r="AD631" s="49" t="s">
        <v>506</v>
      </c>
      <c r="AE631" s="46"/>
    </row>
    <row r="632" spans="1:31" ht="15" thickBot="1">
      <c r="A632" s="34">
        <v>630</v>
      </c>
      <c r="B632" s="34" t="s">
        <v>253</v>
      </c>
      <c r="C632" s="41" t="s">
        <v>1356</v>
      </c>
      <c r="D632" s="34" t="s">
        <v>202</v>
      </c>
      <c r="E632" s="80">
        <f t="shared" si="63"/>
        <v>1.7618200674413289</v>
      </c>
      <c r="F632" s="35">
        <f t="shared" si="64"/>
        <v>26.530349094770312</v>
      </c>
      <c r="G632" s="42" cm="1">
        <f t="array" ref="G63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26.318190436365782</v>
      </c>
      <c r="H632" s="81" cm="1">
        <f t="array" ref="H6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1.7535646423821949</v>
      </c>
      <c r="I632" s="81" cm="1">
        <f t="array" ref="I6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1.7618200674413289</v>
      </c>
      <c r="J632" s="81" cm="1">
        <f t="array" ref="J6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1.7685884504303082</v>
      </c>
      <c r="K632" s="81" cm="1">
        <f t="array" ref="K6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1.782279683587269</v>
      </c>
      <c r="L632" s="81" cm="1">
        <f t="array" ref="L6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1.799860635776759</v>
      </c>
      <c r="M632" s="37">
        <f t="shared" si="65"/>
        <v>2.8715041205074066E-2</v>
      </c>
      <c r="N632" s="43">
        <f t="shared" si="66"/>
        <v>8.2554250591340139E-3</v>
      </c>
      <c r="O632" s="43">
        <f t="shared" si="67"/>
        <v>1.7580952189490073E-2</v>
      </c>
      <c r="P632" s="43">
        <f t="shared" si="68"/>
        <v>0.28749480107572495</v>
      </c>
      <c r="Q632" s="37">
        <f t="shared" si="69"/>
        <v>0.61225585796420334</v>
      </c>
      <c r="R632" s="37">
        <v>1.2999999999999999E-2</v>
      </c>
      <c r="S632" s="44" t="s">
        <v>1393</v>
      </c>
      <c r="T632" s="45">
        <v>1.6902236100000001</v>
      </c>
      <c r="U632" s="45">
        <v>0.28887005199999999</v>
      </c>
      <c r="V632" s="45">
        <v>1.7045186999999999</v>
      </c>
      <c r="W632" s="45">
        <v>1.3051211300000001E-2</v>
      </c>
      <c r="X632" s="45">
        <v>6.1369187999999998E-2</v>
      </c>
      <c r="Y632" s="45">
        <v>149.51768899999999</v>
      </c>
      <c r="Z632" s="36">
        <v>3.1179999999999999</v>
      </c>
      <c r="AA632" s="38">
        <v>566</v>
      </c>
      <c r="AB632" s="38">
        <v>657</v>
      </c>
      <c r="AC632" s="49" t="s">
        <v>506</v>
      </c>
      <c r="AD632" s="49" t="s">
        <v>506</v>
      </c>
      <c r="AE632" s="46"/>
    </row>
    <row r="633" spans="1:31" ht="15" thickBot="1">
      <c r="A633" s="34">
        <v>631</v>
      </c>
      <c r="B633" s="34" t="s">
        <v>253</v>
      </c>
      <c r="C633" s="41" t="s">
        <v>1356</v>
      </c>
      <c r="D633" s="34" t="s">
        <v>203</v>
      </c>
      <c r="E633" s="80">
        <f t="shared" si="63"/>
        <v>1.6989203009828977</v>
      </c>
      <c r="F633" s="35">
        <f t="shared" si="64"/>
        <v>30.201306296083281</v>
      </c>
      <c r="G633" s="42" cm="1">
        <f t="array" ref="G63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29.960169021032154</v>
      </c>
      <c r="H633" s="81" cm="1">
        <f t="array" ref="H6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1.6922165956378818</v>
      </c>
      <c r="I633" s="81" cm="1">
        <f t="array" ref="I6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1.6989203009828977</v>
      </c>
      <c r="J633" s="81" cm="1">
        <f t="array" ref="J6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1.7043824284268769</v>
      </c>
      <c r="K633" s="81" cm="1">
        <f t="array" ref="K6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1.7153586509559837</v>
      </c>
      <c r="L633" s="81" cm="1">
        <f t="array" ref="L6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1.7293321643376574</v>
      </c>
      <c r="M633" s="37">
        <f t="shared" si="65"/>
        <v>2.3142055318101873E-2</v>
      </c>
      <c r="N633" s="43">
        <f t="shared" si="66"/>
        <v>6.7037053450158535E-3</v>
      </c>
      <c r="O633" s="43">
        <f t="shared" si="67"/>
        <v>1.397351338167363E-2</v>
      </c>
      <c r="P633" s="43">
        <f t="shared" si="68"/>
        <v>0.28967631668273514</v>
      </c>
      <c r="Q633" s="37">
        <f t="shared" si="69"/>
        <v>0.60381470831345962</v>
      </c>
      <c r="R633" s="37">
        <v>1.0800000000000001E-2</v>
      </c>
      <c r="S633" s="44" t="s">
        <v>1393</v>
      </c>
      <c r="T633" s="45">
        <v>1.57055634</v>
      </c>
      <c r="U633" s="45">
        <v>0.21898709399999999</v>
      </c>
      <c r="V633" s="45">
        <v>1.5082401700000001</v>
      </c>
      <c r="W633" s="45">
        <v>1.16507014E-2</v>
      </c>
      <c r="X633" s="45">
        <v>5.9785689699999998E-2</v>
      </c>
      <c r="Y633" s="45">
        <v>132.709339</v>
      </c>
      <c r="Z633" s="36">
        <v>2.9209999999999998</v>
      </c>
      <c r="AA633" s="38">
        <v>580</v>
      </c>
      <c r="AB633" s="38">
        <v>692</v>
      </c>
      <c r="AC633" s="49" t="s">
        <v>506</v>
      </c>
      <c r="AD633" s="49" t="s">
        <v>506</v>
      </c>
      <c r="AE633" s="46"/>
    </row>
    <row r="634" spans="1:31" ht="15" thickBot="1">
      <c r="A634" s="34">
        <v>632</v>
      </c>
      <c r="B634" s="34" t="s">
        <v>253</v>
      </c>
      <c r="C634" s="41" t="s">
        <v>1356</v>
      </c>
      <c r="D634" s="34" t="s">
        <v>204</v>
      </c>
      <c r="E634" s="80">
        <f t="shared" si="63"/>
        <v>1.6476897745794499</v>
      </c>
      <c r="F634" s="35">
        <f t="shared" si="64"/>
        <v>33.820632911722385</v>
      </c>
      <c r="G634" s="42" cm="1">
        <f t="array" ref="G63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33.559182480427452</v>
      </c>
      <c r="H634" s="81" cm="1">
        <f t="array" ref="H6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1.642100856949545</v>
      </c>
      <c r="I634" s="81" cm="1">
        <f t="array" ref="I6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1.6476897745794499</v>
      </c>
      <c r="J634" s="81" cm="1">
        <f t="array" ref="J6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1.652216470560794</v>
      </c>
      <c r="K634" s="81" cm="1">
        <f t="array" ref="K6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1.6612515859223005</v>
      </c>
      <c r="L634" s="81" cm="1">
        <f t="array" ref="L6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1.6726477214210214</v>
      </c>
      <c r="M634" s="37">
        <f t="shared" si="65"/>
        <v>1.9150728972755493E-2</v>
      </c>
      <c r="N634" s="43">
        <f t="shared" si="66"/>
        <v>5.5889176299048771E-3</v>
      </c>
      <c r="O634" s="43">
        <f t="shared" si="67"/>
        <v>1.1396135498720872E-2</v>
      </c>
      <c r="P634" s="43">
        <f t="shared" si="68"/>
        <v>0.29183837533578327</v>
      </c>
      <c r="Q634" s="37">
        <f t="shared" si="69"/>
        <v>0.59507580703238083</v>
      </c>
      <c r="R634" s="37">
        <v>8.0999999999999996E-3</v>
      </c>
      <c r="S634" s="44" t="s">
        <v>1393</v>
      </c>
      <c r="T634" s="45">
        <v>1.4734312700000001</v>
      </c>
      <c r="U634" s="45">
        <v>0.16368184899999999</v>
      </c>
      <c r="V634" s="45">
        <v>1.36920899</v>
      </c>
      <c r="W634" s="45">
        <v>1.09019098E-2</v>
      </c>
      <c r="X634" s="45">
        <v>5.8568368699999998E-2</v>
      </c>
      <c r="Y634" s="45">
        <v>127.404933</v>
      </c>
      <c r="Z634" s="36">
        <v>2.718</v>
      </c>
      <c r="AA634" s="38">
        <v>608</v>
      </c>
      <c r="AB634" s="38">
        <v>731</v>
      </c>
      <c r="AC634" s="49" t="s">
        <v>506</v>
      </c>
      <c r="AD634" s="49" t="s">
        <v>506</v>
      </c>
      <c r="AE634" s="46"/>
    </row>
    <row r="635" spans="1:31" ht="15" thickBot="1">
      <c r="A635" s="34">
        <v>633</v>
      </c>
      <c r="B635" s="34" t="s">
        <v>253</v>
      </c>
      <c r="C635" s="41" t="s">
        <v>1356</v>
      </c>
      <c r="D635" s="34" t="s">
        <v>205</v>
      </c>
      <c r="E635" s="80">
        <f t="shared" si="63"/>
        <v>1.7551311326271648</v>
      </c>
      <c r="F635" s="35">
        <f t="shared" si="64"/>
        <v>27.377373217756503</v>
      </c>
      <c r="G635" s="42" cm="1">
        <f t="array" ref="G63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27.158843188532423</v>
      </c>
      <c r="H635" s="81" cm="1">
        <f t="array" ref="H6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1.7471864047768015</v>
      </c>
      <c r="I635" s="81" cm="1">
        <f t="array" ref="I6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1.7551311326271648</v>
      </c>
      <c r="J635" s="81" cm="1">
        <f t="array" ref="J6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1.7616356677364295</v>
      </c>
      <c r="K635" s="81" cm="1">
        <f t="array" ref="K6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1.7747687124956955</v>
      </c>
      <c r="L635" s="81" cm="1">
        <f t="array" ref="L6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1.7915830080582373</v>
      </c>
      <c r="M635" s="37">
        <f t="shared" si="65"/>
        <v>2.7582307718893917E-2</v>
      </c>
      <c r="N635" s="43">
        <f t="shared" si="66"/>
        <v>7.9447278503632646E-3</v>
      </c>
      <c r="O635" s="43">
        <f t="shared" si="67"/>
        <v>1.6814295562541881E-2</v>
      </c>
      <c r="P635" s="43">
        <f t="shared" si="68"/>
        <v>0.28803709723393145</v>
      </c>
      <c r="Q635" s="37">
        <f t="shared" si="69"/>
        <v>0.60960437878894613</v>
      </c>
      <c r="R635" s="37">
        <v>1.18E-2</v>
      </c>
      <c r="S635" s="44" t="s">
        <v>1393</v>
      </c>
      <c r="T635" s="45">
        <v>1.6778028199999999</v>
      </c>
      <c r="U635" s="45">
        <v>0.28284989300000002</v>
      </c>
      <c r="V635" s="45">
        <v>1.63539276</v>
      </c>
      <c r="W635" s="45">
        <v>1.2679345E-2</v>
      </c>
      <c r="X635" s="45">
        <v>6.0203841899999999E-2</v>
      </c>
      <c r="Y635" s="45">
        <v>145.76049599999999</v>
      </c>
      <c r="Z635" s="36">
        <v>3.145</v>
      </c>
      <c r="AA635" s="38">
        <v>570</v>
      </c>
      <c r="AB635" s="38">
        <v>661</v>
      </c>
      <c r="AC635" s="49" t="s">
        <v>506</v>
      </c>
      <c r="AD635" s="49" t="s">
        <v>506</v>
      </c>
      <c r="AE635" s="46"/>
    </row>
    <row r="636" spans="1:31" ht="15" thickBot="1">
      <c r="A636" s="34">
        <v>634</v>
      </c>
      <c r="B636" s="34" t="s">
        <v>253</v>
      </c>
      <c r="C636" s="41" t="s">
        <v>1356</v>
      </c>
      <c r="D636" s="34" t="s">
        <v>206</v>
      </c>
      <c r="E636" s="80">
        <f t="shared" si="63"/>
        <v>1.6727070351743671</v>
      </c>
      <c r="F636" s="35">
        <f t="shared" si="64"/>
        <v>32.251608753199363</v>
      </c>
      <c r="G636" s="42" cm="1">
        <f t="array" ref="G63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31.999365596702898</v>
      </c>
      <c r="H636" s="81" cm="1">
        <f t="array" ref="H6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1.6666378601428129</v>
      </c>
      <c r="I636" s="81" cm="1">
        <f t="array" ref="I6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1.6727070351743671</v>
      </c>
      <c r="J636" s="81" cm="1">
        <f t="array" ref="J6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1.6776346523383041</v>
      </c>
      <c r="K636" s="81" cm="1">
        <f t="array" ref="K6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1.6874959525351074</v>
      </c>
      <c r="L636" s="81" cm="1">
        <f t="array" ref="L6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1.6999774544450792</v>
      </c>
      <c r="M636" s="37">
        <f t="shared" si="65"/>
        <v>2.0858092392294525E-2</v>
      </c>
      <c r="N636" s="43">
        <f t="shared" si="66"/>
        <v>6.0691750315542414E-3</v>
      </c>
      <c r="O636" s="43">
        <f t="shared" si="67"/>
        <v>1.2481501909971771E-2</v>
      </c>
      <c r="P636" s="43">
        <f t="shared" si="68"/>
        <v>0.29097459716864321</v>
      </c>
      <c r="Q636" s="37">
        <f t="shared" si="69"/>
        <v>0.59840093116965642</v>
      </c>
      <c r="R636" s="37">
        <v>8.8000000000000005E-3</v>
      </c>
      <c r="S636" s="44" t="s">
        <v>1393</v>
      </c>
      <c r="T636" s="45">
        <v>1.5248188899999999</v>
      </c>
      <c r="U636" s="45">
        <v>0.187085527</v>
      </c>
      <c r="V636" s="45">
        <v>1.4272901499999999</v>
      </c>
      <c r="W636" s="45">
        <v>1.1254755999999999E-2</v>
      </c>
      <c r="X636" s="45">
        <v>5.8899539200000003E-2</v>
      </c>
      <c r="Y636" s="45">
        <v>129.14167499999999</v>
      </c>
      <c r="Z636" s="36">
        <v>2.8580000000000001</v>
      </c>
      <c r="AA636" s="38">
        <v>578</v>
      </c>
      <c r="AB636" s="38">
        <v>693</v>
      </c>
      <c r="AC636" s="49" t="s">
        <v>506</v>
      </c>
      <c r="AD636" s="49" t="s">
        <v>506</v>
      </c>
      <c r="AE636" s="46" t="s">
        <v>248</v>
      </c>
    </row>
    <row r="637" spans="1:31" ht="15" thickBot="1">
      <c r="A637" s="34">
        <v>635</v>
      </c>
      <c r="B637" s="34" t="s">
        <v>253</v>
      </c>
      <c r="C637" s="41" t="s">
        <v>1356</v>
      </c>
      <c r="D637" s="34" t="s">
        <v>207</v>
      </c>
      <c r="E637" s="80">
        <f t="shared" si="63"/>
        <v>1.8466599384042874</v>
      </c>
      <c r="F637" s="35">
        <f t="shared" si="64"/>
        <v>23.78021822212202</v>
      </c>
      <c r="G637" s="42" cm="1">
        <f t="array" ref="G63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23.589196894417775</v>
      </c>
      <c r="H637" s="81" cm="1">
        <f t="array" ref="H6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1.8364957618261872</v>
      </c>
      <c r="I637" s="81" cm="1">
        <f t="array" ref="I6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1.8466599384042874</v>
      </c>
      <c r="J637" s="81" cm="1">
        <f t="array" ref="J6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1.8550377508957447</v>
      </c>
      <c r="K637" s="81" cm="1">
        <f t="array" ref="K6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1.8720993013099698</v>
      </c>
      <c r="L637" s="81" cm="1">
        <f t="array" ref="L6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1.8942329985140616</v>
      </c>
      <c r="M637" s="37">
        <f t="shared" si="65"/>
        <v>3.5603539483782587E-2</v>
      </c>
      <c r="N637" s="43">
        <f t="shared" si="66"/>
        <v>1.0164176578100204E-2</v>
      </c>
      <c r="O637" s="43">
        <f t="shared" si="67"/>
        <v>2.2133697204091751E-2</v>
      </c>
      <c r="P637" s="43">
        <f t="shared" si="68"/>
        <v>0.28548219433997529</v>
      </c>
      <c r="Q637" s="37">
        <f t="shared" si="69"/>
        <v>0.62167125867285333</v>
      </c>
      <c r="R637" s="37">
        <v>1.78E-2</v>
      </c>
      <c r="S637" s="44" t="s">
        <v>1393</v>
      </c>
      <c r="T637" s="45">
        <v>1.8754383100000001</v>
      </c>
      <c r="U637" s="45">
        <v>0.37375749000000003</v>
      </c>
      <c r="V637" s="45">
        <v>2.3000179699999999</v>
      </c>
      <c r="W637" s="45">
        <v>1.41749518E-2</v>
      </c>
      <c r="X637" s="45">
        <v>6.4050992700000003E-2</v>
      </c>
      <c r="Y637" s="45">
        <v>177.38979499999999</v>
      </c>
      <c r="Z637" s="36">
        <v>3.5329999999999999</v>
      </c>
      <c r="AA637" s="38">
        <v>629</v>
      </c>
      <c r="AB637" s="38">
        <v>716</v>
      </c>
      <c r="AC637" s="49" t="s">
        <v>506</v>
      </c>
      <c r="AD637" s="49" t="s">
        <v>506</v>
      </c>
      <c r="AE637" s="46" t="s">
        <v>248</v>
      </c>
    </row>
    <row r="638" spans="1:31" ht="15" thickBot="1">
      <c r="A638" s="34">
        <v>636</v>
      </c>
      <c r="B638" s="34" t="s">
        <v>253</v>
      </c>
      <c r="C638" s="41" t="s">
        <v>1356</v>
      </c>
      <c r="D638" s="34" t="s">
        <v>208</v>
      </c>
      <c r="E638" s="80">
        <f t="shared" si="63"/>
        <v>1.8466599384042874</v>
      </c>
      <c r="F638" s="35">
        <f t="shared" si="64"/>
        <v>23.78021822212202</v>
      </c>
      <c r="G638" s="42" cm="1">
        <f t="array" ref="G63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23.589196894417775</v>
      </c>
      <c r="H638" s="81" cm="1">
        <f t="array" ref="H6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1.8364957618261872</v>
      </c>
      <c r="I638" s="81" cm="1">
        <f t="array" ref="I6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1.8466599384042874</v>
      </c>
      <c r="J638" s="81" cm="1">
        <f t="array" ref="J6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1.8550377508957447</v>
      </c>
      <c r="K638" s="81" cm="1">
        <f t="array" ref="K6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1.8720993013099698</v>
      </c>
      <c r="L638" s="81" cm="1">
        <f t="array" ref="L6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1.8942329985140616</v>
      </c>
      <c r="M638" s="37">
        <f t="shared" si="65"/>
        <v>3.5603539483782587E-2</v>
      </c>
      <c r="N638" s="43">
        <f t="shared" si="66"/>
        <v>1.0164176578100204E-2</v>
      </c>
      <c r="O638" s="43">
        <f t="shared" si="67"/>
        <v>2.2133697204091751E-2</v>
      </c>
      <c r="P638" s="43">
        <f t="shared" si="68"/>
        <v>0.28548219433997529</v>
      </c>
      <c r="Q638" s="37">
        <f t="shared" si="69"/>
        <v>0.62167125867285333</v>
      </c>
      <c r="R638" s="37">
        <v>1.78E-2</v>
      </c>
      <c r="S638" s="44" t="s">
        <v>1393</v>
      </c>
      <c r="T638" s="45">
        <v>1.8754383100000001</v>
      </c>
      <c r="U638" s="45">
        <v>0.37375749000000003</v>
      </c>
      <c r="V638" s="45">
        <v>2.3000179699999999</v>
      </c>
      <c r="W638" s="45">
        <v>1.41749518E-2</v>
      </c>
      <c r="X638" s="45">
        <v>6.4050992700000003E-2</v>
      </c>
      <c r="Y638" s="45">
        <v>177.38979499999999</v>
      </c>
      <c r="Z638" s="36">
        <v>3.5329999999999999</v>
      </c>
      <c r="AA638" s="38">
        <v>629</v>
      </c>
      <c r="AB638" s="38">
        <v>716</v>
      </c>
      <c r="AC638" s="49" t="s">
        <v>506</v>
      </c>
      <c r="AD638" s="49" t="s">
        <v>506</v>
      </c>
      <c r="AE638" s="46" t="s">
        <v>248</v>
      </c>
    </row>
    <row r="639" spans="1:31" ht="15" thickBot="1">
      <c r="A639" s="34">
        <v>637</v>
      </c>
      <c r="B639" s="34" t="s">
        <v>253</v>
      </c>
      <c r="C639" s="41" t="s">
        <v>1356</v>
      </c>
      <c r="D639" s="34" t="s">
        <v>1206</v>
      </c>
      <c r="E639" s="80">
        <f t="shared" si="63"/>
        <v>1.8466599384042874</v>
      </c>
      <c r="F639" s="35">
        <f t="shared" si="64"/>
        <v>23.78021822212202</v>
      </c>
      <c r="G639" s="42" cm="1">
        <f t="array" ref="G63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23.589196894417775</v>
      </c>
      <c r="H639" s="81" cm="1">
        <f t="array" ref="H6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1.8364957618261872</v>
      </c>
      <c r="I639" s="81" cm="1">
        <f t="array" ref="I6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1.8466599384042874</v>
      </c>
      <c r="J639" s="81" cm="1">
        <f t="array" ref="J6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1.8550377508957447</v>
      </c>
      <c r="K639" s="81" cm="1">
        <f t="array" ref="K6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1.8720993013099698</v>
      </c>
      <c r="L639" s="81" cm="1">
        <f t="array" ref="L6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1.8942329985140616</v>
      </c>
      <c r="M639" s="37">
        <f t="shared" si="65"/>
        <v>3.5603539483782587E-2</v>
      </c>
      <c r="N639" s="43">
        <f t="shared" si="66"/>
        <v>1.0164176578100204E-2</v>
      </c>
      <c r="O639" s="43">
        <f t="shared" si="67"/>
        <v>2.2133697204091751E-2</v>
      </c>
      <c r="P639" s="43">
        <f t="shared" si="68"/>
        <v>0.28548219433997529</v>
      </c>
      <c r="Q639" s="37">
        <f t="shared" si="69"/>
        <v>0.62167125867285333</v>
      </c>
      <c r="R639" s="37">
        <v>1.78E-2</v>
      </c>
      <c r="S639" s="44" t="s">
        <v>1393</v>
      </c>
      <c r="T639" s="45">
        <v>1.8754383100000001</v>
      </c>
      <c r="U639" s="45">
        <v>0.37375749000000003</v>
      </c>
      <c r="V639" s="45">
        <v>2.3000179699999999</v>
      </c>
      <c r="W639" s="45">
        <v>1.41749518E-2</v>
      </c>
      <c r="X639" s="45">
        <v>6.4050992700000003E-2</v>
      </c>
      <c r="Y639" s="45">
        <v>177.38979499999999</v>
      </c>
      <c r="Z639" s="36">
        <v>3.5329999999999999</v>
      </c>
      <c r="AA639" s="38">
        <v>629</v>
      </c>
      <c r="AB639" s="38">
        <v>716</v>
      </c>
      <c r="AC639" s="49" t="s">
        <v>506</v>
      </c>
      <c r="AD639" s="49" t="s">
        <v>506</v>
      </c>
      <c r="AE639" s="46" t="s">
        <v>248</v>
      </c>
    </row>
    <row r="640" spans="1:31" ht="15" thickBot="1">
      <c r="A640" s="34">
        <v>638</v>
      </c>
      <c r="B640" s="34" t="s">
        <v>253</v>
      </c>
      <c r="C640" s="41" t="s">
        <v>1356</v>
      </c>
      <c r="D640" s="34" t="s">
        <v>209</v>
      </c>
      <c r="E640" s="80">
        <f t="shared" si="63"/>
        <v>1.8051801846158335</v>
      </c>
      <c r="F640" s="35">
        <f t="shared" si="64"/>
        <v>25.360054023323116</v>
      </c>
      <c r="G640" s="42" cm="1">
        <f t="array" ref="G64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25.156739135469227</v>
      </c>
      <c r="H640" s="81" cm="1">
        <f t="array" ref="H6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1.7960788586929399</v>
      </c>
      <c r="I640" s="81" cm="1">
        <f t="array" ref="I6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1.8051801846158335</v>
      </c>
      <c r="J640" s="81" cm="1">
        <f t="array" ref="J6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1.8126593000301703</v>
      </c>
      <c r="K640" s="81" cm="1">
        <f t="array" ref="K6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1.8278287983372059</v>
      </c>
      <c r="L640" s="81" cm="1">
        <f t="array" ref="L6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1.8473804424430584</v>
      </c>
      <c r="M640" s="37">
        <f t="shared" si="65"/>
        <v>3.1749939644265979E-2</v>
      </c>
      <c r="N640" s="43">
        <f t="shared" si="66"/>
        <v>9.1013259228935883E-3</v>
      </c>
      <c r="O640" s="43">
        <f t="shared" si="67"/>
        <v>1.9551644105852528E-2</v>
      </c>
      <c r="P640" s="43">
        <f t="shared" si="68"/>
        <v>0.28665647950412032</v>
      </c>
      <c r="Q640" s="37">
        <f t="shared" si="69"/>
        <v>0.61580098497552715</v>
      </c>
      <c r="R640" s="37">
        <v>1.46E-2</v>
      </c>
      <c r="S640" s="44" t="s">
        <v>1393</v>
      </c>
      <c r="T640" s="45">
        <v>1.77931763</v>
      </c>
      <c r="U640" s="45">
        <v>0.33814986600000002</v>
      </c>
      <c r="V640" s="45">
        <v>2.0873447399999998</v>
      </c>
      <c r="W640" s="45">
        <v>1.33714182E-2</v>
      </c>
      <c r="X640" s="45">
        <v>6.17533621E-2</v>
      </c>
      <c r="Y640" s="45">
        <v>174.01759000000001</v>
      </c>
      <c r="Z640" s="36">
        <v>3.3690000000000002</v>
      </c>
      <c r="AA640" s="38">
        <v>589</v>
      </c>
      <c r="AB640" s="38">
        <v>669</v>
      </c>
      <c r="AC640" s="49" t="s">
        <v>506</v>
      </c>
      <c r="AD640" s="49" t="s">
        <v>506</v>
      </c>
      <c r="AE640" s="46" t="s">
        <v>248</v>
      </c>
    </row>
    <row r="641" spans="1:31" ht="15" thickBot="1">
      <c r="A641" s="34">
        <v>639</v>
      </c>
      <c r="B641" s="34" t="s">
        <v>253</v>
      </c>
      <c r="C641" s="41" t="s">
        <v>1356</v>
      </c>
      <c r="D641" s="34" t="s">
        <v>210</v>
      </c>
      <c r="E641" s="80">
        <f t="shared" si="63"/>
        <v>1.9228600884113061</v>
      </c>
      <c r="F641" s="35">
        <f t="shared" si="64"/>
        <v>20.880020670521901</v>
      </c>
      <c r="G641" s="42" cm="1">
        <f t="array" ref="G64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20.703232830032739</v>
      </c>
      <c r="H641" s="81" cm="1">
        <f t="array" ref="H6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1.9103871057809767</v>
      </c>
      <c r="I641" s="81" cm="1">
        <f t="array" ref="I6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1.9228600884113061</v>
      </c>
      <c r="J641" s="81" cm="1">
        <f t="array" ref="J6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1.933224869960712</v>
      </c>
      <c r="K641" s="81" cm="1">
        <f t="array" ref="K6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1.954585342122485</v>
      </c>
      <c r="L641" s="81" cm="1">
        <f t="array" ref="L6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1.98284850892847</v>
      </c>
      <c r="M641" s="37">
        <f t="shared" si="65"/>
        <v>4.4198236341508323E-2</v>
      </c>
      <c r="N641" s="43">
        <f t="shared" si="66"/>
        <v>1.2472982630329366E-2</v>
      </c>
      <c r="O641" s="43">
        <f t="shared" si="67"/>
        <v>2.8263166805984952E-2</v>
      </c>
      <c r="P641" s="43">
        <f t="shared" si="68"/>
        <v>0.28220543765488421</v>
      </c>
      <c r="Q641" s="37">
        <f t="shared" si="69"/>
        <v>0.63946367876769528</v>
      </c>
      <c r="R641" s="37">
        <v>3.0700000000000002E-2</v>
      </c>
      <c r="S641" s="44" t="s">
        <v>1393</v>
      </c>
      <c r="T641" s="45">
        <v>2.0245975999999999</v>
      </c>
      <c r="U641" s="45">
        <v>0.47018719599999997</v>
      </c>
      <c r="V641" s="45">
        <v>2.5997043299999998</v>
      </c>
      <c r="W641" s="45">
        <v>1.47053225E-2</v>
      </c>
      <c r="X641" s="45">
        <v>6.9299827600000002E-2</v>
      </c>
      <c r="Y641" s="45">
        <v>161.817601</v>
      </c>
      <c r="Z641" s="36">
        <v>3.996</v>
      </c>
      <c r="AA641" s="38">
        <v>710</v>
      </c>
      <c r="AB641" s="38">
        <v>800</v>
      </c>
      <c r="AC641" s="49" t="s">
        <v>506</v>
      </c>
      <c r="AD641" s="49" t="s">
        <v>506</v>
      </c>
      <c r="AE641" s="46" t="s">
        <v>248</v>
      </c>
    </row>
    <row r="642" spans="1:31" ht="15" thickBot="1">
      <c r="A642" s="34">
        <v>640</v>
      </c>
      <c r="B642" s="34" t="s">
        <v>253</v>
      </c>
      <c r="C642" s="41" t="s">
        <v>1356</v>
      </c>
      <c r="D642" s="34" t="s">
        <v>211</v>
      </c>
      <c r="E642" s="80">
        <f t="shared" si="63"/>
        <v>1.8051801846158335</v>
      </c>
      <c r="F642" s="35">
        <f t="shared" si="64"/>
        <v>25.360054023323116</v>
      </c>
      <c r="G642" s="42" cm="1">
        <f t="array" ref="G64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25.156739135469227</v>
      </c>
      <c r="H642" s="81" cm="1">
        <f t="array" ref="H6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1.7960788586929399</v>
      </c>
      <c r="I642" s="81" cm="1">
        <f t="array" ref="I6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1.8051801846158335</v>
      </c>
      <c r="J642" s="81" cm="1">
        <f t="array" ref="J6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1.8126593000301703</v>
      </c>
      <c r="K642" s="81" cm="1">
        <f t="array" ref="K6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1.8278287983372059</v>
      </c>
      <c r="L642" s="81" cm="1">
        <f t="array" ref="L6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1.8473804424430584</v>
      </c>
      <c r="M642" s="37">
        <f t="shared" si="65"/>
        <v>3.1749939644265979E-2</v>
      </c>
      <c r="N642" s="43">
        <f t="shared" si="66"/>
        <v>9.1013259228935883E-3</v>
      </c>
      <c r="O642" s="43">
        <f t="shared" si="67"/>
        <v>1.9551644105852528E-2</v>
      </c>
      <c r="P642" s="43">
        <f t="shared" si="68"/>
        <v>0.28665647950412032</v>
      </c>
      <c r="Q642" s="37">
        <f t="shared" si="69"/>
        <v>0.61580098497552715</v>
      </c>
      <c r="R642" s="37">
        <v>1.46E-2</v>
      </c>
      <c r="S642" s="44" t="s">
        <v>1393</v>
      </c>
      <c r="T642" s="45">
        <v>1.77931763</v>
      </c>
      <c r="U642" s="45">
        <v>0.33814986600000002</v>
      </c>
      <c r="V642" s="45">
        <v>2.0873447399999998</v>
      </c>
      <c r="W642" s="45">
        <v>1.33714182E-2</v>
      </c>
      <c r="X642" s="45">
        <v>6.17533621E-2</v>
      </c>
      <c r="Y642" s="45">
        <v>174.01759000000001</v>
      </c>
      <c r="Z642" s="36">
        <v>3.3690000000000002</v>
      </c>
      <c r="AA642" s="38">
        <v>589</v>
      </c>
      <c r="AB642" s="38">
        <v>669</v>
      </c>
      <c r="AC642" s="49" t="s">
        <v>506</v>
      </c>
      <c r="AD642" s="49" t="s">
        <v>506</v>
      </c>
      <c r="AE642" s="46" t="s">
        <v>248</v>
      </c>
    </row>
    <row r="643" spans="1:31" ht="15" thickBot="1">
      <c r="A643" s="34">
        <v>641</v>
      </c>
      <c r="B643" s="34" t="s">
        <v>253</v>
      </c>
      <c r="C643" s="41" t="s">
        <v>1356</v>
      </c>
      <c r="D643" s="34" t="s">
        <v>1207</v>
      </c>
      <c r="E643" s="80">
        <f t="shared" ref="E643:E706" si="70">I643</f>
        <v>1.8051801846158335</v>
      </c>
      <c r="F643" s="35">
        <f t="shared" ref="F643:F706" si="71">(I643-1)/M643</f>
        <v>25.360054023323116</v>
      </c>
      <c r="G643" s="42" cm="1">
        <f t="array" ref="G64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25.156739135469227</v>
      </c>
      <c r="H643" s="81" cm="1">
        <f t="array" ref="H6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1.7960788586929399</v>
      </c>
      <c r="I643" s="81" cm="1">
        <f t="array" ref="I6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1.8051801846158335</v>
      </c>
      <c r="J643" s="81" cm="1">
        <f t="array" ref="J6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1.8126593000301703</v>
      </c>
      <c r="K643" s="81" cm="1">
        <f t="array" ref="K6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1.8278287983372059</v>
      </c>
      <c r="L643" s="81" cm="1">
        <f t="array" ref="L6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1.8473804424430584</v>
      </c>
      <c r="M643" s="37">
        <f t="shared" ref="M643:M706" si="72">K643-H643</f>
        <v>3.1749939644265979E-2</v>
      </c>
      <c r="N643" s="43">
        <f t="shared" ref="N643:N706" si="73">I643-H643</f>
        <v>9.1013259228935883E-3</v>
      </c>
      <c r="O643" s="43">
        <f t="shared" ref="O643:O706" si="74">L643-K643</f>
        <v>1.9551644105852528E-2</v>
      </c>
      <c r="P643" s="43">
        <f t="shared" ref="P643:P706" si="75">(I643-H643)/M643</f>
        <v>0.28665647950412032</v>
      </c>
      <c r="Q643" s="37">
        <f t="shared" ref="Q643:Q706" si="76">(L643-K643)/M643</f>
        <v>0.61580098497552715</v>
      </c>
      <c r="R643" s="37">
        <v>1.46E-2</v>
      </c>
      <c r="S643" s="44" t="s">
        <v>1393</v>
      </c>
      <c r="T643" s="45">
        <v>1.77931763</v>
      </c>
      <c r="U643" s="45">
        <v>0.33814986600000002</v>
      </c>
      <c r="V643" s="45">
        <v>2.0873447399999998</v>
      </c>
      <c r="W643" s="45">
        <v>1.33714182E-2</v>
      </c>
      <c r="X643" s="45">
        <v>6.17533621E-2</v>
      </c>
      <c r="Y643" s="45">
        <v>174.01759000000001</v>
      </c>
      <c r="Z643" s="36">
        <v>3.3690000000000002</v>
      </c>
      <c r="AA643" s="38">
        <v>589</v>
      </c>
      <c r="AB643" s="38">
        <v>669</v>
      </c>
      <c r="AC643" s="49" t="s">
        <v>506</v>
      </c>
      <c r="AD643" s="49" t="s">
        <v>506</v>
      </c>
      <c r="AE643" s="46" t="s">
        <v>248</v>
      </c>
    </row>
    <row r="644" spans="1:31" ht="15" thickBot="1">
      <c r="A644" s="34">
        <v>642</v>
      </c>
      <c r="B644" s="34" t="s">
        <v>253</v>
      </c>
      <c r="C644" s="41" t="s">
        <v>1356</v>
      </c>
      <c r="D644" s="34" t="s">
        <v>212</v>
      </c>
      <c r="E644" s="80">
        <f t="shared" si="70"/>
        <v>1.6889359225480975</v>
      </c>
      <c r="F644" s="35">
        <f t="shared" si="71"/>
        <v>31.308326532777556</v>
      </c>
      <c r="G644" s="42" cm="1">
        <f t="array" ref="G64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31.062872655299831</v>
      </c>
      <c r="H644" s="81" cm="1">
        <f t="array" ref="H6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1.6825442539620323</v>
      </c>
      <c r="I644" s="81" cm="1">
        <f t="array" ref="I6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1.6889359225480975</v>
      </c>
      <c r="J644" s="81" cm="1">
        <f t="array" ref="J6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1.6941334494254257</v>
      </c>
      <c r="K644" s="81" cm="1">
        <f t="array" ref="K6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1.7045491324989555</v>
      </c>
      <c r="L644" s="81" cm="1">
        <f t="array" ref="L6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1.7177499386700634</v>
      </c>
      <c r="M644" s="37">
        <f t="shared" si="72"/>
        <v>2.2004878536923123E-2</v>
      </c>
      <c r="N644" s="43">
        <f t="shared" si="73"/>
        <v>6.3916685860652134E-3</v>
      </c>
      <c r="O644" s="43">
        <f t="shared" si="74"/>
        <v>1.320080617110797E-2</v>
      </c>
      <c r="P644" s="43">
        <f t="shared" si="75"/>
        <v>0.29046597895736176</v>
      </c>
      <c r="Q644" s="37">
        <f t="shared" si="76"/>
        <v>0.59990361450792173</v>
      </c>
      <c r="R644" s="37">
        <v>8.6999999999999994E-3</v>
      </c>
      <c r="S644" s="44" t="s">
        <v>1393</v>
      </c>
      <c r="T644" s="45">
        <v>1.55075812</v>
      </c>
      <c r="U644" s="45">
        <v>0.20981691799999999</v>
      </c>
      <c r="V644" s="45">
        <v>1.46205491</v>
      </c>
      <c r="W644" s="45">
        <v>1.14338344E-2</v>
      </c>
      <c r="X644" s="45">
        <v>5.8272565200000001E-2</v>
      </c>
      <c r="Y644" s="45">
        <v>133.24164999999999</v>
      </c>
      <c r="Z644" s="36">
        <v>2.9039999999999999</v>
      </c>
      <c r="AA644" s="38">
        <v>567</v>
      </c>
      <c r="AB644" s="38">
        <v>678</v>
      </c>
      <c r="AC644" s="49" t="s">
        <v>506</v>
      </c>
      <c r="AD644" s="49" t="s">
        <v>506</v>
      </c>
      <c r="AE644" s="46" t="s">
        <v>248</v>
      </c>
    </row>
    <row r="645" spans="1:31" ht="15" thickBot="1">
      <c r="A645" s="34">
        <v>643</v>
      </c>
      <c r="B645" s="34" t="s">
        <v>253</v>
      </c>
      <c r="C645" s="41" t="s">
        <v>1355</v>
      </c>
      <c r="D645" s="34" t="s">
        <v>213</v>
      </c>
      <c r="E645" s="80">
        <f t="shared" si="70"/>
        <v>1.5638397368277659</v>
      </c>
      <c r="F645" s="35">
        <f t="shared" si="71"/>
        <v>60.799585254363713</v>
      </c>
      <c r="G645" s="42" cm="1">
        <f t="array" ref="G64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60.546180961143236</v>
      </c>
      <c r="H645" s="81" cm="1">
        <f t="array" ref="H6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1.5610103487528391</v>
      </c>
      <c r="I645" s="81" cm="1">
        <f t="array" ref="I6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1.5638397368277659</v>
      </c>
      <c r="J645" s="81" cm="1">
        <f t="array" ref="J6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1.5660518628644795</v>
      </c>
      <c r="K645" s="81" cm="1">
        <f t="array" ref="K6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1.570284091895475</v>
      </c>
      <c r="L645" s="81" cm="1">
        <f t="array" ref="L6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1.5753028376496392</v>
      </c>
      <c r="M645" s="37">
        <f t="shared" si="72"/>
        <v>9.2737431426359596E-3</v>
      </c>
      <c r="N645" s="43">
        <f t="shared" si="73"/>
        <v>2.8293880749268308E-3</v>
      </c>
      <c r="O645" s="43">
        <f t="shared" si="74"/>
        <v>5.0187457541641667E-3</v>
      </c>
      <c r="P645" s="43">
        <f t="shared" si="75"/>
        <v>0.30509666176958705</v>
      </c>
      <c r="Q645" s="37">
        <f t="shared" si="76"/>
        <v>0.54117799867569372</v>
      </c>
      <c r="R645" s="37">
        <v>-4.0000000000000002E-4</v>
      </c>
      <c r="S645" s="44" t="s">
        <v>1393</v>
      </c>
      <c r="T645" s="45">
        <v>1.17963631</v>
      </c>
      <c r="U645" s="45">
        <v>0.229817295</v>
      </c>
      <c r="V645" s="45">
        <v>0.93578965199999997</v>
      </c>
      <c r="W645" s="45">
        <v>6.8028208099999996E-3</v>
      </c>
      <c r="X645" s="45">
        <v>2.1973720499999998E-2</v>
      </c>
      <c r="Y645" s="45">
        <v>101.513232</v>
      </c>
      <c r="Z645" s="36">
        <v>3.08</v>
      </c>
      <c r="AA645" s="38">
        <v>610</v>
      </c>
      <c r="AB645" s="38">
        <v>760</v>
      </c>
      <c r="AC645" s="49" t="s">
        <v>506</v>
      </c>
      <c r="AD645" s="49" t="s">
        <v>506</v>
      </c>
      <c r="AE645" s="46" t="s">
        <v>248</v>
      </c>
    </row>
    <row r="646" spans="1:31" ht="15" thickBot="1">
      <c r="A646" s="34">
        <v>644</v>
      </c>
      <c r="B646" s="34" t="s">
        <v>253</v>
      </c>
      <c r="C646" s="41" t="s">
        <v>1355</v>
      </c>
      <c r="D646" s="34" t="s">
        <v>214</v>
      </c>
      <c r="E646" s="80">
        <f t="shared" si="70"/>
        <v>1.6031104337486488</v>
      </c>
      <c r="F646" s="35">
        <f t="shared" si="71"/>
        <v>60.597533448271172</v>
      </c>
      <c r="G646" s="42" cm="1">
        <f t="array" ref="G64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60.341380504845716</v>
      </c>
      <c r="H646" s="81" cm="1">
        <f t="array" ref="H6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1.6000754753494524</v>
      </c>
      <c r="I646" s="81" cm="1">
        <f t="array" ref="I6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1.6031104337486488</v>
      </c>
      <c r="J646" s="81" cm="1">
        <f t="array" ref="J6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1.6054843967775536</v>
      </c>
      <c r="K646" s="81" cm="1">
        <f t="array" ref="K6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1.6100281978354838</v>
      </c>
      <c r="L646" s="81" cm="1">
        <f t="array" ref="L6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1.6154184438003256</v>
      </c>
      <c r="M646" s="37">
        <f t="shared" si="72"/>
        <v>9.9527224860314067E-3</v>
      </c>
      <c r="N646" s="43">
        <f t="shared" si="73"/>
        <v>3.0349583991964302E-3</v>
      </c>
      <c r="O646" s="43">
        <f t="shared" si="74"/>
        <v>5.3902459648418333E-3</v>
      </c>
      <c r="P646" s="43">
        <f t="shared" si="75"/>
        <v>0.30493750865212793</v>
      </c>
      <c r="Q646" s="37">
        <f t="shared" si="76"/>
        <v>0.5415850760841584</v>
      </c>
      <c r="R646" s="37">
        <v>-2.9999999999999997E-4</v>
      </c>
      <c r="S646" s="44" t="s">
        <v>1393</v>
      </c>
      <c r="T646" s="45">
        <v>0.93615537400000004</v>
      </c>
      <c r="U646" s="45">
        <v>0.59405201799999996</v>
      </c>
      <c r="V646" s="45">
        <v>1.04374583</v>
      </c>
      <c r="W646" s="45">
        <v>4.6171652500000002E-3</v>
      </c>
      <c r="X646" s="45">
        <v>1.6885926999999998E-2</v>
      </c>
      <c r="Y646" s="45">
        <v>103.736265</v>
      </c>
      <c r="Z646" s="36">
        <v>3.43</v>
      </c>
      <c r="AA646" s="38">
        <v>654</v>
      </c>
      <c r="AB646" s="38">
        <v>773</v>
      </c>
      <c r="AC646" s="49" t="s">
        <v>506</v>
      </c>
      <c r="AD646" s="49" t="s">
        <v>506</v>
      </c>
      <c r="AE646" s="46"/>
    </row>
    <row r="647" spans="1:31" ht="15" thickBot="1">
      <c r="A647" s="34">
        <v>645</v>
      </c>
      <c r="B647" s="34" t="s">
        <v>253</v>
      </c>
      <c r="C647" s="41" t="s">
        <v>1355</v>
      </c>
      <c r="D647" s="34" t="s">
        <v>215</v>
      </c>
      <c r="E647" s="80">
        <f t="shared" si="70"/>
        <v>1.6204099650808939</v>
      </c>
      <c r="F647" s="35">
        <f t="shared" si="71"/>
        <v>60.324359893938009</v>
      </c>
      <c r="G647" s="42" cm="1">
        <f t="array" ref="G64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60.075826676021762</v>
      </c>
      <c r="H647" s="81" cm="1">
        <f t="array" ref="H6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1.6172716598778425</v>
      </c>
      <c r="I647" s="81" cm="1">
        <f t="array" ref="I6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1.6204099650808939</v>
      </c>
      <c r="J647" s="81" cm="1">
        <f t="array" ref="J6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1.6228630799988826</v>
      </c>
      <c r="K647" s="81" cm="1">
        <f t="array" ref="K6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1.6275562276075572</v>
      </c>
      <c r="L647" s="81" cm="1">
        <f t="array" ref="L6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1.6331225831488199</v>
      </c>
      <c r="M647" s="37">
        <f t="shared" si="72"/>
        <v>1.0284567729714755E-2</v>
      </c>
      <c r="N647" s="43">
        <f t="shared" si="73"/>
        <v>3.1383052030513614E-3</v>
      </c>
      <c r="O647" s="43">
        <f t="shared" si="74"/>
        <v>5.5663555412626131E-3</v>
      </c>
      <c r="P647" s="43">
        <f t="shared" si="75"/>
        <v>0.30514702081099554</v>
      </c>
      <c r="Q647" s="37">
        <f t="shared" si="76"/>
        <v>0.5412337871216486</v>
      </c>
      <c r="R647" s="37">
        <v>-1.1000000000000001E-3</v>
      </c>
      <c r="S647" s="44" t="s">
        <v>1393</v>
      </c>
      <c r="T647" s="45">
        <v>1.34317774</v>
      </c>
      <c r="U647" s="45">
        <v>0.24114439900000001</v>
      </c>
      <c r="V647" s="45">
        <v>0.99431796900000002</v>
      </c>
      <c r="W647" s="45">
        <v>7.0468733899999997E-3</v>
      </c>
      <c r="X647" s="45">
        <v>2.2900500000000001E-2</v>
      </c>
      <c r="Y647" s="45">
        <v>92.750852600000002</v>
      </c>
      <c r="Z647" s="36">
        <v>3.58</v>
      </c>
      <c r="AA647" s="38">
        <v>636</v>
      </c>
      <c r="AB647" s="38">
        <v>750</v>
      </c>
      <c r="AC647" s="49" t="s">
        <v>506</v>
      </c>
      <c r="AD647" s="49" t="s">
        <v>506</v>
      </c>
      <c r="AE647" s="46"/>
    </row>
    <row r="648" spans="1:31" ht="15" thickBot="1">
      <c r="A648" s="34">
        <v>646</v>
      </c>
      <c r="B648" s="34" t="s">
        <v>253</v>
      </c>
      <c r="C648" s="41" t="s">
        <v>1355</v>
      </c>
      <c r="D648" s="34" t="s">
        <v>216</v>
      </c>
      <c r="E648" s="80">
        <f t="shared" si="70"/>
        <v>1.6073809696996346</v>
      </c>
      <c r="F648" s="35">
        <f t="shared" si="71"/>
        <v>56.650781258938331</v>
      </c>
      <c r="G648" s="42" cm="1">
        <f t="array" ref="G64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56.36845045058741</v>
      </c>
      <c r="H648" s="81" cm="1">
        <f t="array" ref="H6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1.6041354452452781</v>
      </c>
      <c r="I648" s="81" cm="1">
        <f t="array" ref="I6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1.6073809696996346</v>
      </c>
      <c r="J648" s="81" cm="1">
        <f t="array" ref="J6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1.6099366885157718</v>
      </c>
      <c r="K648" s="81" cm="1">
        <f t="array" ref="K6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1.6148569385098357</v>
      </c>
      <c r="L648" s="81" cm="1">
        <f t="array" ref="L6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1.6207298257937053</v>
      </c>
      <c r="M648" s="37">
        <f t="shared" si="72"/>
        <v>1.0721493264557624E-2</v>
      </c>
      <c r="N648" s="43">
        <f t="shared" si="73"/>
        <v>3.245524454356552E-3</v>
      </c>
      <c r="O648" s="43">
        <f t="shared" si="74"/>
        <v>5.8728872838695878E-3</v>
      </c>
      <c r="P648" s="43">
        <f t="shared" si="75"/>
        <v>0.30271197997068039</v>
      </c>
      <c r="Q648" s="37">
        <f t="shared" si="76"/>
        <v>0.54776766061904592</v>
      </c>
      <c r="R648" s="37">
        <v>-8.0000000000000004E-4</v>
      </c>
      <c r="S648" s="44" t="s">
        <v>1393</v>
      </c>
      <c r="T648" s="45">
        <v>1.2818901199999999</v>
      </c>
      <c r="U648" s="45">
        <v>0.257738258</v>
      </c>
      <c r="V648" s="45">
        <v>0.96818603999999997</v>
      </c>
      <c r="W648" s="45">
        <v>7.2719163999999999E-3</v>
      </c>
      <c r="X648" s="45">
        <v>2.4282352699999999E-2</v>
      </c>
      <c r="Y648" s="45">
        <v>110.377773</v>
      </c>
      <c r="Z648" s="36">
        <v>3.55</v>
      </c>
      <c r="AA648" s="38">
        <v>659</v>
      </c>
      <c r="AB648" s="38">
        <v>823</v>
      </c>
      <c r="AC648" s="49" t="s">
        <v>506</v>
      </c>
      <c r="AD648" s="49" t="s">
        <v>506</v>
      </c>
      <c r="AE648" s="46" t="s">
        <v>248</v>
      </c>
    </row>
    <row r="649" spans="1:31" ht="15" thickBot="1">
      <c r="A649" s="34">
        <v>647</v>
      </c>
      <c r="B649" s="34" t="s">
        <v>253</v>
      </c>
      <c r="C649" s="41" t="s">
        <v>1355</v>
      </c>
      <c r="D649" s="34" t="s">
        <v>217</v>
      </c>
      <c r="E649" s="80">
        <f t="shared" si="70"/>
        <v>1.6073809696996346</v>
      </c>
      <c r="F649" s="35">
        <f t="shared" si="71"/>
        <v>56.650781258938331</v>
      </c>
      <c r="G649" s="42" cm="1">
        <f t="array" ref="G64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56.36845045058741</v>
      </c>
      <c r="H649" s="81" cm="1">
        <f t="array" ref="H6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1.6041354452452781</v>
      </c>
      <c r="I649" s="81" cm="1">
        <f t="array" ref="I6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1.6073809696996346</v>
      </c>
      <c r="J649" s="81" cm="1">
        <f t="array" ref="J6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1.6099366885157718</v>
      </c>
      <c r="K649" s="81" cm="1">
        <f t="array" ref="K6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1.6148569385098357</v>
      </c>
      <c r="L649" s="81" cm="1">
        <f t="array" ref="L6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1.6207298257937053</v>
      </c>
      <c r="M649" s="37">
        <f t="shared" si="72"/>
        <v>1.0721493264557624E-2</v>
      </c>
      <c r="N649" s="43">
        <f t="shared" si="73"/>
        <v>3.245524454356552E-3</v>
      </c>
      <c r="O649" s="43">
        <f t="shared" si="74"/>
        <v>5.8728872838695878E-3</v>
      </c>
      <c r="P649" s="43">
        <f t="shared" si="75"/>
        <v>0.30271197997068039</v>
      </c>
      <c r="Q649" s="37">
        <f t="shared" si="76"/>
        <v>0.54776766061904592</v>
      </c>
      <c r="R649" s="37">
        <v>-8.0000000000000004E-4</v>
      </c>
      <c r="S649" s="44" t="s">
        <v>1393</v>
      </c>
      <c r="T649" s="45">
        <v>1.2818901199999999</v>
      </c>
      <c r="U649" s="45">
        <v>0.257738258</v>
      </c>
      <c r="V649" s="45">
        <v>0.96818603999999997</v>
      </c>
      <c r="W649" s="45">
        <v>7.2719163999999999E-3</v>
      </c>
      <c r="X649" s="45">
        <v>2.4282352699999999E-2</v>
      </c>
      <c r="Y649" s="45">
        <v>110.377773</v>
      </c>
      <c r="Z649" s="36">
        <v>3.55</v>
      </c>
      <c r="AA649" s="38">
        <v>659</v>
      </c>
      <c r="AB649" s="38">
        <v>823</v>
      </c>
      <c r="AC649" s="49" t="s">
        <v>506</v>
      </c>
      <c r="AD649" s="49" t="s">
        <v>506</v>
      </c>
      <c r="AE649" s="46" t="s">
        <v>248</v>
      </c>
    </row>
    <row r="650" spans="1:31" ht="15" thickBot="1">
      <c r="A650" s="34">
        <v>648</v>
      </c>
      <c r="B650" s="34" t="s">
        <v>253</v>
      </c>
      <c r="C650" s="41" t="s">
        <v>1355</v>
      </c>
      <c r="D650" s="34" t="s">
        <v>218</v>
      </c>
      <c r="E650" s="80">
        <f t="shared" si="70"/>
        <v>1.6127176126038578</v>
      </c>
      <c r="F650" s="35">
        <f t="shared" si="71"/>
        <v>58.635024442530856</v>
      </c>
      <c r="G650" s="42" cm="1">
        <f t="array" ref="G65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58.366173247373602</v>
      </c>
      <c r="H650" s="81" cm="1">
        <f t="array" ref="H6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1.6095419173034118</v>
      </c>
      <c r="I650" s="81" cm="1">
        <f t="array" ref="I6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1.6127176126038578</v>
      </c>
      <c r="J650" s="81" cm="1">
        <f t="array" ref="J6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1.6152091216671343</v>
      </c>
      <c r="K650" s="81" cm="1">
        <f t="array" ref="K6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1.6199916036202375</v>
      </c>
      <c r="L650" s="81" cm="1">
        <f t="array" ref="L6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1.6256845433877369</v>
      </c>
      <c r="M650" s="37">
        <f t="shared" si="72"/>
        <v>1.0449686316825746E-2</v>
      </c>
      <c r="N650" s="43">
        <f t="shared" si="73"/>
        <v>3.1756953004460353E-3</v>
      </c>
      <c r="O650" s="43">
        <f t="shared" si="74"/>
        <v>5.6929397674994053E-3</v>
      </c>
      <c r="P650" s="43">
        <f t="shared" si="75"/>
        <v>0.30390340955332157</v>
      </c>
      <c r="Q650" s="37">
        <f t="shared" si="76"/>
        <v>0.5447952785274347</v>
      </c>
      <c r="R650" s="37">
        <v>-4.0000000000000002E-4</v>
      </c>
      <c r="S650" s="44" t="s">
        <v>1393</v>
      </c>
      <c r="T650" s="45">
        <v>1.3299374100000001</v>
      </c>
      <c r="U650" s="45">
        <v>0.228542996</v>
      </c>
      <c r="V650" s="45">
        <v>0.98846521099999995</v>
      </c>
      <c r="W650" s="45">
        <v>7.1687410699999999E-3</v>
      </c>
      <c r="X650" s="45">
        <v>2.4645589200000002E-2</v>
      </c>
      <c r="Y650" s="45">
        <v>100.886364</v>
      </c>
      <c r="Z650" s="36">
        <v>3.5350000000000001</v>
      </c>
      <c r="AA650" s="38">
        <v>658</v>
      </c>
      <c r="AB650" s="38">
        <v>769</v>
      </c>
      <c r="AC650" s="49" t="s">
        <v>506</v>
      </c>
      <c r="AD650" s="49" t="s">
        <v>506</v>
      </c>
      <c r="AE650" s="46" t="s">
        <v>248</v>
      </c>
    </row>
    <row r="651" spans="1:31" ht="15" thickBot="1">
      <c r="A651" s="34">
        <v>649</v>
      </c>
      <c r="B651" s="34" t="s">
        <v>253</v>
      </c>
      <c r="C651" s="41" t="s">
        <v>1355</v>
      </c>
      <c r="D651" s="34" t="s">
        <v>219</v>
      </c>
      <c r="E651" s="80">
        <f t="shared" si="70"/>
        <v>1.5891301173570451</v>
      </c>
      <c r="F651" s="35">
        <f t="shared" si="71"/>
        <v>61.267524274526707</v>
      </c>
      <c r="G651" s="42" cm="1">
        <f t="array" ref="G65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61.021171853345287</v>
      </c>
      <c r="H651" s="81" cm="1">
        <f t="array" ref="H6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1.5861927609309607</v>
      </c>
      <c r="I651" s="81" cm="1">
        <f t="array" ref="I6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1.5891301173570451</v>
      </c>
      <c r="J651" s="81" cm="1">
        <f t="array" ref="J6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1.5914240727774787</v>
      </c>
      <c r="K651" s="81" cm="1">
        <f t="array" ref="K6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1.5958084606729199</v>
      </c>
      <c r="L651" s="81" cm="1">
        <f t="array" ref="L6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1.6010017057726869</v>
      </c>
      <c r="M651" s="37">
        <f t="shared" si="72"/>
        <v>9.6156997419591939E-3</v>
      </c>
      <c r="N651" s="43">
        <f t="shared" si="73"/>
        <v>2.9373564260843921E-3</v>
      </c>
      <c r="O651" s="43">
        <f t="shared" si="74"/>
        <v>5.1932450997669299E-3</v>
      </c>
      <c r="P651" s="43">
        <f t="shared" si="75"/>
        <v>0.30547505692871263</v>
      </c>
      <c r="Q651" s="37">
        <f t="shared" si="76"/>
        <v>0.54007979025235342</v>
      </c>
      <c r="R651" s="37">
        <v>-6.9999999999999999E-4</v>
      </c>
      <c r="S651" s="44" t="s">
        <v>1393</v>
      </c>
      <c r="T651" s="45">
        <v>0.99146382300000002</v>
      </c>
      <c r="U651" s="45">
        <v>0.495982121</v>
      </c>
      <c r="V651" s="45">
        <v>0.98739392500000001</v>
      </c>
      <c r="W651" s="45">
        <v>5.2273046700000003E-3</v>
      </c>
      <c r="X651" s="45">
        <v>1.72733646E-2</v>
      </c>
      <c r="Y651" s="45">
        <v>98.359457899999995</v>
      </c>
      <c r="Z651" s="36">
        <v>3.3</v>
      </c>
      <c r="AA651" s="38">
        <v>660</v>
      </c>
      <c r="AB651" s="38">
        <v>791</v>
      </c>
      <c r="AC651" s="49" t="s">
        <v>506</v>
      </c>
      <c r="AD651" s="49" t="s">
        <v>506</v>
      </c>
      <c r="AE651" s="46" t="s">
        <v>248</v>
      </c>
    </row>
    <row r="652" spans="1:31" ht="15" thickBot="1">
      <c r="A652" s="34">
        <v>650</v>
      </c>
      <c r="B652" s="34" t="s">
        <v>253</v>
      </c>
      <c r="C652" s="41" t="s">
        <v>1355</v>
      </c>
      <c r="D652" s="34" t="s">
        <v>1208</v>
      </c>
      <c r="E652" s="80">
        <f t="shared" si="70"/>
        <v>1.5891301173570451</v>
      </c>
      <c r="F652" s="35">
        <f t="shared" si="71"/>
        <v>61.267524274526707</v>
      </c>
      <c r="G652" s="42" cm="1">
        <f t="array" ref="G65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61.021171853345287</v>
      </c>
      <c r="H652" s="81" cm="1">
        <f t="array" ref="H6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1.5861927609309607</v>
      </c>
      <c r="I652" s="81" cm="1">
        <f t="array" ref="I6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1.5891301173570451</v>
      </c>
      <c r="J652" s="81" cm="1">
        <f t="array" ref="J6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1.5914240727774787</v>
      </c>
      <c r="K652" s="81" cm="1">
        <f t="array" ref="K6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1.5958084606729199</v>
      </c>
      <c r="L652" s="81" cm="1">
        <f t="array" ref="L6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1.6010017057726869</v>
      </c>
      <c r="M652" s="37">
        <f t="shared" si="72"/>
        <v>9.6156997419591939E-3</v>
      </c>
      <c r="N652" s="43">
        <f t="shared" si="73"/>
        <v>2.9373564260843921E-3</v>
      </c>
      <c r="O652" s="43">
        <f t="shared" si="74"/>
        <v>5.1932450997669299E-3</v>
      </c>
      <c r="P652" s="43">
        <f t="shared" si="75"/>
        <v>0.30547505692871263</v>
      </c>
      <c r="Q652" s="37">
        <f t="shared" si="76"/>
        <v>0.54007979025235342</v>
      </c>
      <c r="R652" s="37">
        <v>-6.9999999999999999E-4</v>
      </c>
      <c r="S652" s="44" t="s">
        <v>1393</v>
      </c>
      <c r="T652" s="45">
        <v>0.99146382300000002</v>
      </c>
      <c r="U652" s="45">
        <v>0.495982121</v>
      </c>
      <c r="V652" s="45">
        <v>0.98739392500000001</v>
      </c>
      <c r="W652" s="45">
        <v>5.2273046700000003E-3</v>
      </c>
      <c r="X652" s="45">
        <v>1.72733646E-2</v>
      </c>
      <c r="Y652" s="45">
        <v>98.359457899999995</v>
      </c>
      <c r="Z652" s="36">
        <v>3.3</v>
      </c>
      <c r="AA652" s="38">
        <v>660</v>
      </c>
      <c r="AB652" s="38">
        <v>791</v>
      </c>
      <c r="AC652" s="49" t="s">
        <v>506</v>
      </c>
      <c r="AD652" s="49" t="s">
        <v>506</v>
      </c>
      <c r="AE652" s="46" t="s">
        <v>248</v>
      </c>
    </row>
    <row r="653" spans="1:31" ht="15" thickBot="1">
      <c r="A653" s="34">
        <v>651</v>
      </c>
      <c r="B653" s="34" t="s">
        <v>253</v>
      </c>
      <c r="C653" s="41" t="s">
        <v>1355</v>
      </c>
      <c r="D653" s="34" t="s">
        <v>220</v>
      </c>
      <c r="E653" s="80">
        <f t="shared" si="70"/>
        <v>1.6222937959244259</v>
      </c>
      <c r="F653" s="35">
        <f t="shared" si="71"/>
        <v>53.274324916746821</v>
      </c>
      <c r="G653" s="42" cm="1">
        <f t="array" ref="G65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52.992990921072071</v>
      </c>
      <c r="H653" s="81" cm="1">
        <f t="array" ref="H6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1.6187706069472942</v>
      </c>
      <c r="I653" s="81" cm="1">
        <f t="array" ref="I6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1.6222937959244259</v>
      </c>
      <c r="J653" s="81" cm="1">
        <f t="array" ref="J6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1.6250756839473548</v>
      </c>
      <c r="K653" s="81" cm="1">
        <f t="array" ref="K6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1.6304515394958887</v>
      </c>
      <c r="L653" s="81" cm="1">
        <f t="array" ref="L6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1.6369066620655879</v>
      </c>
      <c r="M653" s="37">
        <f t="shared" si="72"/>
        <v>1.168093254859448E-2</v>
      </c>
      <c r="N653" s="43">
        <f t="shared" si="73"/>
        <v>3.5231889771316638E-3</v>
      </c>
      <c r="O653" s="43">
        <f t="shared" si="74"/>
        <v>6.4551225696991565E-3</v>
      </c>
      <c r="P653" s="43">
        <f t="shared" si="75"/>
        <v>0.30161881018271908</v>
      </c>
      <c r="Q653" s="37">
        <f t="shared" si="76"/>
        <v>0.55262048152789611</v>
      </c>
      <c r="R653" s="37">
        <v>-1.6000000000000001E-3</v>
      </c>
      <c r="S653" s="44" t="s">
        <v>1393</v>
      </c>
      <c r="T653" s="45">
        <v>1.4306026999999999</v>
      </c>
      <c r="U653" s="45">
        <v>0.15315055399999999</v>
      </c>
      <c r="V653" s="45">
        <v>1.0139090399999999</v>
      </c>
      <c r="W653" s="45">
        <v>8.2398297500000002E-3</v>
      </c>
      <c r="X653" s="45">
        <v>3.3373684100000002E-2</v>
      </c>
      <c r="Y653" s="45">
        <v>106.870822</v>
      </c>
      <c r="Z653" s="36">
        <v>3.5249999999999999</v>
      </c>
      <c r="AA653" s="38">
        <v>653</v>
      </c>
      <c r="AB653" s="38">
        <v>801</v>
      </c>
      <c r="AC653" s="49" t="s">
        <v>506</v>
      </c>
      <c r="AD653" s="49" t="s">
        <v>506</v>
      </c>
      <c r="AE653" s="46" t="s">
        <v>248</v>
      </c>
    </row>
    <row r="654" spans="1:31" ht="15" thickBot="1">
      <c r="A654" s="34">
        <v>652</v>
      </c>
      <c r="B654" s="34" t="s">
        <v>253</v>
      </c>
      <c r="C654" s="41" t="s">
        <v>1355</v>
      </c>
      <c r="D654" s="34" t="s">
        <v>221</v>
      </c>
      <c r="E654" s="80">
        <f t="shared" si="70"/>
        <v>1.6584400585012478</v>
      </c>
      <c r="F654" s="35">
        <f t="shared" si="71"/>
        <v>50.883532267493415</v>
      </c>
      <c r="G654" s="42" cm="1">
        <f t="array" ref="G65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50.59268989802581</v>
      </c>
      <c r="H654" s="81" cm="1">
        <f t="array" ref="H6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1.6545539552336723</v>
      </c>
      <c r="I654" s="81" cm="1">
        <f t="array" ref="I6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1.6584400585012478</v>
      </c>
      <c r="J654" s="81" cm="1">
        <f t="array" ref="J6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1.661519480805659</v>
      </c>
      <c r="K654" s="81" cm="1">
        <f t="array" ref="K6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1.667494095769511</v>
      </c>
      <c r="L654" s="81" cm="1">
        <f t="array" ref="L6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1.6747089291551722</v>
      </c>
      <c r="M654" s="37">
        <f t="shared" si="72"/>
        <v>1.2940140535838696E-2</v>
      </c>
      <c r="N654" s="43">
        <f t="shared" si="73"/>
        <v>3.8861032675754359E-3</v>
      </c>
      <c r="O654" s="43">
        <f t="shared" si="74"/>
        <v>7.2148333856612012E-3</v>
      </c>
      <c r="P654" s="43">
        <f t="shared" si="75"/>
        <v>0.30031383792259286</v>
      </c>
      <c r="Q654" s="37">
        <f t="shared" si="76"/>
        <v>0.55755448448795253</v>
      </c>
      <c r="R654" s="37">
        <v>-6.9999999999999999E-4</v>
      </c>
      <c r="S654" s="44" t="s">
        <v>1393</v>
      </c>
      <c r="T654" s="45">
        <v>1.5922265900000001</v>
      </c>
      <c r="U654" s="45">
        <v>0.103520774</v>
      </c>
      <c r="V654" s="45">
        <v>1.05174016</v>
      </c>
      <c r="W654" s="45">
        <v>9.2028462599999996E-3</v>
      </c>
      <c r="X654" s="45">
        <v>4.2353007200000001E-2</v>
      </c>
      <c r="Y654" s="45">
        <v>106.927374</v>
      </c>
      <c r="Z654" s="36">
        <v>3.71</v>
      </c>
      <c r="AA654" s="38">
        <v>645</v>
      </c>
      <c r="AB654" s="38">
        <v>751</v>
      </c>
      <c r="AC654" s="49" t="s">
        <v>506</v>
      </c>
      <c r="AD654" s="49" t="s">
        <v>506</v>
      </c>
      <c r="AE654" s="46"/>
    </row>
    <row r="655" spans="1:31" ht="15" thickBot="1">
      <c r="A655" s="34">
        <v>653</v>
      </c>
      <c r="B655" s="34" t="s">
        <v>253</v>
      </c>
      <c r="C655" s="41" t="s">
        <v>1355</v>
      </c>
      <c r="D655" s="34" t="s">
        <v>222</v>
      </c>
      <c r="E655" s="80">
        <f t="shared" si="70"/>
        <v>1.6177282061451479</v>
      </c>
      <c r="F655" s="35">
        <f t="shared" si="71"/>
        <v>49.829763072219585</v>
      </c>
      <c r="G655" s="42" cm="1">
        <f t="array" ref="G65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49.537715344251104</v>
      </c>
      <c r="H655" s="81" cm="1">
        <f t="array" ref="H6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1.6140105932905175</v>
      </c>
      <c r="I655" s="81" cm="1">
        <f t="array" ref="I6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1.6177282061451479</v>
      </c>
      <c r="J655" s="81" cm="1">
        <f t="array" ref="J6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1.6206765110184687</v>
      </c>
      <c r="K655" s="81" cm="1">
        <f t="array" ref="K6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1.6264073651806399</v>
      </c>
      <c r="L655" s="81" cm="1">
        <f t="array" ref="L6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1.6333520638502983</v>
      </c>
      <c r="M655" s="37">
        <f t="shared" si="72"/>
        <v>1.2396771890122338E-2</v>
      </c>
      <c r="N655" s="43">
        <f t="shared" si="73"/>
        <v>3.7176128546303477E-3</v>
      </c>
      <c r="O655" s="43">
        <f t="shared" si="74"/>
        <v>6.9446986696584112E-3</v>
      </c>
      <c r="P655" s="43">
        <f t="shared" si="75"/>
        <v>0.2998855579162924</v>
      </c>
      <c r="Q655" s="37">
        <f t="shared" si="76"/>
        <v>0.56020218256914922</v>
      </c>
      <c r="R655" s="37">
        <v>2.0000000000000001E-4</v>
      </c>
      <c r="S655" s="44" t="s">
        <v>1393</v>
      </c>
      <c r="T655" s="45">
        <v>1.4485786700000001</v>
      </c>
      <c r="U655" s="45">
        <v>0.117965926</v>
      </c>
      <c r="V655" s="45">
        <v>1.06937528</v>
      </c>
      <c r="W655" s="45">
        <v>8.6931014900000006E-3</v>
      </c>
      <c r="X655" s="45">
        <v>4.2156659300000003E-2</v>
      </c>
      <c r="Y655" s="45">
        <v>111.30066600000001</v>
      </c>
      <c r="Z655" s="36">
        <v>3.2679999999999998</v>
      </c>
      <c r="AA655" s="38">
        <v>616</v>
      </c>
      <c r="AB655" s="38">
        <v>742</v>
      </c>
      <c r="AC655" s="49" t="s">
        <v>506</v>
      </c>
      <c r="AD655" s="49" t="s">
        <v>506</v>
      </c>
      <c r="AE655" s="46"/>
    </row>
    <row r="656" spans="1:31" ht="15" thickBot="1">
      <c r="A656" s="34">
        <v>654</v>
      </c>
      <c r="B656" s="34" t="s">
        <v>253</v>
      </c>
      <c r="C656" s="41" t="s">
        <v>1355</v>
      </c>
      <c r="D656" s="34" t="s">
        <v>224</v>
      </c>
      <c r="E656" s="80">
        <f t="shared" si="70"/>
        <v>1.5080544152008939</v>
      </c>
      <c r="F656" s="35">
        <f t="shared" si="71"/>
        <v>61.040864207302469</v>
      </c>
      <c r="G656" s="42" cm="1">
        <f t="array" ref="G65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60.83812883807969</v>
      </c>
      <c r="H656" s="81" cm="1">
        <f t="array" ref="H6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1.5054989582376685</v>
      </c>
      <c r="I656" s="81" cm="1">
        <f t="array" ref="I6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1.5080544152008939</v>
      </c>
      <c r="J656" s="81" cm="1">
        <f t="array" ref="J6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1.5100402026360247</v>
      </c>
      <c r="K656" s="81" cm="1">
        <f t="array" ref="K6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1.5138221433989316</v>
      </c>
      <c r="L656" s="81" cm="1">
        <f t="array" ref="L6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1.5182904418712009</v>
      </c>
      <c r="M656" s="37">
        <f t="shared" si="72"/>
        <v>8.3231851612630692E-3</v>
      </c>
      <c r="N656" s="43">
        <f t="shared" si="73"/>
        <v>2.5554569632253443E-3</v>
      </c>
      <c r="O656" s="43">
        <f t="shared" si="74"/>
        <v>4.4682984722692609E-3</v>
      </c>
      <c r="P656" s="43">
        <f t="shared" si="75"/>
        <v>0.30702872923201263</v>
      </c>
      <c r="Q656" s="37">
        <f t="shared" si="76"/>
        <v>0.53684958170402908</v>
      </c>
      <c r="R656" s="37">
        <v>-4.3E-3</v>
      </c>
      <c r="S656" s="44" t="s">
        <v>1393</v>
      </c>
      <c r="T656" s="45">
        <v>1.0750989099999999</v>
      </c>
      <c r="U656" s="45">
        <v>0.16889504399999999</v>
      </c>
      <c r="V656" s="45">
        <v>0.86050398299999997</v>
      </c>
      <c r="W656" s="45">
        <v>6.76601657E-3</v>
      </c>
      <c r="X656" s="45">
        <v>2.3064281700000001E-2</v>
      </c>
      <c r="Y656" s="45">
        <v>89.049877800000004</v>
      </c>
      <c r="Z656" s="36">
        <v>2.4708000000000001</v>
      </c>
      <c r="AA656" s="38">
        <v>519</v>
      </c>
      <c r="AB656" s="38">
        <v>729</v>
      </c>
      <c r="AC656" s="49" t="s">
        <v>506</v>
      </c>
      <c r="AD656" s="49" t="s">
        <v>506</v>
      </c>
      <c r="AE656" s="46"/>
    </row>
    <row r="657" spans="1:31" ht="15" thickBot="1">
      <c r="A657" s="34">
        <v>655</v>
      </c>
      <c r="B657" s="34" t="s">
        <v>253</v>
      </c>
      <c r="C657" s="41" t="s">
        <v>1358</v>
      </c>
      <c r="D657" s="34" t="s">
        <v>1209</v>
      </c>
      <c r="E657" s="80">
        <f t="shared" si="70"/>
        <v>1.7554999322821099</v>
      </c>
      <c r="F657" s="35">
        <f t="shared" si="71"/>
        <v>45.661308215488731</v>
      </c>
      <c r="G657" s="42" cm="1">
        <f t="array" ref="G65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45.415669723975277</v>
      </c>
      <c r="H657" s="81" cm="1">
        <f t="array" ref="H6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1.7505374714870749</v>
      </c>
      <c r="I657" s="81" cm="1">
        <f t="array" ref="I6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1.7554999322821099</v>
      </c>
      <c r="J657" s="81" cm="1">
        <f t="array" ref="J6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1.7594361228335802</v>
      </c>
      <c r="K657" s="81" cm="1">
        <f t="array" ref="K6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1.7670832070739024</v>
      </c>
      <c r="L657" s="81" cm="1">
        <f t="array" ref="L6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1.7763335196051251</v>
      </c>
      <c r="M657" s="37">
        <f t="shared" si="72"/>
        <v>1.6545735586827481E-2</v>
      </c>
      <c r="N657" s="43">
        <f t="shared" si="73"/>
        <v>4.9624607950349287E-3</v>
      </c>
      <c r="O657" s="43">
        <f t="shared" si="74"/>
        <v>9.2503125312226597E-3</v>
      </c>
      <c r="P657" s="43">
        <f t="shared" si="75"/>
        <v>0.29992385463875543</v>
      </c>
      <c r="Q657" s="37">
        <f t="shared" si="76"/>
        <v>0.55907532685262362</v>
      </c>
      <c r="R657" s="37">
        <v>-8.0000000000000002E-3</v>
      </c>
      <c r="S657" s="44" t="s">
        <v>1393</v>
      </c>
      <c r="T657" s="45">
        <v>1.76003244</v>
      </c>
      <c r="U657" s="45">
        <v>0.248286745</v>
      </c>
      <c r="V657" s="45">
        <v>1.15935122</v>
      </c>
      <c r="W657" s="45">
        <v>9.3800639600000006E-3</v>
      </c>
      <c r="X657" s="45">
        <v>3.6053746400000003E-2</v>
      </c>
      <c r="Y657" s="45">
        <v>86.432469299999994</v>
      </c>
      <c r="Z657" s="36">
        <v>3.9870000000000001</v>
      </c>
      <c r="AA657" s="38">
        <v>506</v>
      </c>
      <c r="AB657" s="38">
        <v>593</v>
      </c>
      <c r="AC657" s="39" t="s">
        <v>508</v>
      </c>
      <c r="AD657" s="49" t="s">
        <v>506</v>
      </c>
      <c r="AE657" s="46"/>
    </row>
    <row r="658" spans="1:31" ht="15" thickBot="1">
      <c r="A658" s="34">
        <v>656</v>
      </c>
      <c r="B658" s="34" t="s">
        <v>253</v>
      </c>
      <c r="C658" s="41" t="s">
        <v>1358</v>
      </c>
      <c r="D658" s="34" t="s">
        <v>1210</v>
      </c>
      <c r="E658" s="80">
        <f t="shared" si="70"/>
        <v>1.693499850773178</v>
      </c>
      <c r="F658" s="35">
        <f t="shared" si="71"/>
        <v>53.200694795411451</v>
      </c>
      <c r="G658" s="42" cm="1">
        <f t="array" ref="G65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52.950510772333764</v>
      </c>
      <c r="H658" s="81" cm="1">
        <f t="array" ref="H6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1.6895529393894866</v>
      </c>
      <c r="I658" s="81" cm="1">
        <f t="array" ref="I6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1.693499850773178</v>
      </c>
      <c r="J658" s="81" cm="1">
        <f t="array" ref="J6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1.6966064611787739</v>
      </c>
      <c r="K658" s="81" cm="1">
        <f t="array" ref="K6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1.702588480625181</v>
      </c>
      <c r="L658" s="81" cm="1">
        <f t="array" ref="L6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1.709735371043386</v>
      </c>
      <c r="M658" s="37">
        <f t="shared" si="72"/>
        <v>1.3035541235694392E-2</v>
      </c>
      <c r="N658" s="43">
        <f t="shared" si="73"/>
        <v>3.9469113836914094E-3</v>
      </c>
      <c r="O658" s="43">
        <f t="shared" si="74"/>
        <v>7.146890418205043E-3</v>
      </c>
      <c r="P658" s="43">
        <f t="shared" si="75"/>
        <v>0.30278078311653323</v>
      </c>
      <c r="Q658" s="37">
        <f t="shared" si="76"/>
        <v>0.54826188563886924</v>
      </c>
      <c r="R658" s="37">
        <v>-6.1000000000000004E-3</v>
      </c>
      <c r="S658" s="44" t="s">
        <v>1393</v>
      </c>
      <c r="T658" s="45">
        <v>1.3932426</v>
      </c>
      <c r="U658" s="45">
        <v>0.41888276600000002</v>
      </c>
      <c r="V658" s="45">
        <v>1.0438069999999999</v>
      </c>
      <c r="W658" s="45">
        <v>7.1595969500000004E-3</v>
      </c>
      <c r="X658" s="45">
        <v>2.33637446E-2</v>
      </c>
      <c r="Y658" s="45">
        <v>88.328442600000002</v>
      </c>
      <c r="Z658" s="36">
        <v>3.8479999999999999</v>
      </c>
      <c r="AA658" s="38">
        <v>508</v>
      </c>
      <c r="AB658" s="38">
        <v>598</v>
      </c>
      <c r="AC658" s="39" t="s">
        <v>508</v>
      </c>
      <c r="AD658" s="49" t="s">
        <v>506</v>
      </c>
      <c r="AE658" s="46"/>
    </row>
    <row r="659" spans="1:31" ht="15" thickBot="1">
      <c r="A659" s="34">
        <v>657</v>
      </c>
      <c r="B659" s="34" t="s">
        <v>253</v>
      </c>
      <c r="C659" s="41" t="s">
        <v>1358</v>
      </c>
      <c r="D659" s="34" t="s">
        <v>1211</v>
      </c>
      <c r="E659" s="80">
        <f t="shared" si="70"/>
        <v>1.8061001167437198</v>
      </c>
      <c r="F659" s="35">
        <f t="shared" si="71"/>
        <v>40.900433176512394</v>
      </c>
      <c r="G659" s="42" cm="1">
        <f t="array" ref="G65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40.658915660700103</v>
      </c>
      <c r="H659" s="81" cm="1">
        <f t="array" ref="H6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1.8002349710241967</v>
      </c>
      <c r="I659" s="81" cm="1">
        <f t="array" ref="I6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1.8061001167437198</v>
      </c>
      <c r="J659" s="81" cm="1">
        <f t="array" ref="J6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1.8107832203090086</v>
      </c>
      <c r="K659" s="81" cm="1">
        <f t="array" ref="K6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1.819943811594781</v>
      </c>
      <c r="L659" s="81" cm="1">
        <f t="array" ref="L6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1.8311211301509693</v>
      </c>
      <c r="M659" s="37">
        <f t="shared" si="72"/>
        <v>1.9708840570584307E-2</v>
      </c>
      <c r="N659" s="43">
        <f t="shared" si="73"/>
        <v>5.8651457195231238E-3</v>
      </c>
      <c r="O659" s="43">
        <f t="shared" si="74"/>
        <v>1.1177318556188309E-2</v>
      </c>
      <c r="P659" s="43">
        <f t="shared" si="75"/>
        <v>0.29758958668917984</v>
      </c>
      <c r="Q659" s="37">
        <f t="shared" si="76"/>
        <v>0.56712207479472931</v>
      </c>
      <c r="R659" s="37">
        <v>-7.9000000000000008E-3</v>
      </c>
      <c r="S659" s="44" t="s">
        <v>1393</v>
      </c>
      <c r="T659" s="45">
        <v>1.85543101</v>
      </c>
      <c r="U659" s="45">
        <v>0.31585464899999999</v>
      </c>
      <c r="V659" s="45">
        <v>1.28561839</v>
      </c>
      <c r="W659" s="45">
        <v>1.00328203E-2</v>
      </c>
      <c r="X659" s="45">
        <v>3.8709516800000003E-2</v>
      </c>
      <c r="Y659" s="45">
        <v>94.542150699999993</v>
      </c>
      <c r="Z659" s="36">
        <v>4.5380000000000003</v>
      </c>
      <c r="AA659" s="38">
        <v>530</v>
      </c>
      <c r="AB659" s="38">
        <v>627</v>
      </c>
      <c r="AC659" s="39" t="s">
        <v>508</v>
      </c>
      <c r="AD659" s="49" t="s">
        <v>506</v>
      </c>
      <c r="AE659" s="46"/>
    </row>
    <row r="660" spans="1:31" ht="15" thickBot="1">
      <c r="A660" s="34">
        <v>658</v>
      </c>
      <c r="B660" s="34" t="s">
        <v>253</v>
      </c>
      <c r="C660" s="41" t="s">
        <v>1356</v>
      </c>
      <c r="D660" s="34" t="s">
        <v>226</v>
      </c>
      <c r="E660" s="80">
        <f t="shared" si="70"/>
        <v>2.0051998573840848</v>
      </c>
      <c r="F660" s="35">
        <f t="shared" si="71"/>
        <v>21.000280684909811</v>
      </c>
      <c r="G660" s="42" cm="1">
        <f t="array" ref="G66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20.817592226267234</v>
      </c>
      <c r="H660" s="81" cm="1">
        <f t="array" ref="H6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1.9917149553822149</v>
      </c>
      <c r="I660" s="81" cm="1">
        <f t="array" ref="I6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2.0051998573840848</v>
      </c>
      <c r="J660" s="81" cm="1">
        <f t="array" ref="J6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2.0164297112375507</v>
      </c>
      <c r="K660" s="81" cm="1">
        <f t="array" ref="K6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2.0395809754829077</v>
      </c>
      <c r="L660" s="81" cm="1">
        <f t="array" ref="L6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2.070181290398982</v>
      </c>
      <c r="M660" s="37">
        <f t="shared" si="72"/>
        <v>4.7866020100692852E-2</v>
      </c>
      <c r="N660" s="43">
        <f t="shared" si="73"/>
        <v>1.3484902001869914E-2</v>
      </c>
      <c r="O660" s="43">
        <f t="shared" si="74"/>
        <v>3.0600314916074289E-2</v>
      </c>
      <c r="P660" s="43">
        <f t="shared" si="75"/>
        <v>0.28172181379405559</v>
      </c>
      <c r="Q660" s="37">
        <f t="shared" si="76"/>
        <v>0.6392909803593918</v>
      </c>
      <c r="R660" s="37">
        <v>3.0800000000000001E-2</v>
      </c>
      <c r="S660" s="44" t="s">
        <v>1393</v>
      </c>
      <c r="T660" s="45">
        <v>2.3330066999999999</v>
      </c>
      <c r="U660" s="45">
        <v>0.45296139600000002</v>
      </c>
      <c r="V660" s="45">
        <v>1.25172339</v>
      </c>
      <c r="W660" s="45">
        <v>1.6883841900000002E-2</v>
      </c>
      <c r="X660" s="45">
        <v>7.1608632500000005E-2</v>
      </c>
      <c r="Y660" s="45">
        <v>118.70747900000001</v>
      </c>
      <c r="Z660" s="36">
        <v>6.194</v>
      </c>
      <c r="AA660" s="38">
        <v>428</v>
      </c>
      <c r="AB660" s="38">
        <v>504</v>
      </c>
      <c r="AC660" s="39" t="s">
        <v>508</v>
      </c>
      <c r="AD660" s="49" t="s">
        <v>506</v>
      </c>
      <c r="AE660" s="46"/>
    </row>
    <row r="661" spans="1:31" ht="15" thickBot="1">
      <c r="A661" s="34">
        <v>659</v>
      </c>
      <c r="B661" s="34" t="s">
        <v>253</v>
      </c>
      <c r="C661" s="41" t="s">
        <v>1356</v>
      </c>
      <c r="D661" s="34" t="s">
        <v>227</v>
      </c>
      <c r="E661" s="80">
        <f t="shared" si="70"/>
        <v>1.7225001770303623</v>
      </c>
      <c r="F661" s="35">
        <f t="shared" si="71"/>
        <v>29.230358725358702</v>
      </c>
      <c r="G661" s="42" cm="1">
        <f t="array" ref="G66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28.998830151077836</v>
      </c>
      <c r="H661" s="81" cm="1">
        <f t="array" ref="H6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1.7153502379388683</v>
      </c>
      <c r="I661" s="81" cm="1">
        <f t="array" ref="I6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1.7225001770303623</v>
      </c>
      <c r="J661" s="81" cm="1">
        <f t="array" ref="J6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1.728333223094946</v>
      </c>
      <c r="K661" s="81" cm="1">
        <f t="array" ref="K6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1.7400676963805795</v>
      </c>
      <c r="L661" s="81" cm="1">
        <f t="array" ref="L6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1.7550239494635618</v>
      </c>
      <c r="M661" s="37">
        <f t="shared" si="72"/>
        <v>2.4717458441711138E-2</v>
      </c>
      <c r="N661" s="43">
        <f t="shared" si="73"/>
        <v>7.1499390914939731E-3</v>
      </c>
      <c r="O661" s="43">
        <f t="shared" si="74"/>
        <v>1.4956253082982318E-2</v>
      </c>
      <c r="P661" s="43">
        <f t="shared" si="75"/>
        <v>0.28926675889250519</v>
      </c>
      <c r="Q661" s="37">
        <f t="shared" si="76"/>
        <v>0.60508863070417396</v>
      </c>
      <c r="R661" s="37">
        <v>1.04E-2</v>
      </c>
      <c r="S661" s="44" t="s">
        <v>1393</v>
      </c>
      <c r="T661" s="45">
        <v>1.6259464699999999</v>
      </c>
      <c r="U661" s="45">
        <v>0.23592760900000001</v>
      </c>
      <c r="V661" s="45">
        <v>1.67434623</v>
      </c>
      <c r="W661" s="45">
        <v>1.2169667699999999E-2</v>
      </c>
      <c r="X661" s="45">
        <v>6.0071040499999999E-2</v>
      </c>
      <c r="Y661" s="45">
        <v>145.65190799999999</v>
      </c>
      <c r="Z661" s="36">
        <v>2.9340000000000002</v>
      </c>
      <c r="AA661" s="38">
        <v>508</v>
      </c>
      <c r="AB661" s="38">
        <v>602</v>
      </c>
      <c r="AC661" s="39" t="s">
        <v>508</v>
      </c>
      <c r="AD661" s="49" t="s">
        <v>506</v>
      </c>
      <c r="AE661" s="46"/>
    </row>
    <row r="662" spans="1:31" ht="15" thickBot="1">
      <c r="A662" s="34">
        <v>660</v>
      </c>
      <c r="B662" s="34" t="s">
        <v>253</v>
      </c>
      <c r="C662" s="41" t="s">
        <v>1355</v>
      </c>
      <c r="D662" s="34" t="s">
        <v>229</v>
      </c>
      <c r="E662" s="80">
        <f t="shared" si="70"/>
        <v>1.5869996959747417</v>
      </c>
      <c r="F662" s="35">
        <f t="shared" si="71"/>
        <v>59.600767298893302</v>
      </c>
      <c r="G662" s="42" cm="1">
        <f t="array" ref="G66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59.360652697736477</v>
      </c>
      <c r="H662" s="81" cm="1">
        <f t="array" ref="H6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1.583993210634776</v>
      </c>
      <c r="I662" s="81" cm="1">
        <f t="array" ref="I6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1.5869996959747417</v>
      </c>
      <c r="J662" s="81" cm="1">
        <f t="array" ref="J6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1.5893487312218701</v>
      </c>
      <c r="K662" s="81" cm="1">
        <f t="array" ref="K6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1.5938420720266266</v>
      </c>
      <c r="L662" s="81" cm="1">
        <f t="array" ref="L6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1.5991724752572181</v>
      </c>
      <c r="M662" s="37">
        <f t="shared" si="72"/>
        <v>9.8488613918505941E-3</v>
      </c>
      <c r="N662" s="43">
        <f t="shared" si="73"/>
        <v>3.0064853399656144E-3</v>
      </c>
      <c r="O662" s="43">
        <f t="shared" si="74"/>
        <v>5.3304032305914184E-3</v>
      </c>
      <c r="P662" s="43">
        <f t="shared" si="75"/>
        <v>0.30526222477385256</v>
      </c>
      <c r="Q662" s="37">
        <f t="shared" si="76"/>
        <v>0.5412202505968905</v>
      </c>
      <c r="R662" s="37">
        <v>-2.3999999999999998E-3</v>
      </c>
      <c r="S662" s="44" t="s">
        <v>1393</v>
      </c>
      <c r="T662" s="45">
        <v>1.3105341399999999</v>
      </c>
      <c r="U662" s="45">
        <v>0.16937618900000001</v>
      </c>
      <c r="V662" s="45">
        <v>1.10987714</v>
      </c>
      <c r="W662" s="45">
        <v>7.4087723499999996E-3</v>
      </c>
      <c r="X662" s="45">
        <v>2.5456348899999998E-2</v>
      </c>
      <c r="Y662" s="45">
        <v>107.751087</v>
      </c>
      <c r="Z662" s="36">
        <v>3.012</v>
      </c>
      <c r="AA662" s="38">
        <v>493</v>
      </c>
      <c r="AB662" s="38">
        <v>593</v>
      </c>
      <c r="AC662" s="39" t="s">
        <v>508</v>
      </c>
      <c r="AD662" s="49" t="s">
        <v>506</v>
      </c>
      <c r="AE662" s="46"/>
    </row>
    <row r="663" spans="1:31" ht="15" thickBot="1">
      <c r="A663" s="34">
        <v>661</v>
      </c>
      <c r="B663" s="34" t="s">
        <v>253</v>
      </c>
      <c r="C663" s="41" t="s">
        <v>1355</v>
      </c>
      <c r="D663" s="34" t="s">
        <v>232</v>
      </c>
      <c r="E663" s="80">
        <f t="shared" si="70"/>
        <v>1.6103498902170528</v>
      </c>
      <c r="F663" s="35">
        <f t="shared" si="71"/>
        <v>57.900664670843788</v>
      </c>
      <c r="G663" s="42" cm="1">
        <f t="array" ref="G66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57.662882325616863</v>
      </c>
      <c r="H663" s="81" cm="1">
        <f t="array" ref="H6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1.6071361196158604</v>
      </c>
      <c r="I663" s="81" cm="1">
        <f t="array" ref="I6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1.6103498902170528</v>
      </c>
      <c r="J663" s="81" cm="1">
        <f t="array" ref="J6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1.6128634080803486</v>
      </c>
      <c r="K663" s="81" cm="1">
        <f t="array" ref="K6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1.6176774474863918</v>
      </c>
      <c r="L663" s="81" cm="1">
        <f t="array" ref="L6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1.6233989934399056</v>
      </c>
      <c r="M663" s="37">
        <f t="shared" si="72"/>
        <v>1.0541327870531303E-2</v>
      </c>
      <c r="N663" s="43">
        <f t="shared" si="73"/>
        <v>3.2137706011923228E-3</v>
      </c>
      <c r="O663" s="43">
        <f t="shared" si="74"/>
        <v>5.721545953513818E-3</v>
      </c>
      <c r="P663" s="43">
        <f t="shared" si="75"/>
        <v>0.30487341259695994</v>
      </c>
      <c r="Q663" s="37">
        <f t="shared" si="76"/>
        <v>0.54277279141545587</v>
      </c>
      <c r="R663" s="37">
        <v>-3.7000000000000002E-3</v>
      </c>
      <c r="S663" s="44" t="s">
        <v>1393</v>
      </c>
      <c r="T663" s="45">
        <v>1.4079044199999999</v>
      </c>
      <c r="U663" s="45">
        <v>0.14338141700000001</v>
      </c>
      <c r="V663" s="45">
        <v>1.16513947</v>
      </c>
      <c r="W663" s="45">
        <v>7.8438237800000001E-3</v>
      </c>
      <c r="X663" s="45">
        <v>2.8776936499999999E-2</v>
      </c>
      <c r="Y663" s="45">
        <v>105.373397</v>
      </c>
      <c r="Z663" s="36">
        <v>3.0750000000000002</v>
      </c>
      <c r="AA663" s="38">
        <v>507</v>
      </c>
      <c r="AB663" s="38">
        <v>606</v>
      </c>
      <c r="AC663" s="39" t="s">
        <v>508</v>
      </c>
      <c r="AD663" s="49" t="s">
        <v>506</v>
      </c>
      <c r="AE663" s="46"/>
    </row>
    <row r="664" spans="1:31" ht="15" thickBot="1">
      <c r="A664" s="34">
        <v>662</v>
      </c>
      <c r="B664" s="34" t="s">
        <v>253</v>
      </c>
      <c r="C664" s="41" t="s">
        <v>1356</v>
      </c>
      <c r="D664" s="34" t="s">
        <v>233</v>
      </c>
      <c r="E664" s="80">
        <f t="shared" si="70"/>
        <v>1.717359848476689</v>
      </c>
      <c r="F664" s="35">
        <f t="shared" si="71"/>
        <v>29.513190523285459</v>
      </c>
      <c r="G664" s="42" cm="1">
        <f t="array" ref="G66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29.290384459222562</v>
      </c>
      <c r="H664" s="81" cm="1">
        <f t="array" ref="H6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1.7103134807943816</v>
      </c>
      <c r="I664" s="81" cm="1">
        <f t="array" ref="I6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1.717359848476689</v>
      </c>
      <c r="J664" s="81" cm="1">
        <f t="array" ref="J6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1.72310504138889</v>
      </c>
      <c r="K664" s="81" cm="1">
        <f t="array" ref="K6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1.734619895511242</v>
      </c>
      <c r="L664" s="81" cm="1">
        <f t="array" ref="L6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1.7491642086521479</v>
      </c>
      <c r="M664" s="37">
        <f t="shared" si="72"/>
        <v>2.4306414716860347E-2</v>
      </c>
      <c r="N664" s="43">
        <f t="shared" si="73"/>
        <v>7.0463676823073751E-3</v>
      </c>
      <c r="O664" s="43">
        <f t="shared" si="74"/>
        <v>1.4544313140905984E-2</v>
      </c>
      <c r="P664" s="43">
        <f t="shared" si="75"/>
        <v>0.28989745153239749</v>
      </c>
      <c r="Q664" s="37">
        <f t="shared" si="76"/>
        <v>0.59837344628277078</v>
      </c>
      <c r="R664" s="37">
        <v>4.1999999999999997E-3</v>
      </c>
      <c r="S664" s="44" t="s">
        <v>1393</v>
      </c>
      <c r="T664" s="45">
        <v>1.5591292299999999</v>
      </c>
      <c r="U664" s="45">
        <v>0.28424628800000001</v>
      </c>
      <c r="V664" s="45">
        <v>0.96884292599999999</v>
      </c>
      <c r="W664" s="45">
        <v>1.21481001E-2</v>
      </c>
      <c r="X664" s="45">
        <v>5.34549042E-2</v>
      </c>
      <c r="Y664" s="45">
        <v>112.174809</v>
      </c>
      <c r="Z664" s="36">
        <v>4.46</v>
      </c>
      <c r="AA664" s="38">
        <v>417</v>
      </c>
      <c r="AB664" s="38">
        <v>566</v>
      </c>
      <c r="AC664" s="49" t="s">
        <v>506</v>
      </c>
      <c r="AD664" s="49" t="s">
        <v>506</v>
      </c>
      <c r="AE664" s="46" t="s">
        <v>289</v>
      </c>
    </row>
    <row r="665" spans="1:31" ht="15" thickBot="1">
      <c r="A665" s="34">
        <v>663</v>
      </c>
      <c r="B665" s="34" t="s">
        <v>253</v>
      </c>
      <c r="C665" s="41" t="s">
        <v>1356</v>
      </c>
      <c r="D665" s="34" t="s">
        <v>234</v>
      </c>
      <c r="E665" s="80">
        <f t="shared" si="70"/>
        <v>1.7282502441796137</v>
      </c>
      <c r="F665" s="35">
        <f t="shared" si="71"/>
        <v>28.410564857953158</v>
      </c>
      <c r="G665" s="42" cm="1">
        <f t="array" ref="G66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28.187553750197822</v>
      </c>
      <c r="H665" s="81" cm="1">
        <f t="array" ref="H6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1.7208475086136044</v>
      </c>
      <c r="I665" s="81" cm="1">
        <f t="array" ref="I6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1.7282502441796137</v>
      </c>
      <c r="J665" s="81" cm="1">
        <f t="array" ref="J6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1.7343016622202052</v>
      </c>
      <c r="K665" s="81" cm="1">
        <f t="array" ref="K6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1.7464805872877072</v>
      </c>
      <c r="L665" s="81" cm="1">
        <f t="array" ref="L6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1.7619782211229456</v>
      </c>
      <c r="M665" s="37">
        <f t="shared" si="72"/>
        <v>2.5633078674102805E-2</v>
      </c>
      <c r="N665" s="43">
        <f t="shared" si="73"/>
        <v>7.4027355660093441E-3</v>
      </c>
      <c r="O665" s="43">
        <f t="shared" si="74"/>
        <v>1.5497633835238389E-2</v>
      </c>
      <c r="P665" s="43">
        <f t="shared" si="75"/>
        <v>0.28879619417266311</v>
      </c>
      <c r="Q665" s="37">
        <f t="shared" si="76"/>
        <v>0.60459510276835016</v>
      </c>
      <c r="R665" s="37">
        <v>8.5000000000000006E-3</v>
      </c>
      <c r="S665" s="44" t="s">
        <v>1393</v>
      </c>
      <c r="T665" s="45">
        <v>1.6162597700000001</v>
      </c>
      <c r="U665" s="45">
        <v>0.25922933399999998</v>
      </c>
      <c r="V665" s="45">
        <v>1.0776231700000001</v>
      </c>
      <c r="W665" s="45">
        <v>1.27534559E-2</v>
      </c>
      <c r="X665" s="45">
        <v>5.8198395399999998E-2</v>
      </c>
      <c r="Y665" s="45">
        <v>116.60768</v>
      </c>
      <c r="Z665" s="36">
        <v>4.28</v>
      </c>
      <c r="AA665" s="38">
        <v>454</v>
      </c>
      <c r="AB665" s="38">
        <v>595</v>
      </c>
      <c r="AC665" s="49" t="s">
        <v>506</v>
      </c>
      <c r="AD665" s="49" t="s">
        <v>506</v>
      </c>
      <c r="AE665" s="46" t="s">
        <v>289</v>
      </c>
    </row>
    <row r="666" spans="1:31" ht="15" thickBot="1">
      <c r="A666" s="34">
        <v>664</v>
      </c>
      <c r="B666" s="34" t="s">
        <v>253</v>
      </c>
      <c r="C666" s="41" t="s">
        <v>1356</v>
      </c>
      <c r="D666" s="34" t="s">
        <v>235</v>
      </c>
      <c r="E666" s="80">
        <f t="shared" si="70"/>
        <v>1.7847198458559295</v>
      </c>
      <c r="F666" s="35">
        <f t="shared" si="71"/>
        <v>25.75696484139409</v>
      </c>
      <c r="G666" s="42" cm="1">
        <f t="array" ref="G66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25.547371670164011</v>
      </c>
      <c r="H666" s="81" cm="1">
        <f t="array" ref="H6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1.775987679010179</v>
      </c>
      <c r="I666" s="81" cm="1">
        <f t="array" ref="I6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1.7847198458559295</v>
      </c>
      <c r="J666" s="81" cm="1">
        <f t="array" ref="J6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1.7918991905368822</v>
      </c>
      <c r="K666" s="81" cm="1">
        <f t="array" ref="K6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1.8064539956234937</v>
      </c>
      <c r="L666" s="81" cm="1">
        <f t="array" ref="L6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1.8251822952344932</v>
      </c>
      <c r="M666" s="37">
        <f t="shared" si="72"/>
        <v>3.0466316613314781E-2</v>
      </c>
      <c r="N666" s="43">
        <f t="shared" si="73"/>
        <v>8.7321668457505108E-3</v>
      </c>
      <c r="O666" s="43">
        <f t="shared" si="74"/>
        <v>1.8728299610999422E-2</v>
      </c>
      <c r="P666" s="43">
        <f t="shared" si="75"/>
        <v>0.28661708458495661</v>
      </c>
      <c r="Q666" s="37">
        <f t="shared" si="76"/>
        <v>0.61472149222051142</v>
      </c>
      <c r="R666" s="37">
        <v>1.4200000000000001E-2</v>
      </c>
      <c r="S666" s="44" t="s">
        <v>1393</v>
      </c>
      <c r="T666" s="45">
        <v>1.73848403</v>
      </c>
      <c r="U666" s="45">
        <v>0.31116897399999999</v>
      </c>
      <c r="V666" s="45">
        <v>1.17490871</v>
      </c>
      <c r="W666" s="45">
        <v>1.36068604E-2</v>
      </c>
      <c r="X666" s="45">
        <v>6.1596046299999999E-2</v>
      </c>
      <c r="Y666" s="45">
        <v>121.92271100000001</v>
      </c>
      <c r="Z666" s="36">
        <v>4.74</v>
      </c>
      <c r="AA666" s="38">
        <v>503</v>
      </c>
      <c r="AB666" s="38">
        <v>635</v>
      </c>
      <c r="AC666" s="49" t="s">
        <v>506</v>
      </c>
      <c r="AD666" s="49" t="s">
        <v>506</v>
      </c>
      <c r="AE666" s="46" t="s">
        <v>289</v>
      </c>
    </row>
    <row r="667" spans="1:31" ht="15" thickBot="1">
      <c r="A667" s="34">
        <v>665</v>
      </c>
      <c r="B667" s="34" t="s">
        <v>253</v>
      </c>
      <c r="C667" s="41" t="s">
        <v>1356</v>
      </c>
      <c r="D667" s="34" t="s">
        <v>236</v>
      </c>
      <c r="E667" s="80">
        <f t="shared" si="70"/>
        <v>1.6476890932482602</v>
      </c>
      <c r="F667" s="35">
        <f t="shared" si="71"/>
        <v>33.848661335831579</v>
      </c>
      <c r="G667" s="42" cm="1">
        <f t="array" ref="G66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33.59939165124544</v>
      </c>
      <c r="H667" s="81" cm="1">
        <f t="array" ref="H6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1.6420961828179916</v>
      </c>
      <c r="I667" s="81" cm="1">
        <f t="array" ref="I6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1.6476890932482602</v>
      </c>
      <c r="J667" s="81" cm="1">
        <f t="array" ref="J6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1.6522192871085932</v>
      </c>
      <c r="K667" s="81" cm="1">
        <f t="array" ref="K6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1.6612310338781908</v>
      </c>
      <c r="L667" s="81" cm="1">
        <f t="array" ref="L6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1.6724941593795108</v>
      </c>
      <c r="M667" s="37">
        <f t="shared" si="72"/>
        <v>1.9134851060199187E-2</v>
      </c>
      <c r="N667" s="43">
        <f t="shared" si="73"/>
        <v>5.5929104302685495E-3</v>
      </c>
      <c r="O667" s="43">
        <f t="shared" si="74"/>
        <v>1.1263125501320026E-2</v>
      </c>
      <c r="P667" s="43">
        <f t="shared" si="75"/>
        <v>0.29228920636345573</v>
      </c>
      <c r="Q667" s="37">
        <f t="shared" si="76"/>
        <v>0.58861840449584246</v>
      </c>
      <c r="R667" s="37">
        <v>1.6999999999999999E-3</v>
      </c>
      <c r="S667" s="44" t="s">
        <v>1393</v>
      </c>
      <c r="T667" s="45">
        <v>1.4030182099999999</v>
      </c>
      <c r="U667" s="45">
        <v>0.23176750400000001</v>
      </c>
      <c r="V667" s="45">
        <v>0.93905658599999997</v>
      </c>
      <c r="W667" s="45">
        <v>1.05795466E-2</v>
      </c>
      <c r="X667" s="45">
        <v>4.9322697800000002E-2</v>
      </c>
      <c r="Y667" s="45">
        <v>112.40595500000001</v>
      </c>
      <c r="Z667" s="36">
        <v>3.86</v>
      </c>
      <c r="AA667" s="38">
        <v>441</v>
      </c>
      <c r="AB667" s="38">
        <v>600</v>
      </c>
      <c r="AC667" s="49" t="s">
        <v>506</v>
      </c>
      <c r="AD667" s="49" t="s">
        <v>506</v>
      </c>
      <c r="AE667" s="46" t="s">
        <v>289</v>
      </c>
    </row>
    <row r="668" spans="1:31" ht="15" thickBot="1">
      <c r="A668" s="34">
        <v>666</v>
      </c>
      <c r="B668" s="34" t="s">
        <v>253</v>
      </c>
      <c r="C668" s="41" t="s">
        <v>1356</v>
      </c>
      <c r="D668" s="34" t="s">
        <v>1212</v>
      </c>
      <c r="E668" s="80">
        <f t="shared" si="70"/>
        <v>1.7400023695256963</v>
      </c>
      <c r="F668" s="35">
        <f t="shared" si="71"/>
        <v>28.197214417569398</v>
      </c>
      <c r="G668" s="42" cm="1">
        <f t="array" ref="G66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27.981844472505351</v>
      </c>
      <c r="H668" s="81" cm="1">
        <f t="array" ref="H6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1.7324184469086503</v>
      </c>
      <c r="I668" s="81" cm="1">
        <f t="array" ref="I6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1.7400023695256963</v>
      </c>
      <c r="J668" s="81" cm="1">
        <f t="array" ref="J6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1.7462015752570581</v>
      </c>
      <c r="K668" s="81" cm="1">
        <f t="array" ref="K6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1.7586622580371924</v>
      </c>
      <c r="L668" s="81" cm="1">
        <f t="array" ref="L6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1.7744617013607613</v>
      </c>
      <c r="M668" s="37">
        <f t="shared" si="72"/>
        <v>2.6243811128542127E-2</v>
      </c>
      <c r="N668" s="43">
        <f t="shared" si="73"/>
        <v>7.5839226170459906E-3</v>
      </c>
      <c r="O668" s="43">
        <f t="shared" si="74"/>
        <v>1.5799443323568862E-2</v>
      </c>
      <c r="P668" s="43">
        <f t="shared" si="75"/>
        <v>0.2889794694794881</v>
      </c>
      <c r="Q668" s="37">
        <f t="shared" si="76"/>
        <v>0.60202549264598904</v>
      </c>
      <c r="R668" s="37">
        <v>5.5999999999999999E-3</v>
      </c>
      <c r="S668" s="44" t="s">
        <v>1393</v>
      </c>
      <c r="T668" s="45">
        <v>1.57230542</v>
      </c>
      <c r="U668" s="45">
        <v>0.339661149</v>
      </c>
      <c r="V668" s="45">
        <v>1.03593712</v>
      </c>
      <c r="W668" s="45">
        <v>1.20382183E-2</v>
      </c>
      <c r="X668" s="45">
        <v>5.3160358300000002E-2</v>
      </c>
      <c r="Y668" s="45">
        <v>120.005381</v>
      </c>
      <c r="Z668" s="36">
        <v>4.6399999999999997</v>
      </c>
      <c r="AA668" s="38">
        <v>415</v>
      </c>
      <c r="AB668" s="38">
        <v>548</v>
      </c>
      <c r="AC668" s="49" t="s">
        <v>506</v>
      </c>
      <c r="AD668" s="49" t="s">
        <v>506</v>
      </c>
      <c r="AE668" s="46" t="s">
        <v>289</v>
      </c>
    </row>
    <row r="669" spans="1:31" ht="15" thickBot="1">
      <c r="A669" s="34">
        <v>667</v>
      </c>
      <c r="B669" s="34" t="s">
        <v>253</v>
      </c>
      <c r="C669" s="41" t="s">
        <v>1356</v>
      </c>
      <c r="D669" s="34" t="s">
        <v>237</v>
      </c>
      <c r="E669" s="80">
        <f t="shared" si="70"/>
        <v>1.7552012482273793</v>
      </c>
      <c r="F669" s="35">
        <f t="shared" si="71"/>
        <v>27.579849757466359</v>
      </c>
      <c r="G669" s="42" cm="1">
        <f t="array" ref="G66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27.369167609446666</v>
      </c>
      <c r="H669" s="81" cm="1">
        <f t="array" ref="H6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1.7472981549829145</v>
      </c>
      <c r="I669" s="81" cm="1">
        <f t="array" ref="I6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1.7552012482273793</v>
      </c>
      <c r="J669" s="81" cm="1">
        <f t="array" ref="J6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1.7616675644141011</v>
      </c>
      <c r="K669" s="81" cm="1">
        <f t="array" ref="K6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1.7746805103934233</v>
      </c>
      <c r="L669" s="81" cm="1">
        <f t="array" ref="L6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1.791210410309976</v>
      </c>
      <c r="M669" s="37">
        <f t="shared" si="72"/>
        <v>2.7382355410508818E-2</v>
      </c>
      <c r="N669" s="43">
        <f t="shared" si="73"/>
        <v>7.9030932444648094E-3</v>
      </c>
      <c r="O669" s="43">
        <f t="shared" si="74"/>
        <v>1.6529899916552626E-2</v>
      </c>
      <c r="P669" s="43">
        <f t="shared" si="75"/>
        <v>0.28861992060156211</v>
      </c>
      <c r="Q669" s="37">
        <f t="shared" si="76"/>
        <v>0.60366975991439986</v>
      </c>
      <c r="R669" s="37">
        <v>6.1999999999999998E-3</v>
      </c>
      <c r="S669" s="44" t="s">
        <v>1393</v>
      </c>
      <c r="T669" s="45">
        <v>1.6195782599999999</v>
      </c>
      <c r="U669" s="45">
        <v>0.33949318899999997</v>
      </c>
      <c r="V669" s="45">
        <v>1.0256693100000001</v>
      </c>
      <c r="W669" s="45">
        <v>1.2550210399999999E-2</v>
      </c>
      <c r="X669" s="45">
        <v>5.4455982200000003E-2</v>
      </c>
      <c r="Y669" s="45">
        <v>117.65222199999999</v>
      </c>
      <c r="Z669" s="36">
        <v>4.79</v>
      </c>
      <c r="AA669" s="38">
        <v>420</v>
      </c>
      <c r="AB669" s="38">
        <v>552</v>
      </c>
      <c r="AC669" s="49" t="s">
        <v>506</v>
      </c>
      <c r="AD669" s="49" t="s">
        <v>506</v>
      </c>
      <c r="AE669" s="46" t="s">
        <v>289</v>
      </c>
    </row>
    <row r="670" spans="1:31" ht="15" thickBot="1">
      <c r="A670" s="34">
        <v>668</v>
      </c>
      <c r="B670" s="34" t="s">
        <v>253</v>
      </c>
      <c r="C670" s="41" t="s">
        <v>1356</v>
      </c>
      <c r="D670" s="34" t="s">
        <v>238</v>
      </c>
      <c r="E670" s="80">
        <f t="shared" si="70"/>
        <v>1.6726974920306559</v>
      </c>
      <c r="F670" s="35">
        <f t="shared" si="71"/>
        <v>32.210250148558053</v>
      </c>
      <c r="G670" s="42" cm="1">
        <f t="array" ref="G67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31.971046530406859</v>
      </c>
      <c r="H670" s="81" cm="1">
        <f t="array" ref="H6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1.6666104953989278</v>
      </c>
      <c r="I670" s="81" cm="1">
        <f t="array" ref="I6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1.6726974920306559</v>
      </c>
      <c r="J670" s="81" cm="1">
        <f t="array" ref="J6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1.6776392704179002</v>
      </c>
      <c r="K670" s="81" cm="1">
        <f t="array" ref="K6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1.6874950737219176</v>
      </c>
      <c r="L670" s="81" cm="1">
        <f t="array" ref="L6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1.6998570338879777</v>
      </c>
      <c r="M670" s="37">
        <f t="shared" si="72"/>
        <v>2.0884578322989844E-2</v>
      </c>
      <c r="N670" s="43">
        <f t="shared" si="73"/>
        <v>6.0869966317280699E-3</v>
      </c>
      <c r="O670" s="43">
        <f t="shared" si="74"/>
        <v>1.236196016606006E-2</v>
      </c>
      <c r="P670" s="43">
        <f t="shared" si="75"/>
        <v>0.29145891947588304</v>
      </c>
      <c r="Q670" s="37">
        <f t="shared" si="76"/>
        <v>0.59191811177015508</v>
      </c>
      <c r="R670" s="37">
        <v>2.3E-3</v>
      </c>
      <c r="S670" s="44" t="s">
        <v>1393</v>
      </c>
      <c r="T670" s="45">
        <v>1.46141885</v>
      </c>
      <c r="U670" s="45">
        <v>0.24771301900000001</v>
      </c>
      <c r="V670" s="45">
        <v>0.94999583200000004</v>
      </c>
      <c r="W670" s="45">
        <v>1.1182612600000001E-2</v>
      </c>
      <c r="X670" s="45">
        <v>5.0859466899999997E-2</v>
      </c>
      <c r="Y670" s="45">
        <v>112.041888</v>
      </c>
      <c r="Z670" s="36">
        <v>4.07</v>
      </c>
      <c r="AA670" s="38">
        <v>425</v>
      </c>
      <c r="AB670" s="38">
        <v>580</v>
      </c>
      <c r="AC670" s="49" t="s">
        <v>506</v>
      </c>
      <c r="AD670" s="49" t="s">
        <v>506</v>
      </c>
      <c r="AE670" s="46" t="s">
        <v>289</v>
      </c>
    </row>
    <row r="671" spans="1:31" ht="15" thickBot="1">
      <c r="A671" s="34">
        <v>669</v>
      </c>
      <c r="B671" s="34" t="s">
        <v>253</v>
      </c>
      <c r="C671" s="41" t="s">
        <v>1356</v>
      </c>
      <c r="D671" s="34" t="s">
        <v>239</v>
      </c>
      <c r="E671" s="80">
        <f t="shared" si="70"/>
        <v>1.7847010856035854</v>
      </c>
      <c r="F671" s="35">
        <f t="shared" si="71"/>
        <v>26.077143168940751</v>
      </c>
      <c r="G671" s="42" cm="1">
        <f t="array" ref="G67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25.873495605492497</v>
      </c>
      <c r="H671" s="81" cm="1">
        <f t="array" ref="H6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1.7760534658337794</v>
      </c>
      <c r="I671" s="81" cm="1">
        <f t="array" ref="I6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1.7847010856035854</v>
      </c>
      <c r="J671" s="81" cm="1">
        <f t="array" ref="J6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1.7917991685000356</v>
      </c>
      <c r="K671" s="81" cm="1">
        <f t="array" ref="K6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1.8061449939018619</v>
      </c>
      <c r="L671" s="81" cm="1">
        <f t="array" ref="L6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1.8244947102899185</v>
      </c>
      <c r="M671" s="37">
        <f t="shared" si="72"/>
        <v>3.0091528068082463E-2</v>
      </c>
      <c r="N671" s="43">
        <f t="shared" si="73"/>
        <v>8.647619769805992E-3</v>
      </c>
      <c r="O671" s="43">
        <f t="shared" si="74"/>
        <v>1.8349716388056603E-2</v>
      </c>
      <c r="P671" s="43">
        <f t="shared" si="75"/>
        <v>0.28737722292602236</v>
      </c>
      <c r="Q671" s="37">
        <f t="shared" si="76"/>
        <v>0.60979676228273083</v>
      </c>
      <c r="R671" s="37">
        <v>9.7999999999999997E-3</v>
      </c>
      <c r="S671" s="44" t="s">
        <v>1393</v>
      </c>
      <c r="T671" s="45">
        <v>1.7057925899999999</v>
      </c>
      <c r="U671" s="45">
        <v>0.34422305199999997</v>
      </c>
      <c r="V671" s="45">
        <v>1.09601828</v>
      </c>
      <c r="W671" s="45">
        <v>1.3387469900000001E-2</v>
      </c>
      <c r="X671" s="45">
        <v>5.7956160800000003E-2</v>
      </c>
      <c r="Y671" s="45">
        <v>121.616024</v>
      </c>
      <c r="Z671" s="36">
        <v>4.92</v>
      </c>
      <c r="AA671" s="38">
        <v>429</v>
      </c>
      <c r="AB671" s="38">
        <v>556</v>
      </c>
      <c r="AC671" s="49" t="s">
        <v>506</v>
      </c>
      <c r="AD671" s="49" t="s">
        <v>506</v>
      </c>
      <c r="AE671" s="46" t="s">
        <v>289</v>
      </c>
    </row>
    <row r="672" spans="1:31" ht="15" thickBot="1">
      <c r="A672" s="34">
        <v>670</v>
      </c>
      <c r="B672" s="34" t="s">
        <v>253</v>
      </c>
      <c r="C672" s="41" t="s">
        <v>1356</v>
      </c>
      <c r="D672" s="34" t="s">
        <v>240</v>
      </c>
      <c r="E672" s="80">
        <f t="shared" si="70"/>
        <v>1.846662697928859</v>
      </c>
      <c r="F672" s="35">
        <f t="shared" si="71"/>
        <v>23.825885858538548</v>
      </c>
      <c r="G672" s="42" cm="1">
        <f t="array" ref="G67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23.641789843117362</v>
      </c>
      <c r="H672" s="81" cm="1">
        <f t="array" ref="H6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1.8365041671464852</v>
      </c>
      <c r="I672" s="81" cm="1">
        <f t="array" ref="I6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1.846662697928859</v>
      </c>
      <c r="J672" s="81" cm="1">
        <f t="array" ref="J6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1.8550359947369766</v>
      </c>
      <c r="K672" s="81" cm="1">
        <f t="array" ref="K6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1.872039580308277</v>
      </c>
      <c r="L672" s="81" cm="1">
        <f t="array" ref="L6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1.8939309153789674</v>
      </c>
      <c r="M672" s="37">
        <f t="shared" si="72"/>
        <v>3.5535413161791762E-2</v>
      </c>
      <c r="N672" s="43">
        <f t="shared" si="73"/>
        <v>1.015853078237372E-2</v>
      </c>
      <c r="O672" s="43">
        <f t="shared" si="74"/>
        <v>2.189133507069041E-2</v>
      </c>
      <c r="P672" s="43">
        <f t="shared" si="75"/>
        <v>0.28587062534273089</v>
      </c>
      <c r="Q672" s="37">
        <f t="shared" si="76"/>
        <v>0.6160427900759099</v>
      </c>
      <c r="R672" s="37">
        <v>1.23E-2</v>
      </c>
      <c r="S672" s="44" t="s">
        <v>1393</v>
      </c>
      <c r="T672" s="45">
        <v>1.8165137099999999</v>
      </c>
      <c r="U672" s="45">
        <v>0.42889364099999999</v>
      </c>
      <c r="V672" s="45">
        <v>1.07186278</v>
      </c>
      <c r="W672" s="45">
        <v>1.4370419799999999E-2</v>
      </c>
      <c r="X672" s="45">
        <v>5.9280117200000003E-2</v>
      </c>
      <c r="Y672" s="45">
        <v>121.41994200000001</v>
      </c>
      <c r="Z672" s="36">
        <v>5.51</v>
      </c>
      <c r="AA672" s="38">
        <v>414</v>
      </c>
      <c r="AB672" s="38">
        <v>507</v>
      </c>
      <c r="AC672" s="39" t="s">
        <v>508</v>
      </c>
      <c r="AD672" s="49" t="s">
        <v>506</v>
      </c>
      <c r="AE672" s="46" t="s">
        <v>289</v>
      </c>
    </row>
    <row r="673" spans="1:31" ht="15" thickBot="1">
      <c r="A673" s="34">
        <v>671</v>
      </c>
      <c r="B673" s="34" t="s">
        <v>253</v>
      </c>
      <c r="C673" s="41" t="s">
        <v>1356</v>
      </c>
      <c r="D673" s="34" t="s">
        <v>1213</v>
      </c>
      <c r="E673" s="80">
        <f t="shared" si="70"/>
        <v>1.846662697928859</v>
      </c>
      <c r="F673" s="35">
        <f t="shared" si="71"/>
        <v>23.825885858538548</v>
      </c>
      <c r="G673" s="42" cm="1">
        <f t="array" ref="G67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23.641789843117362</v>
      </c>
      <c r="H673" s="81" cm="1">
        <f t="array" ref="H6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1.8365041671464852</v>
      </c>
      <c r="I673" s="81" cm="1">
        <f t="array" ref="I6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1.846662697928859</v>
      </c>
      <c r="J673" s="81" cm="1">
        <f t="array" ref="J6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1.8550359947369766</v>
      </c>
      <c r="K673" s="81" cm="1">
        <f t="array" ref="K6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1.872039580308277</v>
      </c>
      <c r="L673" s="81" cm="1">
        <f t="array" ref="L6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1.8939309153789674</v>
      </c>
      <c r="M673" s="37">
        <f t="shared" si="72"/>
        <v>3.5535413161791762E-2</v>
      </c>
      <c r="N673" s="43">
        <f t="shared" si="73"/>
        <v>1.015853078237372E-2</v>
      </c>
      <c r="O673" s="43">
        <f t="shared" si="74"/>
        <v>2.189133507069041E-2</v>
      </c>
      <c r="P673" s="43">
        <f t="shared" si="75"/>
        <v>0.28587062534273089</v>
      </c>
      <c r="Q673" s="37">
        <f t="shared" si="76"/>
        <v>0.6160427900759099</v>
      </c>
      <c r="R673" s="37">
        <v>1.23E-2</v>
      </c>
      <c r="S673" s="44" t="s">
        <v>1393</v>
      </c>
      <c r="T673" s="45">
        <v>1.8165137099999999</v>
      </c>
      <c r="U673" s="45">
        <v>0.42889364099999999</v>
      </c>
      <c r="V673" s="45">
        <v>1.07186278</v>
      </c>
      <c r="W673" s="45">
        <v>1.4370419799999999E-2</v>
      </c>
      <c r="X673" s="45">
        <v>5.9280117200000003E-2</v>
      </c>
      <c r="Y673" s="45">
        <v>121.41994200000001</v>
      </c>
      <c r="Z673" s="36">
        <v>5.51</v>
      </c>
      <c r="AA673" s="38">
        <v>414</v>
      </c>
      <c r="AB673" s="38">
        <v>507</v>
      </c>
      <c r="AC673" s="39" t="s">
        <v>508</v>
      </c>
      <c r="AD673" s="49" t="s">
        <v>506</v>
      </c>
      <c r="AE673" s="46" t="s">
        <v>289</v>
      </c>
    </row>
    <row r="674" spans="1:31" ht="15" thickBot="1">
      <c r="A674" s="34">
        <v>672</v>
      </c>
      <c r="B674" s="34" t="s">
        <v>253</v>
      </c>
      <c r="C674" s="41" t="s">
        <v>1356</v>
      </c>
      <c r="D674" s="34" t="s">
        <v>241</v>
      </c>
      <c r="E674" s="80">
        <f t="shared" si="70"/>
        <v>1.805182078102276</v>
      </c>
      <c r="F674" s="35">
        <f t="shared" si="71"/>
        <v>25.43233941261164</v>
      </c>
      <c r="G674" s="42" cm="1">
        <f t="array" ref="G67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25.236639195561107</v>
      </c>
      <c r="H674" s="81" cm="1">
        <f t="array" ref="H6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1.7960919378228395</v>
      </c>
      <c r="I674" s="81" cm="1">
        <f t="array" ref="I6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1.805182078102276</v>
      </c>
      <c r="J674" s="81" cm="1">
        <f t="array" ref="J6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1.8126498086111815</v>
      </c>
      <c r="K674" s="81" cm="1">
        <f t="array" ref="K6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1.8277517102503416</v>
      </c>
      <c r="L674" s="81" cm="1">
        <f t="array" ref="L6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1.8470733182276549</v>
      </c>
      <c r="M674" s="37">
        <f t="shared" si="72"/>
        <v>3.1659772427502064E-2</v>
      </c>
      <c r="N674" s="43">
        <f t="shared" si="73"/>
        <v>9.0901402794365538E-3</v>
      </c>
      <c r="O674" s="43">
        <f t="shared" si="74"/>
        <v>1.9321607977313304E-2</v>
      </c>
      <c r="P674" s="43">
        <f t="shared" si="75"/>
        <v>0.28711957106615754</v>
      </c>
      <c r="Q674" s="37">
        <f t="shared" si="76"/>
        <v>0.61028890910564793</v>
      </c>
      <c r="R674" s="37">
        <v>9.1999999999999998E-3</v>
      </c>
      <c r="S674" s="44" t="s">
        <v>1393</v>
      </c>
      <c r="T674" s="45">
        <v>1.72448482</v>
      </c>
      <c r="U674" s="45">
        <v>0.39010488900000001</v>
      </c>
      <c r="V674" s="45">
        <v>1.04572858</v>
      </c>
      <c r="W674" s="45">
        <v>1.34871947E-2</v>
      </c>
      <c r="X674" s="45">
        <v>5.69318095E-2</v>
      </c>
      <c r="Y674" s="45">
        <v>118.557185</v>
      </c>
      <c r="Z674" s="36">
        <v>5.18</v>
      </c>
      <c r="AA674" s="38">
        <v>423</v>
      </c>
      <c r="AB674" s="38">
        <v>538</v>
      </c>
      <c r="AC674" s="49" t="s">
        <v>506</v>
      </c>
      <c r="AD674" s="49" t="s">
        <v>506</v>
      </c>
      <c r="AE674" s="46" t="s">
        <v>289</v>
      </c>
    </row>
    <row r="675" spans="1:31" ht="15" thickBot="1">
      <c r="A675" s="34">
        <v>673</v>
      </c>
      <c r="B675" s="34" t="s">
        <v>253</v>
      </c>
      <c r="C675" s="41" t="s">
        <v>1356</v>
      </c>
      <c r="D675" s="34" t="s">
        <v>1214</v>
      </c>
      <c r="E675" s="80">
        <f t="shared" si="70"/>
        <v>1.8090574379554014</v>
      </c>
      <c r="F675" s="35">
        <f t="shared" si="71"/>
        <v>25.271577719396987</v>
      </c>
      <c r="G675" s="42" cm="1">
        <f t="array" ref="G67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25.072650595767307</v>
      </c>
      <c r="H675" s="81" cm="1">
        <f t="array" ref="H6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1.7998806593908034</v>
      </c>
      <c r="I675" s="81" cm="1">
        <f t="array" ref="I6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1.8090574379554014</v>
      </c>
      <c r="J675" s="81" cm="1">
        <f t="array" ref="J6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1.8166058865750809</v>
      </c>
      <c r="K675" s="81" cm="1">
        <f t="array" ref="K6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1.8318951796925738</v>
      </c>
      <c r="L675" s="81" cm="1">
        <f t="array" ref="L6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1.8514914874789095</v>
      </c>
      <c r="M675" s="37">
        <f t="shared" si="72"/>
        <v>3.2014520301770322E-2</v>
      </c>
      <c r="N675" s="43">
        <f t="shared" si="73"/>
        <v>9.176778564597976E-3</v>
      </c>
      <c r="O675" s="43">
        <f t="shared" si="74"/>
        <v>1.9596307786335698E-2</v>
      </c>
      <c r="P675" s="43">
        <f t="shared" si="75"/>
        <v>0.28664426260638126</v>
      </c>
      <c r="Q675" s="37">
        <f t="shared" si="76"/>
        <v>0.61210686905878997</v>
      </c>
      <c r="R675" s="37">
        <f>_xlfn.LET(
  _xlpm.vd_K7,  $F$1189,
  _xlpm.PgF_K7, $Q$1189,
  _xlpm.vd_F2,  $F$1190,
  _xlpm.PgF_F2, $Q$1190,
  _xlpm.NormalLine, _xlpm.PgF_K7 + ((_xlpm.PgF_F2 - _xlpm.PgF_K7) / (_xlpm.vd_F2 - _xlpm.vd_K7)) * (F675 - _xlpm.vd_K7),
  O675/M675 - _xlpm.NormalLine
)</f>
        <v>1.0548215922567161E-2</v>
      </c>
      <c r="S675" s="44" t="s">
        <v>1393</v>
      </c>
      <c r="T675" s="45">
        <v>1.62113942</v>
      </c>
      <c r="U675" s="45">
        <v>0.50658609200000004</v>
      </c>
      <c r="V675" s="45">
        <v>10.4032298</v>
      </c>
      <c r="W675" s="45">
        <v>1.1347899200000001E-2</v>
      </c>
      <c r="X675" s="45">
        <v>5.3584022299999999E-2</v>
      </c>
      <c r="Y675" s="45">
        <v>1118.8365799999999</v>
      </c>
      <c r="Z675" s="36">
        <v>5.2</v>
      </c>
      <c r="AA675" s="38">
        <v>427</v>
      </c>
      <c r="AB675" s="38">
        <v>529</v>
      </c>
      <c r="AC675" s="49" t="s">
        <v>506</v>
      </c>
      <c r="AD675" s="49" t="s">
        <v>506</v>
      </c>
      <c r="AE675" s="46" t="s">
        <v>1217</v>
      </c>
    </row>
    <row r="676" spans="1:31" ht="15" thickBot="1">
      <c r="A676" s="34">
        <v>674</v>
      </c>
      <c r="B676" s="34" t="s">
        <v>253</v>
      </c>
      <c r="C676" s="41" t="s">
        <v>1356</v>
      </c>
      <c r="D676" s="34" t="s">
        <v>242</v>
      </c>
      <c r="E676" s="80">
        <f t="shared" si="70"/>
        <v>1.805182078102276</v>
      </c>
      <c r="F676" s="35">
        <f t="shared" si="71"/>
        <v>25.43233941261164</v>
      </c>
      <c r="G676" s="42" cm="1">
        <f t="array" ref="G67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25.236639195561107</v>
      </c>
      <c r="H676" s="81" cm="1">
        <f t="array" ref="H6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1.7960919378228395</v>
      </c>
      <c r="I676" s="81" cm="1">
        <f t="array" ref="I6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1.805182078102276</v>
      </c>
      <c r="J676" s="81" cm="1">
        <f t="array" ref="J6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1.8126498086111815</v>
      </c>
      <c r="K676" s="81" cm="1">
        <f t="array" ref="K6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1.8277517102503416</v>
      </c>
      <c r="L676" s="81" cm="1">
        <f t="array" ref="L6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1.8470733182276549</v>
      </c>
      <c r="M676" s="37">
        <f t="shared" si="72"/>
        <v>3.1659772427502064E-2</v>
      </c>
      <c r="N676" s="43">
        <f t="shared" si="73"/>
        <v>9.0901402794365538E-3</v>
      </c>
      <c r="O676" s="43">
        <f t="shared" si="74"/>
        <v>1.9321607977313304E-2</v>
      </c>
      <c r="P676" s="43">
        <f t="shared" si="75"/>
        <v>0.28711957106615754</v>
      </c>
      <c r="Q676" s="37">
        <f t="shared" si="76"/>
        <v>0.61028890910564793</v>
      </c>
      <c r="R676" s="37">
        <v>9.1999999999999998E-3</v>
      </c>
      <c r="S676" s="44" t="s">
        <v>1393</v>
      </c>
      <c r="T676" s="45">
        <v>1.72448482</v>
      </c>
      <c r="U676" s="45">
        <v>0.39010488900000001</v>
      </c>
      <c r="V676" s="45">
        <v>1.04572858</v>
      </c>
      <c r="W676" s="45">
        <v>1.34871947E-2</v>
      </c>
      <c r="X676" s="45">
        <v>5.69318095E-2</v>
      </c>
      <c r="Y676" s="45">
        <v>118.557185</v>
      </c>
      <c r="Z676" s="36">
        <v>5.18</v>
      </c>
      <c r="AA676" s="38">
        <v>423</v>
      </c>
      <c r="AB676" s="38">
        <v>538</v>
      </c>
      <c r="AC676" s="49" t="s">
        <v>506</v>
      </c>
      <c r="AD676" s="49" t="s">
        <v>506</v>
      </c>
      <c r="AE676" s="46" t="s">
        <v>289</v>
      </c>
    </row>
    <row r="677" spans="1:31" ht="15" thickBot="1">
      <c r="A677" s="34">
        <v>675</v>
      </c>
      <c r="B677" s="34" t="s">
        <v>253</v>
      </c>
      <c r="C677" s="41" t="s">
        <v>1355</v>
      </c>
      <c r="D677" s="34" t="s">
        <v>1215</v>
      </c>
      <c r="E677" s="80">
        <f t="shared" si="70"/>
        <v>1.625680105694965</v>
      </c>
      <c r="F677" s="35">
        <f t="shared" si="71"/>
        <v>50.200503504428781</v>
      </c>
      <c r="G677" s="42" cm="1">
        <f t="array" ref="G67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49.920149779386826</v>
      </c>
      <c r="H677" s="81" cm="1">
        <f t="array" ref="H6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1.6219372167945203</v>
      </c>
      <c r="I677" s="81" cm="1">
        <f t="array" ref="I6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1.625680105694965</v>
      </c>
      <c r="J677" s="81" cm="1">
        <f t="array" ref="J6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1.6286481144183254</v>
      </c>
      <c r="K677" s="81" cm="1">
        <f t="array" ref="K6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1.6344008389101783</v>
      </c>
      <c r="L677" s="81" cm="1">
        <f t="array" ref="L6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1.641321785262005</v>
      </c>
      <c r="M677" s="37">
        <f t="shared" si="72"/>
        <v>1.2463622115657991E-2</v>
      </c>
      <c r="N677" s="43">
        <f t="shared" si="73"/>
        <v>3.7428889004447186E-3</v>
      </c>
      <c r="O677" s="43">
        <f t="shared" si="74"/>
        <v>6.9209463518267178E-3</v>
      </c>
      <c r="P677" s="43">
        <f t="shared" si="75"/>
        <v>0.30030506908120591</v>
      </c>
      <c r="Q677" s="37">
        <f t="shared" si="76"/>
        <v>0.55529173522775255</v>
      </c>
      <c r="R677" s="37">
        <v>-4.1000000000000003E-3</v>
      </c>
      <c r="S677" s="44" t="s">
        <v>1393</v>
      </c>
      <c r="T677" s="45">
        <v>1.1839181299999999</v>
      </c>
      <c r="U677" s="45">
        <v>0.406466985</v>
      </c>
      <c r="V677" s="45">
        <v>1.1039130500000001</v>
      </c>
      <c r="W677" s="45">
        <v>6.8763663600000004E-3</v>
      </c>
      <c r="X677" s="45">
        <v>2.4671252000000001E-2</v>
      </c>
      <c r="Y677" s="45">
        <v>132.06340800000001</v>
      </c>
      <c r="Z677" s="36">
        <v>3.4500999999999999</v>
      </c>
      <c r="AA677" s="38">
        <v>560</v>
      </c>
      <c r="AB677" s="38">
        <v>719</v>
      </c>
      <c r="AC677" s="49" t="s">
        <v>506</v>
      </c>
      <c r="AD677" s="49" t="s">
        <v>506</v>
      </c>
      <c r="AE677" s="46" t="s">
        <v>1247</v>
      </c>
    </row>
    <row r="678" spans="1:31" ht="15" thickBot="1">
      <c r="A678" s="34">
        <v>676</v>
      </c>
      <c r="B678" s="34" t="s">
        <v>253</v>
      </c>
      <c r="C678" s="41" t="s">
        <v>1355</v>
      </c>
      <c r="D678" s="34" t="s">
        <v>1216</v>
      </c>
      <c r="E678" s="80">
        <f t="shared" si="70"/>
        <v>1.5168000345005883</v>
      </c>
      <c r="F678" s="35">
        <f t="shared" si="71"/>
        <v>64.168085583372218</v>
      </c>
      <c r="G678" s="42" cm="1">
        <f t="array" ref="G67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63.961363272934676</v>
      </c>
      <c r="H678" s="81" cm="1">
        <f t="array" ref="H6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1.5143223472613747</v>
      </c>
      <c r="I678" s="81" cm="1">
        <f t="array" ref="I6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1.5168000345005883</v>
      </c>
      <c r="J678" s="81" cm="1">
        <f t="array" ref="J6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1.5187220228315597</v>
      </c>
      <c r="K678" s="81" cm="1">
        <f t="array" ref="K6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1.5223761956784219</v>
      </c>
      <c r="L678" s="81" cm="1">
        <f t="array" ref="L6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1.5266847389079568</v>
      </c>
      <c r="M678" s="37">
        <f t="shared" si="72"/>
        <v>8.0538484170471492E-3</v>
      </c>
      <c r="N678" s="43">
        <f t="shared" si="73"/>
        <v>2.4776872392135996E-3</v>
      </c>
      <c r="O678" s="43">
        <f t="shared" si="74"/>
        <v>4.3085432295348891E-3</v>
      </c>
      <c r="P678" s="43">
        <f t="shared" si="75"/>
        <v>0.30764016292747848</v>
      </c>
      <c r="Q678" s="37">
        <f t="shared" si="76"/>
        <v>0.53496701284012582</v>
      </c>
      <c r="R678" s="37">
        <v>-8.9999999999999998E-4</v>
      </c>
      <c r="S678" s="44" t="s">
        <v>1393</v>
      </c>
      <c r="T678" s="45">
        <v>1.0396121199999999</v>
      </c>
      <c r="U678" s="45">
        <v>0.23179234400000001</v>
      </c>
      <c r="V678" s="45">
        <v>1.01046945</v>
      </c>
      <c r="W678" s="45">
        <v>6.0006986700000004E-3</v>
      </c>
      <c r="X678" s="45">
        <v>2.00179144E-2</v>
      </c>
      <c r="Y678" s="45">
        <v>103.560653</v>
      </c>
      <c r="Z678" s="36">
        <v>2.4994000000000001</v>
      </c>
      <c r="AA678" s="38">
        <v>565</v>
      </c>
      <c r="AB678" s="38">
        <v>716</v>
      </c>
      <c r="AC678" s="49" t="s">
        <v>506</v>
      </c>
      <c r="AD678" s="49" t="s">
        <v>506</v>
      </c>
      <c r="AE678" s="46" t="s">
        <v>1369</v>
      </c>
    </row>
    <row r="679" spans="1:31" ht="15" thickBot="1">
      <c r="A679" s="34">
        <v>677</v>
      </c>
      <c r="B679" s="34" t="s">
        <v>253</v>
      </c>
      <c r="C679" s="41" t="s">
        <v>1356</v>
      </c>
      <c r="D679" s="34" t="s">
        <v>1248</v>
      </c>
      <c r="E679" s="80">
        <f t="shared" si="70"/>
        <v>1.9220017579591366</v>
      </c>
      <c r="F679" s="35">
        <f t="shared" si="71"/>
        <v>21.439625191789059</v>
      </c>
      <c r="G679" s="42" cm="1">
        <f t="array" ref="G67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21.270873817615584</v>
      </c>
      <c r="H679" s="81" cm="1">
        <f t="array" ref="H6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1.9097997517963048</v>
      </c>
      <c r="I679" s="81" cm="1">
        <f t="array" ref="I6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1.9220017579591366</v>
      </c>
      <c r="J679" s="81" cm="1">
        <f t="array" ref="J6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1.932106572881596</v>
      </c>
      <c r="K679" s="81" cm="1">
        <f t="array" ref="K6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1.9528043169279865</v>
      </c>
      <c r="L679" s="81" cm="1">
        <f t="array" ref="L6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1.9798783494882728</v>
      </c>
      <c r="M679" s="37">
        <f t="shared" si="72"/>
        <v>4.3004565131681716E-2</v>
      </c>
      <c r="N679" s="43">
        <f t="shared" si="73"/>
        <v>1.2202006162831847E-2</v>
      </c>
      <c r="O679" s="43">
        <f t="shared" si="74"/>
        <v>2.7074032560286287E-2</v>
      </c>
      <c r="P679" s="43">
        <f t="shared" si="75"/>
        <v>0.28373746195244182</v>
      </c>
      <c r="Q679" s="37">
        <f t="shared" si="76"/>
        <v>0.62956182622436729</v>
      </c>
      <c r="R679" s="37">
        <v>2.18E-2</v>
      </c>
      <c r="S679" s="44" t="s">
        <v>1393</v>
      </c>
      <c r="T679" s="45">
        <v>1.99085241</v>
      </c>
      <c r="U679" s="45">
        <v>0.50262386599999997</v>
      </c>
      <c r="V679" s="45">
        <v>2.8967201</v>
      </c>
      <c r="W679" s="45">
        <v>1.4809390699999999E-2</v>
      </c>
      <c r="X679" s="45">
        <v>6.48962768E-2</v>
      </c>
      <c r="Y679" s="45">
        <v>201.49409600000001</v>
      </c>
      <c r="Z679" s="36">
        <v>3.6190000000000002</v>
      </c>
      <c r="AA679" s="38">
        <v>612</v>
      </c>
      <c r="AB679" s="38">
        <v>705</v>
      </c>
      <c r="AC679" s="49" t="s">
        <v>506</v>
      </c>
      <c r="AD679" s="49" t="s">
        <v>506</v>
      </c>
      <c r="AE679" s="46" t="s">
        <v>1247</v>
      </c>
    </row>
    <row r="680" spans="1:31" ht="15" thickBot="1">
      <c r="A680" s="34">
        <v>678</v>
      </c>
      <c r="B680" s="34" t="s">
        <v>253</v>
      </c>
      <c r="C680" s="41" t="s">
        <v>1358</v>
      </c>
      <c r="D680" s="34" t="s">
        <v>1249</v>
      </c>
      <c r="E680" s="80">
        <f t="shared" si="70"/>
        <v>2.0010172337370764</v>
      </c>
      <c r="F680" s="35">
        <f t="shared" si="71"/>
        <v>29.138851914893376</v>
      </c>
      <c r="G680" s="42" cm="1">
        <f t="array" ref="G68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28.918582792012632</v>
      </c>
      <c r="H680" s="81" cm="1">
        <f t="array" ref="H6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1.9910641952919117</v>
      </c>
      <c r="I680" s="81" cm="1">
        <f t="array" ref="I6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2.0010172337370764</v>
      </c>
      <c r="J680" s="81" cm="1">
        <f t="array" ref="J6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2.0091345360603268</v>
      </c>
      <c r="K680" s="81" cm="1">
        <f t="array" ref="K6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2.0254175471899472</v>
      </c>
      <c r="L680" s="81" cm="1">
        <f t="array" ref="L6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2.0460248886945043</v>
      </c>
      <c r="M680" s="37">
        <f t="shared" si="72"/>
        <v>3.4353351898035456E-2</v>
      </c>
      <c r="N680" s="43">
        <f t="shared" si="73"/>
        <v>9.953038445164708E-3</v>
      </c>
      <c r="O680" s="43">
        <f t="shared" si="74"/>
        <v>2.060734150455712E-2</v>
      </c>
      <c r="P680" s="43">
        <f t="shared" si="75"/>
        <v>0.28972539491070409</v>
      </c>
      <c r="Q680" s="37">
        <f t="shared" si="76"/>
        <v>0.59986407049076274</v>
      </c>
      <c r="R680" s="37">
        <v>5.0000000000000001E-3</v>
      </c>
      <c r="S680" s="44" t="s">
        <v>1393</v>
      </c>
      <c r="T680" s="45">
        <v>2.4100078200000001</v>
      </c>
      <c r="U680" s="45">
        <v>0.42063525600000001</v>
      </c>
      <c r="V680" s="45">
        <v>2.0385072599999998</v>
      </c>
      <c r="W680" s="45">
        <v>1.33580213E-2</v>
      </c>
      <c r="X680" s="45">
        <v>5.6051325300000003E-2</v>
      </c>
      <c r="Y680" s="45">
        <v>138.08430999999999</v>
      </c>
      <c r="Z680" s="36">
        <v>5.1040999999999999</v>
      </c>
      <c r="AA680" s="38">
        <v>699</v>
      </c>
      <c r="AB680" s="38">
        <v>788</v>
      </c>
      <c r="AC680" s="49" t="s">
        <v>506</v>
      </c>
      <c r="AD680" s="49" t="s">
        <v>506</v>
      </c>
      <c r="AE680" s="46" t="s">
        <v>1247</v>
      </c>
    </row>
    <row r="681" spans="1:31" ht="15" thickBot="1">
      <c r="A681" s="34">
        <v>679</v>
      </c>
      <c r="B681" s="34" t="s">
        <v>253</v>
      </c>
      <c r="C681" s="41" t="s">
        <v>1365</v>
      </c>
      <c r="D681" s="34" t="s">
        <v>1219</v>
      </c>
      <c r="E681" s="80">
        <f t="shared" si="70"/>
        <v>1.4644999815097499</v>
      </c>
      <c r="F681" s="35">
        <f t="shared" si="71"/>
        <v>65.769433998975458</v>
      </c>
      <c r="G681" s="42" cm="1">
        <f t="array" ref="G68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65.571157208731677</v>
      </c>
      <c r="H681" s="81" cm="1">
        <f t="array" ref="H6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1.4623228992255468</v>
      </c>
      <c r="I681" s="81" cm="1">
        <f t="array" ref="I6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1.4644999815097499</v>
      </c>
      <c r="J681" s="81" cm="1">
        <f t="array" ref="J6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1.4661859209593977</v>
      </c>
      <c r="K681" s="81" cm="1">
        <f t="array" ref="K6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1.4693854502202381</v>
      </c>
      <c r="L681" s="81" cm="1">
        <f t="array" ref="L6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1.4731491118579609</v>
      </c>
      <c r="M681" s="37">
        <f t="shared" si="72"/>
        <v>7.0625509946913301E-3</v>
      </c>
      <c r="N681" s="43">
        <f t="shared" si="73"/>
        <v>2.1770822842031023E-3</v>
      </c>
      <c r="O681" s="43">
        <f t="shared" si="74"/>
        <v>3.7636616377227927E-3</v>
      </c>
      <c r="P681" s="43">
        <f t="shared" si="75"/>
        <v>0.30825721270395612</v>
      </c>
      <c r="Q681" s="37">
        <f t="shared" si="76"/>
        <v>0.53290399468291327</v>
      </c>
      <c r="R681" s="37">
        <v>-2.9999999999999997E-4</v>
      </c>
      <c r="S681" s="44" t="s">
        <v>1393</v>
      </c>
      <c r="T681" s="45">
        <v>0.97334662699999996</v>
      </c>
      <c r="U681" s="45">
        <v>0.14664223100000001</v>
      </c>
      <c r="V681" s="45">
        <v>0.67930422499999998</v>
      </c>
      <c r="W681" s="45">
        <v>6.4079546900000003E-3</v>
      </c>
      <c r="X681" s="45">
        <v>2.0565292999999998E-2</v>
      </c>
      <c r="Y681" s="45">
        <v>80.496538900000004</v>
      </c>
      <c r="Z681" s="36">
        <v>2.27</v>
      </c>
      <c r="AA681" s="38">
        <v>362</v>
      </c>
      <c r="AB681" s="38">
        <v>622</v>
      </c>
      <c r="AC681" s="49" t="s">
        <v>506</v>
      </c>
      <c r="AD681" s="49" t="s">
        <v>1385</v>
      </c>
      <c r="AE681" s="46"/>
    </row>
    <row r="682" spans="1:31" ht="15" thickBot="1">
      <c r="A682" s="34">
        <v>680</v>
      </c>
      <c r="B682" s="34" t="s">
        <v>253</v>
      </c>
      <c r="C682" s="41" t="s">
        <v>1355</v>
      </c>
      <c r="D682" s="34" t="s">
        <v>1220</v>
      </c>
      <c r="E682" s="80">
        <f t="shared" si="70"/>
        <v>1.582722833036446</v>
      </c>
      <c r="F682" s="35">
        <f t="shared" si="71"/>
        <v>46.636975538389684</v>
      </c>
      <c r="G682" s="42" cm="1">
        <f t="array" ref="G68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46.348984609114005</v>
      </c>
      <c r="H682" s="81" cm="1">
        <f t="array" ref="H6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1.5789901060623353</v>
      </c>
      <c r="I682" s="81" cm="1">
        <f t="array" ref="I6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1.582722833036446</v>
      </c>
      <c r="J682" s="81" cm="1">
        <f t="array" ref="J6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1.5856902042182166</v>
      </c>
      <c r="K682" s="81" cm="1">
        <f t="array" ref="K6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1.5914849736284529</v>
      </c>
      <c r="L682" s="81" cm="1">
        <f t="array" ref="L6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1.5985682018724616</v>
      </c>
      <c r="M682" s="37">
        <f t="shared" si="72"/>
        <v>1.2494867566117618E-2</v>
      </c>
      <c r="N682" s="43">
        <f t="shared" si="73"/>
        <v>3.732726974110756E-3</v>
      </c>
      <c r="O682" s="43">
        <f t="shared" si="74"/>
        <v>7.0832282440087546E-3</v>
      </c>
      <c r="P682" s="43">
        <f t="shared" si="75"/>
        <v>0.2987408193291145</v>
      </c>
      <c r="Q682" s="37">
        <f t="shared" si="76"/>
        <v>0.56689102197580488</v>
      </c>
      <c r="R682" s="37">
        <v>1.5E-3</v>
      </c>
      <c r="S682" s="44" t="s">
        <v>1393</v>
      </c>
      <c r="T682" s="45">
        <v>1.3485963400000001</v>
      </c>
      <c r="U682" s="45">
        <v>0.10764424</v>
      </c>
      <c r="V682" s="45">
        <v>1.1320708399999999</v>
      </c>
      <c r="W682" s="45">
        <v>8.7149293200000002E-3</v>
      </c>
      <c r="X682" s="45">
        <v>4.7840643600000003E-2</v>
      </c>
      <c r="Y682" s="45">
        <v>112.936116</v>
      </c>
      <c r="Z682" s="36">
        <v>2.7919999999999998</v>
      </c>
      <c r="AA682" s="38">
        <v>583</v>
      </c>
      <c r="AB682" s="38">
        <v>714</v>
      </c>
      <c r="AC682" s="49" t="s">
        <v>506</v>
      </c>
      <c r="AD682" s="49" t="s">
        <v>1385</v>
      </c>
      <c r="AE682" s="46"/>
    </row>
    <row r="683" spans="1:31" ht="15" thickBot="1">
      <c r="A683" s="34">
        <v>681</v>
      </c>
      <c r="B683" s="34" t="s">
        <v>253</v>
      </c>
      <c r="C683" s="41" t="s">
        <v>1355</v>
      </c>
      <c r="D683" s="34" t="s">
        <v>1221</v>
      </c>
      <c r="E683" s="80">
        <f t="shared" si="70"/>
        <v>1.5889993607554345</v>
      </c>
      <c r="F683" s="35">
        <f t="shared" si="71"/>
        <v>48.44652953724858</v>
      </c>
      <c r="G683" s="42" cm="1">
        <f t="array" ref="G68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48.155027947993794</v>
      </c>
      <c r="H683" s="81" cm="1">
        <f t="array" ref="H6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1.5853605330118583</v>
      </c>
      <c r="I683" s="81" cm="1">
        <f t="array" ref="I6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1.5889993607554345</v>
      </c>
      <c r="J683" s="81" cm="1">
        <f t="array" ref="J6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1.5918896938642619</v>
      </c>
      <c r="K683" s="81" cm="1">
        <f t="array" ref="K6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1.5975182534178696</v>
      </c>
      <c r="L683" s="81" cm="1">
        <f t="array" ref="L6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1.6043572663525676</v>
      </c>
      <c r="M683" s="37">
        <f t="shared" si="72"/>
        <v>1.2157720406011263E-2</v>
      </c>
      <c r="N683" s="43">
        <f t="shared" si="73"/>
        <v>3.6388277435761562E-3</v>
      </c>
      <c r="O683" s="43">
        <f t="shared" si="74"/>
        <v>6.8390129346980189E-3</v>
      </c>
      <c r="P683" s="43">
        <f t="shared" si="75"/>
        <v>0.29930181169300246</v>
      </c>
      <c r="Q683" s="37">
        <f t="shared" si="76"/>
        <v>0.5625242813872029</v>
      </c>
      <c r="R683" s="37">
        <v>2.0000000000000001E-4</v>
      </c>
      <c r="S683" s="44" t="s">
        <v>1393</v>
      </c>
      <c r="T683" s="45">
        <v>1.3671920099999999</v>
      </c>
      <c r="U683" s="45">
        <v>0.10907994</v>
      </c>
      <c r="V683" s="45">
        <v>1.02108011</v>
      </c>
      <c r="W683" s="45">
        <v>8.8282070399999992E-3</v>
      </c>
      <c r="X683" s="45">
        <v>4.38731646E-2</v>
      </c>
      <c r="Y683" s="45">
        <v>113.58602</v>
      </c>
      <c r="Z683" s="36">
        <v>3.17</v>
      </c>
      <c r="AA683" s="38">
        <v>549</v>
      </c>
      <c r="AB683" s="38"/>
      <c r="AC683" s="49" t="s">
        <v>506</v>
      </c>
      <c r="AD683" s="49" t="s">
        <v>1385</v>
      </c>
      <c r="AE683" s="46"/>
    </row>
    <row r="684" spans="1:31" ht="15" thickBot="1">
      <c r="A684" s="34">
        <v>682</v>
      </c>
      <c r="B684" s="34" t="s">
        <v>253</v>
      </c>
      <c r="C684" s="41" t="s">
        <v>1359</v>
      </c>
      <c r="D684" s="34" t="s">
        <v>1222</v>
      </c>
      <c r="E684" s="80">
        <f t="shared" si="70"/>
        <v>1.6133601948394209</v>
      </c>
      <c r="F684" s="35">
        <f t="shared" si="71"/>
        <v>44.494203257089296</v>
      </c>
      <c r="G684" s="42" cm="1">
        <f t="array" ref="G68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44.271430471252025</v>
      </c>
      <c r="H684" s="81" cm="1">
        <f t="array" ref="H6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1.6092169809820289</v>
      </c>
      <c r="I684" s="81" cm="1">
        <f t="array" ref="I6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1.6133601948394209</v>
      </c>
      <c r="J684" s="81" cm="1">
        <f t="array" ref="J6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1.6166383641786084</v>
      </c>
      <c r="K684" s="81" cm="1">
        <f t="array" ref="K6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1.623002151856882</v>
      </c>
      <c r="L684" s="81" cm="1">
        <f t="array" ref="L6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1.630708530047345</v>
      </c>
      <c r="M684" s="37">
        <f t="shared" si="72"/>
        <v>1.3785170874853092E-2</v>
      </c>
      <c r="N684" s="43">
        <f t="shared" si="73"/>
        <v>4.1432138573920252E-3</v>
      </c>
      <c r="O684" s="43">
        <f t="shared" si="74"/>
        <v>7.7063781904629369E-3</v>
      </c>
      <c r="P684" s="43">
        <f t="shared" si="75"/>
        <v>0.30055585781312844</v>
      </c>
      <c r="Q684" s="37">
        <f t="shared" si="76"/>
        <v>0.55903392568901067</v>
      </c>
      <c r="R684" s="37">
        <v>-0.01</v>
      </c>
      <c r="S684" s="44" t="s">
        <v>1393</v>
      </c>
      <c r="T684" s="45">
        <v>1.3505542399999999</v>
      </c>
      <c r="U684" s="45">
        <v>0.19757550600000001</v>
      </c>
      <c r="V684" s="45">
        <v>1.0996299199999999</v>
      </c>
      <c r="W684" s="45">
        <v>8.7628207E-3</v>
      </c>
      <c r="X684" s="45">
        <v>3.7176720099999998E-2</v>
      </c>
      <c r="Y684" s="45">
        <v>90.386699399999998</v>
      </c>
      <c r="Z684" s="36">
        <v>3.0019999999999998</v>
      </c>
      <c r="AA684" s="38">
        <v>536</v>
      </c>
      <c r="AB684" s="38">
        <v>664</v>
      </c>
      <c r="AC684" s="49" t="s">
        <v>506</v>
      </c>
      <c r="AD684" s="49" t="s">
        <v>1385</v>
      </c>
      <c r="AE684" s="46"/>
    </row>
    <row r="685" spans="1:31" ht="15" thickBot="1">
      <c r="A685" s="34">
        <v>683</v>
      </c>
      <c r="B685" s="34" t="s">
        <v>253</v>
      </c>
      <c r="C685" s="41" t="s">
        <v>1366</v>
      </c>
      <c r="D685" s="34" t="s">
        <v>1223</v>
      </c>
      <c r="E685" s="80">
        <f t="shared" si="70"/>
        <v>1.6201410999070995</v>
      </c>
      <c r="F685" s="35">
        <f t="shared" si="71"/>
        <v>63.481193841210477</v>
      </c>
      <c r="G685" s="42" cm="1">
        <f t="array" ref="G68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63.188546716637056</v>
      </c>
      <c r="H685" s="81" cm="1">
        <f t="array" ref="H6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1.6171669033535154</v>
      </c>
      <c r="I685" s="81" cm="1">
        <f t="array" ref="I6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1.6201410999070995</v>
      </c>
      <c r="J685" s="81" cm="1">
        <f t="array" ref="J6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1.6224713968298612</v>
      </c>
      <c r="K685" s="81" cm="1">
        <f t="array" ref="K6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1.6269357980825323</v>
      </c>
      <c r="L685" s="81" cm="1">
        <f t="array" ref="L6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1.6322340512123399</v>
      </c>
      <c r="M685" s="37">
        <f t="shared" si="72"/>
        <v>9.7688947290168748E-3</v>
      </c>
      <c r="N685" s="43">
        <f t="shared" si="73"/>
        <v>2.9741965535841075E-3</v>
      </c>
      <c r="O685" s="43">
        <f t="shared" si="74"/>
        <v>5.2982531298075841E-3</v>
      </c>
      <c r="P685" s="43">
        <f t="shared" si="75"/>
        <v>0.30445578912318011</v>
      </c>
      <c r="Q685" s="37">
        <f t="shared" si="76"/>
        <v>0.54235952753897587</v>
      </c>
      <c r="R685" s="37">
        <v>5.3E-3</v>
      </c>
      <c r="S685" s="44" t="s">
        <v>1393</v>
      </c>
      <c r="T685" s="45">
        <v>1.3434086999999999</v>
      </c>
      <c r="U685" s="45">
        <v>0.241417935</v>
      </c>
      <c r="V685" s="45">
        <v>0.95289689700000002</v>
      </c>
      <c r="W685" s="45">
        <v>6.7507431700000002E-3</v>
      </c>
      <c r="X685" s="45">
        <v>2.1991051300000002E-2</v>
      </c>
      <c r="Y685" s="45">
        <v>103.551457</v>
      </c>
      <c r="Z685" s="36">
        <v>3.6</v>
      </c>
      <c r="AA685" s="38">
        <v>618</v>
      </c>
      <c r="AB685" s="38">
        <v>709</v>
      </c>
      <c r="AC685" s="49" t="s">
        <v>506</v>
      </c>
      <c r="AD685" s="49" t="s">
        <v>1385</v>
      </c>
      <c r="AE685" s="46"/>
    </row>
    <row r="686" spans="1:31" ht="15" thickBot="1">
      <c r="A686" s="34">
        <v>684</v>
      </c>
      <c r="B686" s="34" t="s">
        <v>253</v>
      </c>
      <c r="C686" s="41" t="s">
        <v>1355</v>
      </c>
      <c r="D686" s="34" t="s">
        <v>1224</v>
      </c>
      <c r="E686" s="80">
        <f t="shared" si="70"/>
        <v>1.6227802288210729</v>
      </c>
      <c r="F686" s="35">
        <f t="shared" si="71"/>
        <v>56.983049889774023</v>
      </c>
      <c r="G686" s="42" cm="1">
        <f t="array" ref="G68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56.702437213641502</v>
      </c>
      <c r="H686" s="81" cm="1">
        <f t="array" ref="H6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1.6194696523296011</v>
      </c>
      <c r="I686" s="81" cm="1">
        <f t="array" ref="I6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1.6227802288210729</v>
      </c>
      <c r="J686" s="81" cm="1">
        <f t="array" ref="J6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1.6253853862354248</v>
      </c>
      <c r="K686" s="81" cm="1">
        <f t="array" ref="K6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1.6303988712820046</v>
      </c>
      <c r="L686" s="81" cm="1">
        <f t="array" ref="L6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1.6363823823466705</v>
      </c>
      <c r="M686" s="37">
        <f t="shared" si="72"/>
        <v>1.0929218952403508E-2</v>
      </c>
      <c r="N686" s="43">
        <f t="shared" si="73"/>
        <v>3.3105764914718172E-3</v>
      </c>
      <c r="O686" s="43">
        <f t="shared" si="74"/>
        <v>5.9835110646659917E-3</v>
      </c>
      <c r="P686" s="43">
        <f t="shared" si="75"/>
        <v>0.30291062022723675</v>
      </c>
      <c r="Q686" s="37">
        <f t="shared" si="76"/>
        <v>0.54747837798144972</v>
      </c>
      <c r="R686" s="37">
        <v>-5.0000000000000001E-4</v>
      </c>
      <c r="S686" s="44" t="s">
        <v>1393</v>
      </c>
      <c r="T686" s="45">
        <v>1.3497209299999999</v>
      </c>
      <c r="U686" s="45">
        <v>0.23858797300000001</v>
      </c>
      <c r="V686" s="45">
        <v>0.96673359999999997</v>
      </c>
      <c r="W686" s="45">
        <v>7.3627226900000002E-3</v>
      </c>
      <c r="X686" s="45">
        <v>2.5376532699999999E-2</v>
      </c>
      <c r="Y686" s="45">
        <v>103.502909</v>
      </c>
      <c r="Z686" s="36">
        <v>3.6389999999999998</v>
      </c>
      <c r="AA686" s="38">
        <v>633</v>
      </c>
      <c r="AB686" s="38">
        <v>758</v>
      </c>
      <c r="AC686" s="49" t="s">
        <v>506</v>
      </c>
      <c r="AD686" s="49" t="s">
        <v>1385</v>
      </c>
      <c r="AE686" s="46"/>
    </row>
    <row r="687" spans="1:31" ht="15" thickBot="1">
      <c r="A687" s="34">
        <v>685</v>
      </c>
      <c r="B687" s="34" t="s">
        <v>253</v>
      </c>
      <c r="C687" s="41" t="s">
        <v>1355</v>
      </c>
      <c r="D687" s="34" t="s">
        <v>1225</v>
      </c>
      <c r="E687" s="80">
        <f t="shared" si="70"/>
        <v>1.6229603354605027</v>
      </c>
      <c r="F687" s="35">
        <f t="shared" si="71"/>
        <v>58.019922363920053</v>
      </c>
      <c r="G687" s="42" cm="1">
        <f t="array" ref="G68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57.749895875212339</v>
      </c>
      <c r="H687" s="81" cm="1">
        <f t="array" ref="H6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1.6197000164391784</v>
      </c>
      <c r="I687" s="81" cm="1">
        <f t="array" ref="I6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1.6229603354605027</v>
      </c>
      <c r="J687" s="81" cm="1">
        <f t="array" ref="J6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1.625520268637801</v>
      </c>
      <c r="K687" s="81" cm="1">
        <f t="array" ref="K6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1.6304370238338641</v>
      </c>
      <c r="L687" s="81" cm="1">
        <f t="array" ref="L6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1.6362925176953869</v>
      </c>
      <c r="M687" s="37">
        <f t="shared" si="72"/>
        <v>1.0737007394685749E-2</v>
      </c>
      <c r="N687" s="43">
        <f t="shared" si="73"/>
        <v>3.2603190213242872E-3</v>
      </c>
      <c r="O687" s="43">
        <f t="shared" si="74"/>
        <v>5.8554938615227314E-3</v>
      </c>
      <c r="P687" s="43">
        <f t="shared" si="75"/>
        <v>0.30365248914124549</v>
      </c>
      <c r="Q687" s="37">
        <f t="shared" si="76"/>
        <v>0.54535622881482704</v>
      </c>
      <c r="R687" s="37">
        <v>-8.9999999999999998E-4</v>
      </c>
      <c r="S687" s="44" t="s">
        <v>1393</v>
      </c>
      <c r="T687" s="45">
        <v>1.30417786</v>
      </c>
      <c r="U687" s="45">
        <v>0.28584115999999998</v>
      </c>
      <c r="V687" s="45">
        <v>0.97478157200000004</v>
      </c>
      <c r="W687" s="45">
        <v>6.9505127600000003E-3</v>
      </c>
      <c r="X687" s="45">
        <v>2.32023703E-2</v>
      </c>
      <c r="Y687" s="45">
        <v>99.016884000000005</v>
      </c>
      <c r="Z687" s="36">
        <v>3.62</v>
      </c>
      <c r="AA687" s="38">
        <v>641</v>
      </c>
      <c r="AB687" s="38">
        <v>752</v>
      </c>
      <c r="AC687" s="49" t="s">
        <v>506</v>
      </c>
      <c r="AD687" s="49" t="s">
        <v>1385</v>
      </c>
      <c r="AE687" s="46"/>
    </row>
    <row r="688" spans="1:31" ht="15" thickBot="1">
      <c r="A688" s="34">
        <v>686</v>
      </c>
      <c r="B688" s="34" t="s">
        <v>253</v>
      </c>
      <c r="C688" s="41" t="s">
        <v>1359</v>
      </c>
      <c r="D688" s="34" t="s">
        <v>1226</v>
      </c>
      <c r="E688" s="80">
        <f t="shared" si="70"/>
        <v>1.6541166993434997</v>
      </c>
      <c r="F688" s="35">
        <f t="shared" si="71"/>
        <v>39.627815506475059</v>
      </c>
      <c r="G688" s="42" cm="1">
        <f t="array" ref="G68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39.401048176704755</v>
      </c>
      <c r="H688" s="81" cm="1">
        <f t="array" ref="H6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1.6492005144234412</v>
      </c>
      <c r="I688" s="81" cm="1">
        <f t="array" ref="I6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1.6541166993434997</v>
      </c>
      <c r="J688" s="81" cm="1">
        <f t="array" ref="J6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1.6580346880351844</v>
      </c>
      <c r="K688" s="81" cm="1">
        <f t="array" ref="K6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1.6657070185287866</v>
      </c>
      <c r="L688" s="81" cm="1">
        <f t="array" ref="L6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1.675116502545186</v>
      </c>
      <c r="M688" s="37">
        <f t="shared" si="72"/>
        <v>1.6506504105345376E-2</v>
      </c>
      <c r="N688" s="43">
        <f t="shared" si="73"/>
        <v>4.9161849200585195E-3</v>
      </c>
      <c r="O688" s="43">
        <f t="shared" si="74"/>
        <v>9.4094840163994053E-3</v>
      </c>
      <c r="P688" s="43">
        <f t="shared" si="75"/>
        <v>0.29783319888228116</v>
      </c>
      <c r="Q688" s="37">
        <f t="shared" si="76"/>
        <v>0.57004705274645584</v>
      </c>
      <c r="R688" s="37">
        <v>-7.1000000000000004E-3</v>
      </c>
      <c r="S688" s="44" t="s">
        <v>1393</v>
      </c>
      <c r="T688" s="45">
        <v>1.4772785799999999</v>
      </c>
      <c r="U688" s="45">
        <v>0.191686941</v>
      </c>
      <c r="V688" s="45">
        <v>0.89733360799999995</v>
      </c>
      <c r="W688" s="45">
        <v>9.7548833500000001E-3</v>
      </c>
      <c r="X688" s="45">
        <v>4.5049540399999997E-2</v>
      </c>
      <c r="Y688" s="45">
        <v>67.878649499999995</v>
      </c>
      <c r="Z688" s="36">
        <v>3.46</v>
      </c>
      <c r="AA688" s="38">
        <v>501</v>
      </c>
      <c r="AB688" s="38"/>
      <c r="AC688" s="49" t="s">
        <v>506</v>
      </c>
      <c r="AD688" s="49" t="s">
        <v>1385</v>
      </c>
      <c r="AE688" s="46"/>
    </row>
    <row r="689" spans="1:31" ht="15" thickBot="1">
      <c r="A689" s="34">
        <v>687</v>
      </c>
      <c r="B689" s="34" t="s">
        <v>253</v>
      </c>
      <c r="C689" s="41" t="s">
        <v>1356</v>
      </c>
      <c r="D689" s="34" t="s">
        <v>1227</v>
      </c>
      <c r="E689" s="80">
        <f t="shared" si="70"/>
        <v>1.6667887763763454</v>
      </c>
      <c r="F689" s="35">
        <f t="shared" si="71"/>
        <v>33.122151095712567</v>
      </c>
      <c r="G689" s="42" cm="1">
        <f t="array" ref="G68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32.861823248366342</v>
      </c>
      <c r="H689" s="81" cm="1">
        <f t="array" ref="H6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1.6609242005558014</v>
      </c>
      <c r="I689" s="81" cm="1">
        <f t="array" ref="I6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1.6667887763763454</v>
      </c>
      <c r="J689" s="81" cm="1">
        <f t="array" ref="J6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1.6715449141978282</v>
      </c>
      <c r="K689" s="81" cm="1">
        <f t="array" ref="K6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1.6810554044274804</v>
      </c>
      <c r="L689" s="81" cm="1">
        <f t="array" ref="L6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1.6930866775137239</v>
      </c>
      <c r="M689" s="37">
        <f t="shared" si="72"/>
        <v>2.0131203871678993E-2</v>
      </c>
      <c r="N689" s="43">
        <f t="shared" si="73"/>
        <v>5.8645758205440046E-3</v>
      </c>
      <c r="O689" s="43">
        <f t="shared" si="74"/>
        <v>1.2031273086243521E-2</v>
      </c>
      <c r="P689" s="43">
        <f t="shared" si="75"/>
        <v>0.29131769058254958</v>
      </c>
      <c r="Q689" s="37">
        <f t="shared" si="76"/>
        <v>0.59764300053457675</v>
      </c>
      <c r="R689" s="37">
        <v>9.4999999999999998E-3</v>
      </c>
      <c r="S689" s="44" t="s">
        <v>1393</v>
      </c>
      <c r="T689" s="45">
        <v>1.52005444</v>
      </c>
      <c r="U689" s="45">
        <v>0.17573947000000001</v>
      </c>
      <c r="V689" s="45">
        <v>1.4362342400000001</v>
      </c>
      <c r="W689" s="45">
        <v>1.0961439999999999E-2</v>
      </c>
      <c r="X689" s="45">
        <v>5.9324848600000001E-2</v>
      </c>
      <c r="Y689" s="45">
        <v>126.795151</v>
      </c>
      <c r="Z689" s="36">
        <v>2.9</v>
      </c>
      <c r="AA689" s="38">
        <v>598</v>
      </c>
      <c r="AB689" s="38">
        <v>707</v>
      </c>
      <c r="AC689" s="49" t="s">
        <v>506</v>
      </c>
      <c r="AD689" s="49" t="s">
        <v>1385</v>
      </c>
      <c r="AE689" s="46"/>
    </row>
    <row r="690" spans="1:31" ht="15" thickBot="1">
      <c r="A690" s="34">
        <v>688</v>
      </c>
      <c r="B690" s="34" t="s">
        <v>253</v>
      </c>
      <c r="C690" s="41" t="s">
        <v>1359</v>
      </c>
      <c r="D690" s="34" t="s">
        <v>1228</v>
      </c>
      <c r="E690" s="80">
        <f t="shared" si="70"/>
        <v>1.6959997210279754</v>
      </c>
      <c r="F690" s="35">
        <f t="shared" si="71"/>
        <v>36.289985383491029</v>
      </c>
      <c r="G690" s="42" cm="1">
        <f t="array" ref="G69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36.06430091006014</v>
      </c>
      <c r="H690" s="81" cm="1">
        <f t="array" ref="H6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1.6903285571129756</v>
      </c>
      <c r="I690" s="81" cm="1">
        <f t="array" ref="I6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1.6959997210279754</v>
      </c>
      <c r="J690" s="81" cm="1">
        <f t="array" ref="J6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1.7005465714478929</v>
      </c>
      <c r="K690" s="81" cm="1">
        <f t="array" ref="K6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1.7095073942955499</v>
      </c>
      <c r="L690" s="81" cm="1">
        <f t="array" ref="L6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1.7205889454569581</v>
      </c>
      <c r="M690" s="37">
        <f t="shared" si="72"/>
        <v>1.9178837182574293E-2</v>
      </c>
      <c r="N690" s="43">
        <f t="shared" si="73"/>
        <v>5.6711639149997772E-3</v>
      </c>
      <c r="O690" s="43">
        <f t="shared" si="74"/>
        <v>1.1081551161408187E-2</v>
      </c>
      <c r="P690" s="43">
        <f t="shared" si="75"/>
        <v>0.29569904895759491</v>
      </c>
      <c r="Q690" s="37">
        <f t="shared" si="76"/>
        <v>0.57780099262101137</v>
      </c>
      <c r="R690" s="37">
        <v>-5.0000000000000001E-3</v>
      </c>
      <c r="S690" s="44" t="s">
        <v>1393</v>
      </c>
      <c r="T690" s="45">
        <v>1.5562487300000001</v>
      </c>
      <c r="U690" s="45">
        <v>0.239769276</v>
      </c>
      <c r="V690" s="45">
        <v>0.94788765799999997</v>
      </c>
      <c r="W690" s="45">
        <v>1.02012744E-2</v>
      </c>
      <c r="X690" s="45">
        <v>4.6927796899999999E-2</v>
      </c>
      <c r="Y690" s="45">
        <v>69.837072199999994</v>
      </c>
      <c r="Z690" s="36">
        <v>3.8359999999999999</v>
      </c>
      <c r="AA690" s="38">
        <v>492</v>
      </c>
      <c r="AB690" s="38">
        <v>549</v>
      </c>
      <c r="AC690" s="49" t="s">
        <v>506</v>
      </c>
      <c r="AD690" s="49" t="s">
        <v>1385</v>
      </c>
      <c r="AE690" s="46"/>
    </row>
    <row r="691" spans="1:31" ht="15" thickBot="1">
      <c r="A691" s="34">
        <v>689</v>
      </c>
      <c r="B691" s="34" t="s">
        <v>253</v>
      </c>
      <c r="C691" s="41" t="s">
        <v>1356</v>
      </c>
      <c r="D691" s="34" t="s">
        <v>1229</v>
      </c>
      <c r="E691" s="80">
        <f t="shared" si="70"/>
        <v>1.7059080504652042</v>
      </c>
      <c r="F691" s="35">
        <f t="shared" si="71"/>
        <v>30.231990188544657</v>
      </c>
      <c r="G691" s="42" cm="1">
        <f t="array" ref="G69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29.992247274083027</v>
      </c>
      <c r="H691" s="81" cm="1">
        <f t="array" ref="H6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1.6991422344180194</v>
      </c>
      <c r="I691" s="81" cm="1">
        <f t="array" ref="I6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1.7059080504652042</v>
      </c>
      <c r="J691" s="81" cm="1">
        <f t="array" ref="J6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1.7114205556673265</v>
      </c>
      <c r="K691" s="81" cm="1">
        <f t="array" ref="K6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1.7224919393518574</v>
      </c>
      <c r="L691" s="81" cm="1">
        <f t="array" ref="L6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1.7365681632435885</v>
      </c>
      <c r="M691" s="37">
        <f t="shared" si="72"/>
        <v>2.3349704933838034E-2</v>
      </c>
      <c r="N691" s="43">
        <f t="shared" si="73"/>
        <v>6.7658160471848472E-3</v>
      </c>
      <c r="O691" s="43">
        <f t="shared" si="74"/>
        <v>1.4076223891731132E-2</v>
      </c>
      <c r="P691" s="43">
        <f t="shared" si="75"/>
        <v>0.28976023750004354</v>
      </c>
      <c r="Q691" s="37">
        <f t="shared" si="76"/>
        <v>0.6028437589090081</v>
      </c>
      <c r="R691" s="37">
        <v>9.9000000000000008E-3</v>
      </c>
      <c r="S691" s="44" t="s">
        <v>1393</v>
      </c>
      <c r="T691" s="45">
        <v>1.59163762</v>
      </c>
      <c r="U691" s="45">
        <v>0.21990842799999999</v>
      </c>
      <c r="V691" s="45">
        <v>1.4692931499999999</v>
      </c>
      <c r="W691" s="45">
        <v>1.1862343399999999E-2</v>
      </c>
      <c r="X691" s="45">
        <v>5.9458549899999998E-2</v>
      </c>
      <c r="Y691" s="45">
        <v>133.31076200000001</v>
      </c>
      <c r="Z691" s="36">
        <v>2.9889999999999999</v>
      </c>
      <c r="AA691" s="38">
        <v>572</v>
      </c>
      <c r="AB691" s="38">
        <v>685</v>
      </c>
      <c r="AC691" s="49" t="s">
        <v>506</v>
      </c>
      <c r="AD691" s="49" t="s">
        <v>1385</v>
      </c>
      <c r="AE691" s="46"/>
    </row>
    <row r="692" spans="1:31" ht="15" thickBot="1">
      <c r="A692" s="34">
        <v>690</v>
      </c>
      <c r="B692" s="34" t="s">
        <v>253</v>
      </c>
      <c r="C692" s="41" t="s">
        <v>1358</v>
      </c>
      <c r="D692" s="34" t="s">
        <v>1230</v>
      </c>
      <c r="E692" s="80">
        <f t="shared" si="70"/>
        <v>1.7169981361620479</v>
      </c>
      <c r="F692" s="35">
        <f t="shared" si="71"/>
        <v>47.961702182977454</v>
      </c>
      <c r="G692" s="42" cm="1">
        <f t="array" ref="G69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47.680944680210274</v>
      </c>
      <c r="H692" s="81" cm="1">
        <f t="array" ref="H6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1.7125219253195147</v>
      </c>
      <c r="I692" s="81" cm="1">
        <f t="array" ref="I6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1.7169981361620479</v>
      </c>
      <c r="J692" s="81" cm="1">
        <f t="array" ref="J6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1.7205543431039172</v>
      </c>
      <c r="K692" s="81" cm="1">
        <f t="array" ref="K6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1.7274713141762039</v>
      </c>
      <c r="L692" s="81" cm="1">
        <f t="array" ref="L6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1.7358481862258945</v>
      </c>
      <c r="M692" s="37">
        <f t="shared" si="72"/>
        <v>1.4949388856689172E-2</v>
      </c>
      <c r="N692" s="43">
        <f t="shared" si="73"/>
        <v>4.4762108425331348E-3</v>
      </c>
      <c r="O692" s="43">
        <f t="shared" si="74"/>
        <v>8.3768720496906202E-3</v>
      </c>
      <c r="P692" s="43">
        <f t="shared" si="75"/>
        <v>0.29942433670325153</v>
      </c>
      <c r="Q692" s="37">
        <f t="shared" si="76"/>
        <v>0.56034879619459166</v>
      </c>
      <c r="R692" s="37">
        <v>-2.8E-3</v>
      </c>
      <c r="S692" s="44" t="s">
        <v>1393</v>
      </c>
      <c r="T692" s="45">
        <v>1.73155854</v>
      </c>
      <c r="U692" s="45">
        <v>0.15087445499999999</v>
      </c>
      <c r="V692" s="45">
        <v>1.06586596</v>
      </c>
      <c r="W692" s="45">
        <v>9.5383391399999993E-3</v>
      </c>
      <c r="X692" s="45">
        <v>4.0788721100000001E-2</v>
      </c>
      <c r="Y692" s="45">
        <v>98.075854500000005</v>
      </c>
      <c r="Z692" s="36">
        <v>4.1399999999999997</v>
      </c>
      <c r="AA692" s="38">
        <v>646</v>
      </c>
      <c r="AB692" s="38">
        <v>740</v>
      </c>
      <c r="AC692" s="49" t="s">
        <v>506</v>
      </c>
      <c r="AD692" s="49" t="s">
        <v>1385</v>
      </c>
      <c r="AE692" s="46"/>
    </row>
    <row r="693" spans="1:31" ht="15" thickBot="1">
      <c r="A693" s="34">
        <v>691</v>
      </c>
      <c r="B693" s="34" t="s">
        <v>253</v>
      </c>
      <c r="C693" s="41" t="s">
        <v>1358</v>
      </c>
      <c r="D693" s="34" t="s">
        <v>1231</v>
      </c>
      <c r="E693" s="80">
        <f t="shared" si="70"/>
        <v>1.7539300872443506</v>
      </c>
      <c r="F693" s="35">
        <f t="shared" si="71"/>
        <v>52.271384711621728</v>
      </c>
      <c r="G693" s="42" cm="1">
        <f t="array" ref="G69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52.040018324904004</v>
      </c>
      <c r="H693" s="81" cm="1">
        <f t="array" ref="H6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1.7495565001122153</v>
      </c>
      <c r="I693" s="81" cm="1">
        <f t="array" ref="I6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1.7539300872443506</v>
      </c>
      <c r="J693" s="81" cm="1">
        <f t="array" ref="J6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1.757367496126558</v>
      </c>
      <c r="K693" s="81" cm="1">
        <f t="array" ref="K6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1.7639798809237959</v>
      </c>
      <c r="L693" s="81" cm="1">
        <f t="array" ref="L6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1.7718742067584563</v>
      </c>
      <c r="M693" s="37">
        <f t="shared" si="72"/>
        <v>1.4423380811580566E-2</v>
      </c>
      <c r="N693" s="43">
        <f t="shared" si="73"/>
        <v>4.3735871321353148E-3</v>
      </c>
      <c r="O693" s="43">
        <f t="shared" si="74"/>
        <v>7.8943258346604317E-3</v>
      </c>
      <c r="P693" s="43">
        <f t="shared" si="75"/>
        <v>0.30322898558039535</v>
      </c>
      <c r="Q693" s="37">
        <f t="shared" si="76"/>
        <v>0.54732839254455923</v>
      </c>
      <c r="R693" s="37">
        <v>-8.6E-3</v>
      </c>
      <c r="S693" s="44" t="s">
        <v>1393</v>
      </c>
      <c r="T693" s="45">
        <v>1.4411699899999999</v>
      </c>
      <c r="U693" s="45">
        <v>0.57174950099999999</v>
      </c>
      <c r="V693" s="45">
        <v>1.1660522600000001</v>
      </c>
      <c r="W693" s="45">
        <v>6.8093387700000002E-3</v>
      </c>
      <c r="X693" s="45">
        <v>2.2229182399999999E-2</v>
      </c>
      <c r="Y693" s="45">
        <v>80.937955500000001</v>
      </c>
      <c r="Z693" s="36">
        <v>4.2160000000000002</v>
      </c>
      <c r="AA693" s="38">
        <v>669</v>
      </c>
      <c r="AB693" s="38">
        <v>744</v>
      </c>
      <c r="AC693" s="49" t="s">
        <v>506</v>
      </c>
      <c r="AD693" s="49" t="s">
        <v>1385</v>
      </c>
      <c r="AE693" s="46"/>
    </row>
    <row r="694" spans="1:31" ht="15" thickBot="1">
      <c r="A694" s="34">
        <v>692</v>
      </c>
      <c r="B694" s="34" t="s">
        <v>253</v>
      </c>
      <c r="C694" s="41" t="s">
        <v>1356</v>
      </c>
      <c r="D694" s="34" t="s">
        <v>1232</v>
      </c>
      <c r="E694" s="80">
        <f t="shared" si="70"/>
        <v>1.7847026476400398</v>
      </c>
      <c r="F694" s="35">
        <f t="shared" si="71"/>
        <v>26.095639243165415</v>
      </c>
      <c r="G694" s="42" cm="1">
        <f t="array" ref="G69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25.886085612442869</v>
      </c>
      <c r="H694" s="81" cm="1">
        <f t="array" ref="H6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1.7760678501774299</v>
      </c>
      <c r="I694" s="81" cm="1">
        <f t="array" ref="I6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1.7847026476400398</v>
      </c>
      <c r="J694" s="81" cm="1">
        <f t="array" ref="J6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1.7917881649856184</v>
      </c>
      <c r="K694" s="81" cm="1">
        <f t="array" ref="K6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1.8061381098222691</v>
      </c>
      <c r="L694" s="81" cm="1">
        <f t="array" ref="L6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1.8245984437954508</v>
      </c>
      <c r="M694" s="37">
        <f t="shared" si="72"/>
        <v>3.0070259644839226E-2</v>
      </c>
      <c r="N694" s="43">
        <f t="shared" si="73"/>
        <v>8.6347974626099777E-3</v>
      </c>
      <c r="O694" s="43">
        <f t="shared" si="74"/>
        <v>1.8460333973181697E-2</v>
      </c>
      <c r="P694" s="43">
        <f t="shared" si="75"/>
        <v>0.28715407065305854</v>
      </c>
      <c r="Q694" s="37">
        <f t="shared" si="76"/>
        <v>0.61390670354088317</v>
      </c>
      <c r="R694" s="37">
        <v>1.4E-2</v>
      </c>
      <c r="S694" s="44" t="s">
        <v>1393</v>
      </c>
      <c r="T694" s="45">
        <v>1.7356208500000001</v>
      </c>
      <c r="U694" s="45">
        <v>0.31748701200000001</v>
      </c>
      <c r="V694" s="45">
        <v>1.9539820299999999</v>
      </c>
      <c r="W694" s="45">
        <v>1.2962474200000001E-2</v>
      </c>
      <c r="X694" s="45">
        <v>6.1288428800000003E-2</v>
      </c>
      <c r="Y694" s="45">
        <v>161.55944099999999</v>
      </c>
      <c r="Z694" s="36">
        <v>3.28</v>
      </c>
      <c r="AA694" s="38">
        <v>592</v>
      </c>
      <c r="AB694" s="38">
        <v>691</v>
      </c>
      <c r="AC694" s="49" t="s">
        <v>506</v>
      </c>
      <c r="AD694" s="49" t="s">
        <v>1385</v>
      </c>
      <c r="AE694" s="46"/>
    </row>
    <row r="695" spans="1:31" ht="15" thickBot="1">
      <c r="A695" s="34">
        <v>693</v>
      </c>
      <c r="B695" s="34" t="s">
        <v>253</v>
      </c>
      <c r="C695" s="41" t="s">
        <v>1358</v>
      </c>
      <c r="D695" s="34" t="s">
        <v>1233</v>
      </c>
      <c r="E695" s="80">
        <f t="shared" si="70"/>
        <v>1.7995178955143287</v>
      </c>
      <c r="F695" s="35">
        <f t="shared" si="71"/>
        <v>42.368588298936928</v>
      </c>
      <c r="G695" s="42" cm="1">
        <f t="array" ref="G69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42.116130485245357</v>
      </c>
      <c r="H695" s="81" cm="1">
        <f t="array" ref="H6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1.793896811184291</v>
      </c>
      <c r="I695" s="81" cm="1">
        <f t="array" ref="I6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1.7995178955143287</v>
      </c>
      <c r="J695" s="81" cm="1">
        <f t="array" ref="J6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1.8040028264382264</v>
      </c>
      <c r="K695" s="81" cm="1">
        <f t="array" ref="K6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1.8127673454082125</v>
      </c>
      <c r="L695" s="81" cm="1">
        <f t="array" ref="L6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1.8234461871706293</v>
      </c>
      <c r="M695" s="37">
        <f t="shared" si="72"/>
        <v>1.8870534223921487E-2</v>
      </c>
      <c r="N695" s="43">
        <f t="shared" si="73"/>
        <v>5.6210843300377178E-3</v>
      </c>
      <c r="O695" s="43">
        <f t="shared" si="74"/>
        <v>1.0678841762416846E-2</v>
      </c>
      <c r="P695" s="43">
        <f t="shared" si="75"/>
        <v>0.29787626907308618</v>
      </c>
      <c r="Q695" s="37">
        <f t="shared" si="76"/>
        <v>0.5659003415430427</v>
      </c>
      <c r="R695" s="37">
        <v>-6.7000000000000002E-3</v>
      </c>
      <c r="S695" s="44" t="s">
        <v>1393</v>
      </c>
      <c r="T695" s="45">
        <v>1.8574422799999999</v>
      </c>
      <c r="U695" s="45">
        <v>0.294098729</v>
      </c>
      <c r="V695" s="45">
        <v>1.16615417</v>
      </c>
      <c r="W695" s="45">
        <v>9.8239719099999998E-3</v>
      </c>
      <c r="X695" s="45">
        <v>3.8430913800000001E-2</v>
      </c>
      <c r="Y695" s="45">
        <v>89.398463399999997</v>
      </c>
      <c r="Z695" s="36">
        <v>4.431</v>
      </c>
      <c r="AA695" s="38">
        <v>579</v>
      </c>
      <c r="AB695" s="38">
        <v>670</v>
      </c>
      <c r="AC695" s="49" t="s">
        <v>506</v>
      </c>
      <c r="AD695" s="49" t="s">
        <v>1385</v>
      </c>
      <c r="AE695" s="46"/>
    </row>
    <row r="696" spans="1:31" ht="15" thickBot="1">
      <c r="A696" s="34">
        <v>694</v>
      </c>
      <c r="B696" s="34" t="s">
        <v>253</v>
      </c>
      <c r="C696" s="41" t="s">
        <v>1358</v>
      </c>
      <c r="D696" s="34" t="s">
        <v>1234</v>
      </c>
      <c r="E696" s="80">
        <f t="shared" si="70"/>
        <v>1.8010701963667894</v>
      </c>
      <c r="F696" s="35">
        <f t="shared" si="71"/>
        <v>34.974305243357527</v>
      </c>
      <c r="G696" s="42" cm="1">
        <f t="array" ref="G69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34.721815098071346</v>
      </c>
      <c r="H696" s="81" cm="1">
        <f t="array" ref="H6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1.7943581108051001</v>
      </c>
      <c r="I696" s="81" cm="1">
        <f t="array" ref="I6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1.8010701963667894</v>
      </c>
      <c r="J696" s="81" cm="1">
        <f t="array" ref="J6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1.8064952491230175</v>
      </c>
      <c r="K696" s="81" cm="1">
        <f t="array" ref="K6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1.8172626457427579</v>
      </c>
      <c r="L696" s="81" cm="1">
        <f t="array" ref="L6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1.8306824844493061</v>
      </c>
      <c r="M696" s="37">
        <f t="shared" si="72"/>
        <v>2.2904534937657761E-2</v>
      </c>
      <c r="N696" s="43">
        <f t="shared" si="73"/>
        <v>6.7120855616893405E-3</v>
      </c>
      <c r="O696" s="43">
        <f t="shared" si="74"/>
        <v>1.3419838706548282E-2</v>
      </c>
      <c r="P696" s="43">
        <f t="shared" si="75"/>
        <v>0.29304614042409038</v>
      </c>
      <c r="Q696" s="37">
        <f t="shared" si="76"/>
        <v>0.58590312979830395</v>
      </c>
      <c r="R696" s="37">
        <v>8.9999999999999998E-4</v>
      </c>
      <c r="S696" s="44" t="s">
        <v>1393</v>
      </c>
      <c r="T696" s="45">
        <v>1.8714019799999999</v>
      </c>
      <c r="U696" s="45">
        <v>0.267777879</v>
      </c>
      <c r="V696" s="45">
        <v>1.7303000799999999</v>
      </c>
      <c r="W696" s="45">
        <v>1.1217192000000001E-2</v>
      </c>
      <c r="X696" s="45">
        <v>5.05134972E-2</v>
      </c>
      <c r="Y696" s="45">
        <v>147.106505</v>
      </c>
      <c r="Z696" s="36">
        <v>3.6259999999999999</v>
      </c>
      <c r="AA696" s="38">
        <v>647</v>
      </c>
      <c r="AB696" s="38">
        <v>773</v>
      </c>
      <c r="AC696" s="49" t="s">
        <v>506</v>
      </c>
      <c r="AD696" s="49" t="s">
        <v>1385</v>
      </c>
      <c r="AE696" s="46"/>
    </row>
    <row r="697" spans="1:31" ht="15" thickBot="1">
      <c r="A697" s="34">
        <v>695</v>
      </c>
      <c r="B697" s="34" t="s">
        <v>253</v>
      </c>
      <c r="C697" s="41" t="s">
        <v>1356</v>
      </c>
      <c r="D697" s="34" t="s">
        <v>1235</v>
      </c>
      <c r="E697" s="80">
        <f t="shared" si="70"/>
        <v>1.8051820788209096</v>
      </c>
      <c r="F697" s="35">
        <f t="shared" si="71"/>
        <v>25.394220177587147</v>
      </c>
      <c r="G697" s="42" cm="1">
        <f t="array" ref="G69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25.19034270662581</v>
      </c>
      <c r="H697" s="81" cm="1">
        <f t="array" ref="H6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1.7960926529564463</v>
      </c>
      <c r="I697" s="81" cm="1">
        <f t="array" ref="I6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1.8051820788209096</v>
      </c>
      <c r="J697" s="81" cm="1">
        <f t="array" ref="J6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1.8126510210528501</v>
      </c>
      <c r="K697" s="81" cm="1">
        <f t="array" ref="K6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1.8277999498606277</v>
      </c>
      <c r="L697" s="81" cm="1">
        <f t="array" ref="L6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1.8473282802452353</v>
      </c>
      <c r="M697" s="37">
        <f t="shared" si="72"/>
        <v>3.1707296904181392E-2</v>
      </c>
      <c r="N697" s="43">
        <f t="shared" si="73"/>
        <v>9.0894258644633741E-3</v>
      </c>
      <c r="O697" s="43">
        <f t="shared" si="74"/>
        <v>1.9528330384607662E-2</v>
      </c>
      <c r="P697" s="43">
        <f t="shared" si="75"/>
        <v>0.28666669038144049</v>
      </c>
      <c r="Q697" s="37">
        <f t="shared" si="76"/>
        <v>0.61589388851474025</v>
      </c>
      <c r="R697" s="37">
        <v>1.4800000000000001E-2</v>
      </c>
      <c r="S697" s="44" t="s">
        <v>1393</v>
      </c>
      <c r="T697" s="45">
        <v>1.78922056</v>
      </c>
      <c r="U697" s="45">
        <v>0.32842744800000001</v>
      </c>
      <c r="V697" s="45">
        <v>2.0163944100000002</v>
      </c>
      <c r="W697" s="45">
        <v>1.3516353700000001E-2</v>
      </c>
      <c r="X697" s="45">
        <v>6.2272959900000001E-2</v>
      </c>
      <c r="Y697" s="45">
        <v>168.014713</v>
      </c>
      <c r="Z697" s="36">
        <v>3.37</v>
      </c>
      <c r="AA697" s="38">
        <v>585</v>
      </c>
      <c r="AB697" s="38"/>
      <c r="AC697" s="49" t="s">
        <v>506</v>
      </c>
      <c r="AD697" s="49" t="s">
        <v>1385</v>
      </c>
      <c r="AE697" s="46"/>
    </row>
    <row r="698" spans="1:31" ht="15" thickBot="1">
      <c r="A698" s="34">
        <v>696</v>
      </c>
      <c r="B698" s="34" t="s">
        <v>253</v>
      </c>
      <c r="C698" s="41" t="s">
        <v>1356</v>
      </c>
      <c r="D698" s="34" t="s">
        <v>1236</v>
      </c>
      <c r="E698" s="80">
        <f t="shared" si="70"/>
        <v>1.8466630254392751</v>
      </c>
      <c r="F698" s="35">
        <f t="shared" si="71"/>
        <v>23.622935394743621</v>
      </c>
      <c r="G698" s="42" cm="1">
        <f t="array" ref="G69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23.434381824414157</v>
      </c>
      <c r="H698" s="81" cm="1">
        <f t="array" ref="H6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1.836431962177306</v>
      </c>
      <c r="I698" s="81" cm="1">
        <f t="array" ref="I6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1.8466630254392751</v>
      </c>
      <c r="J698" s="81" cm="1">
        <f t="array" ref="J6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1.8550965361139553</v>
      </c>
      <c r="K698" s="81" cm="1">
        <f t="array" ref="K6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1.8722726827012959</v>
      </c>
      <c r="L698" s="81" cm="1">
        <f t="array" ref="L6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1.894560005412653</v>
      </c>
      <c r="M698" s="37">
        <f t="shared" si="72"/>
        <v>3.58407205239899E-2</v>
      </c>
      <c r="N698" s="43">
        <f t="shared" si="73"/>
        <v>1.0231063261969098E-2</v>
      </c>
      <c r="O698" s="43">
        <f t="shared" si="74"/>
        <v>2.2287322711357138E-2</v>
      </c>
      <c r="P698" s="43">
        <f t="shared" si="75"/>
        <v>0.28545919591993024</v>
      </c>
      <c r="Q698" s="37">
        <f t="shared" si="76"/>
        <v>0.62184360095213964</v>
      </c>
      <c r="R698" s="37">
        <v>1.77E-2</v>
      </c>
      <c r="S698" s="44" t="s">
        <v>1393</v>
      </c>
      <c r="T698" s="45">
        <v>1.88742326</v>
      </c>
      <c r="U698" s="45">
        <v>0.36053402499999998</v>
      </c>
      <c r="V698" s="45">
        <v>2.2618931299999998</v>
      </c>
      <c r="W698" s="45">
        <v>1.4593934100000001E-2</v>
      </c>
      <c r="X698" s="45">
        <v>6.4819894599999997E-2</v>
      </c>
      <c r="Y698" s="45">
        <v>176.06221099999999</v>
      </c>
      <c r="Z698" s="36">
        <v>3.55</v>
      </c>
      <c r="AA698" s="38">
        <v>598</v>
      </c>
      <c r="AB698" s="38">
        <v>700</v>
      </c>
      <c r="AC698" s="49" t="s">
        <v>506</v>
      </c>
      <c r="AD698" s="49" t="s">
        <v>1385</v>
      </c>
      <c r="AE698" s="46"/>
    </row>
    <row r="699" spans="1:31" ht="15" thickBot="1">
      <c r="A699" s="34">
        <v>697</v>
      </c>
      <c r="B699" s="34" t="s">
        <v>253</v>
      </c>
      <c r="C699" s="41" t="s">
        <v>1356</v>
      </c>
      <c r="D699" s="34" t="s">
        <v>1237</v>
      </c>
      <c r="E699" s="80">
        <f t="shared" si="70"/>
        <v>1.846662697928859</v>
      </c>
      <c r="F699" s="35">
        <f t="shared" si="71"/>
        <v>23.825885858538548</v>
      </c>
      <c r="G699" s="42" cm="1">
        <f t="array" ref="G69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23.641789843117362</v>
      </c>
      <c r="H699" s="81" cm="1">
        <f t="array" ref="H6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1.8365041671464852</v>
      </c>
      <c r="I699" s="81" cm="1">
        <f t="array" ref="I6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1.846662697928859</v>
      </c>
      <c r="J699" s="81" cm="1">
        <f t="array" ref="J6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1.8550359947369766</v>
      </c>
      <c r="K699" s="81" cm="1">
        <f t="array" ref="K6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1.872039580308277</v>
      </c>
      <c r="L699" s="81" cm="1">
        <f t="array" ref="L6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1.8939309153789674</v>
      </c>
      <c r="M699" s="37">
        <f t="shared" si="72"/>
        <v>3.5535413161791762E-2</v>
      </c>
      <c r="N699" s="43">
        <f t="shared" si="73"/>
        <v>1.015853078237372E-2</v>
      </c>
      <c r="O699" s="43">
        <f t="shared" si="74"/>
        <v>2.189133507069041E-2</v>
      </c>
      <c r="P699" s="43">
        <f t="shared" si="75"/>
        <v>0.28587062534273089</v>
      </c>
      <c r="Q699" s="37">
        <f t="shared" si="76"/>
        <v>0.6160427900759099</v>
      </c>
      <c r="R699" s="37">
        <v>1.23E-2</v>
      </c>
      <c r="S699" s="44" t="s">
        <v>1393</v>
      </c>
      <c r="T699" s="45">
        <v>1.8165137099999999</v>
      </c>
      <c r="U699" s="45">
        <v>0.42889364099999999</v>
      </c>
      <c r="V699" s="45">
        <v>1.07186278</v>
      </c>
      <c r="W699" s="45">
        <v>1.4370419799999999E-2</v>
      </c>
      <c r="X699" s="45">
        <v>5.9280117200000003E-2</v>
      </c>
      <c r="Y699" s="45">
        <v>121.41994200000001</v>
      </c>
      <c r="Z699" s="36">
        <v>5.51</v>
      </c>
      <c r="AA699" s="38">
        <v>414</v>
      </c>
      <c r="AB699" s="38">
        <v>507</v>
      </c>
      <c r="AC699" s="49" t="s">
        <v>506</v>
      </c>
      <c r="AD699" s="49" t="s">
        <v>1385</v>
      </c>
      <c r="AE699" s="46"/>
    </row>
    <row r="700" spans="1:31" ht="15" thickBot="1">
      <c r="A700" s="34">
        <v>698</v>
      </c>
      <c r="B700" s="34" t="s">
        <v>253</v>
      </c>
      <c r="C700" s="41" t="s">
        <v>1358</v>
      </c>
      <c r="D700" s="34" t="s">
        <v>1238</v>
      </c>
      <c r="E700" s="80">
        <f t="shared" si="70"/>
        <v>1.8502493027312386</v>
      </c>
      <c r="F700" s="35">
        <f t="shared" si="71"/>
        <v>32.170465730391278</v>
      </c>
      <c r="G700" s="42" cm="1">
        <f t="array" ref="G70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31.926777574264761</v>
      </c>
      <c r="H700" s="81" cm="1">
        <f t="array" ref="H7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1.8425539050068513</v>
      </c>
      <c r="I700" s="81" cm="1">
        <f t="array" ref="I7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1.8502493027312386</v>
      </c>
      <c r="J700" s="81" cm="1">
        <f t="array" ref="J7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1.8565014788261851</v>
      </c>
      <c r="K700" s="81" cm="1">
        <f t="array" ref="K7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1.8689834043450599</v>
      </c>
      <c r="L700" s="81" cm="1">
        <f t="array" ref="L7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1.8846685731443344</v>
      </c>
      <c r="M700" s="37">
        <f t="shared" si="72"/>
        <v>2.6429499338208595E-2</v>
      </c>
      <c r="N700" s="43">
        <f t="shared" si="73"/>
        <v>7.6953977243872096E-3</v>
      </c>
      <c r="O700" s="43">
        <f t="shared" si="74"/>
        <v>1.5685168799274507E-2</v>
      </c>
      <c r="P700" s="43">
        <f t="shared" si="75"/>
        <v>0.29116698829259047</v>
      </c>
      <c r="Q700" s="37">
        <f t="shared" si="76"/>
        <v>0.593472036626845</v>
      </c>
      <c r="R700" s="37">
        <v>3.7000000000000002E-3</v>
      </c>
      <c r="S700" s="44" t="s">
        <v>1393</v>
      </c>
      <c r="T700" s="45">
        <v>2.0002954700000002</v>
      </c>
      <c r="U700" s="45">
        <v>0.298926886</v>
      </c>
      <c r="V700" s="45">
        <v>1.8069184300000001</v>
      </c>
      <c r="W700" s="45">
        <v>1.21426017E-2</v>
      </c>
      <c r="X700" s="45">
        <v>5.3873623599999997E-2</v>
      </c>
      <c r="Y700" s="45">
        <v>156.53082900000001</v>
      </c>
      <c r="Z700" s="36">
        <v>4.41</v>
      </c>
      <c r="AA700" s="38">
        <v>683</v>
      </c>
      <c r="AB700" s="38">
        <v>817</v>
      </c>
      <c r="AC700" s="49" t="s">
        <v>506</v>
      </c>
      <c r="AD700" s="49" t="s">
        <v>1385</v>
      </c>
      <c r="AE700" s="46"/>
    </row>
    <row r="701" spans="1:31" ht="15" thickBot="1">
      <c r="A701" s="34">
        <v>699</v>
      </c>
      <c r="B701" s="34" t="s">
        <v>253</v>
      </c>
      <c r="C701" s="41" t="s">
        <v>1358</v>
      </c>
      <c r="D701" s="34" t="s">
        <v>1239</v>
      </c>
      <c r="E701" s="80">
        <f t="shared" si="70"/>
        <v>1.9036600690523828</v>
      </c>
      <c r="F701" s="35">
        <f t="shared" si="71"/>
        <v>31.320369107293526</v>
      </c>
      <c r="G701" s="42" cm="1">
        <f t="array" ref="G70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31.087765516618873</v>
      </c>
      <c r="H701" s="81" cm="1">
        <f t="array" ref="H7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1.8952582713166277</v>
      </c>
      <c r="I701" s="81" cm="1">
        <f t="array" ref="I7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1.9036600690523828</v>
      </c>
      <c r="J701" s="81" cm="1">
        <f t="array" ref="J7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1.9104812625004202</v>
      </c>
      <c r="K701" s="81" cm="1">
        <f t="array" ref="K7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1.9241104239191955</v>
      </c>
      <c r="L701" s="81" cm="1">
        <f t="array" ref="L7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1.9412887551153537</v>
      </c>
      <c r="M701" s="37">
        <f t="shared" si="72"/>
        <v>2.8852152602567793E-2</v>
      </c>
      <c r="N701" s="43">
        <f t="shared" si="73"/>
        <v>8.4017977357551121E-3</v>
      </c>
      <c r="O701" s="43">
        <f t="shared" si="74"/>
        <v>1.7178331196158192E-2</v>
      </c>
      <c r="P701" s="43">
        <f t="shared" si="75"/>
        <v>0.29120176409324017</v>
      </c>
      <c r="Q701" s="37">
        <f t="shared" si="76"/>
        <v>0.59539166566827839</v>
      </c>
      <c r="R701" s="37">
        <v>4.1999999999999997E-3</v>
      </c>
      <c r="S701" s="44" t="s">
        <v>1393</v>
      </c>
      <c r="T701" s="45">
        <v>2.1670156600000001</v>
      </c>
      <c r="U701" s="45">
        <v>0.319812761</v>
      </c>
      <c r="V701" s="45">
        <v>1.66004486</v>
      </c>
      <c r="W701" s="45">
        <v>1.2359552399999999E-2</v>
      </c>
      <c r="X701" s="45">
        <v>5.6061028200000002E-2</v>
      </c>
      <c r="Y701" s="45">
        <v>107.047718</v>
      </c>
      <c r="Z701" s="36">
        <v>4.4489999999999998</v>
      </c>
      <c r="AA701" s="38">
        <v>638</v>
      </c>
      <c r="AB701" s="38">
        <v>733</v>
      </c>
      <c r="AC701" s="49" t="s">
        <v>506</v>
      </c>
      <c r="AD701" s="49" t="s">
        <v>1385</v>
      </c>
      <c r="AE701" s="46"/>
    </row>
    <row r="702" spans="1:31" ht="15" thickBot="1">
      <c r="A702" s="34">
        <v>700</v>
      </c>
      <c r="B702" s="34" t="s">
        <v>253</v>
      </c>
      <c r="C702" s="41" t="s">
        <v>1355</v>
      </c>
      <c r="D702" s="34" t="s">
        <v>223</v>
      </c>
      <c r="E702" s="80">
        <f t="shared" si="70"/>
        <v>1.5084693280849817</v>
      </c>
      <c r="F702" s="35">
        <f t="shared" si="71"/>
        <v>61.188505411350576</v>
      </c>
      <c r="G702" s="42" cm="1">
        <f t="array" ref="G70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60.982408498999703</v>
      </c>
      <c r="H702" s="81" cm="1">
        <f t="array" ref="H7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1.5059186656228822</v>
      </c>
      <c r="I702" s="81" cm="1">
        <f t="array" ref="I7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1.5084693280849817</v>
      </c>
      <c r="J702" s="81" cm="1">
        <f t="array" ref="J7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1.5104519383027772</v>
      </c>
      <c r="K702" s="81" cm="1">
        <f t="array" ref="K7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1.5142285487400904</v>
      </c>
      <c r="L702" s="81" cm="1">
        <f t="array" ref="L7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1.5186911336223385</v>
      </c>
      <c r="M702" s="37">
        <f t="shared" si="72"/>
        <v>8.30988311720815E-3</v>
      </c>
      <c r="N702" s="43">
        <f t="shared" si="73"/>
        <v>2.5506624620994511E-3</v>
      </c>
      <c r="O702" s="43">
        <f t="shared" si="74"/>
        <v>4.4625848822481551E-3</v>
      </c>
      <c r="P702" s="43">
        <f t="shared" si="75"/>
        <v>0.3069432416946426</v>
      </c>
      <c r="Q702" s="37">
        <f t="shared" si="76"/>
        <v>0.53702137795500526</v>
      </c>
      <c r="R702" s="37">
        <v>-3.8999999999999998E-3</v>
      </c>
      <c r="S702" s="44" t="s">
        <v>1393</v>
      </c>
      <c r="T702" s="45">
        <v>1.0771503200000001</v>
      </c>
      <c r="U702" s="45">
        <v>0.168079109</v>
      </c>
      <c r="V702" s="45">
        <v>0.85188989199999998</v>
      </c>
      <c r="W702" s="45">
        <v>6.76601657E-3</v>
      </c>
      <c r="X702" s="45">
        <v>2.3064281700000001E-2</v>
      </c>
      <c r="Y702" s="45">
        <v>89.049877800000004</v>
      </c>
      <c r="Z702" s="36">
        <v>2.4900000000000002</v>
      </c>
      <c r="AA702" s="38">
        <v>539</v>
      </c>
      <c r="AB702" s="38">
        <v>721</v>
      </c>
      <c r="AC702" s="49" t="s">
        <v>506</v>
      </c>
      <c r="AD702" s="49" t="s">
        <v>1385</v>
      </c>
      <c r="AE702" s="46"/>
    </row>
    <row r="703" spans="1:31" ht="15" thickBot="1">
      <c r="A703" s="34">
        <v>701</v>
      </c>
      <c r="B703" s="34" t="s">
        <v>253</v>
      </c>
      <c r="C703" s="41" t="s">
        <v>1355</v>
      </c>
      <c r="D703" s="34" t="s">
        <v>180</v>
      </c>
      <c r="E703" s="80">
        <f t="shared" si="70"/>
        <v>1.5111209584188627</v>
      </c>
      <c r="F703" s="35">
        <f t="shared" si="71"/>
        <v>60.40691255611619</v>
      </c>
      <c r="G703" s="42" cm="1">
        <f t="array" ref="G70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60.150943200384496</v>
      </c>
      <c r="H703" s="81" cm="1">
        <f t="array" ref="H7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1.5085408201387001</v>
      </c>
      <c r="I703" s="81" cm="1">
        <f t="array" ref="I7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1.5111209584188627</v>
      </c>
      <c r="J703" s="81" cm="1">
        <f t="array" ref="J7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1.5131387778957901</v>
      </c>
      <c r="K703" s="81" cm="1">
        <f t="array" ref="K7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1.5170021192978658</v>
      </c>
      <c r="L703" s="81" cm="1">
        <f t="array" ref="L7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1.5215903334529421</v>
      </c>
      <c r="M703" s="37">
        <f t="shared" si="72"/>
        <v>8.4612991591657138E-3</v>
      </c>
      <c r="N703" s="43">
        <f t="shared" si="73"/>
        <v>2.5801382801626804E-3</v>
      </c>
      <c r="O703" s="43">
        <f t="shared" si="74"/>
        <v>4.5882141550763755E-3</v>
      </c>
      <c r="P703" s="43">
        <f t="shared" si="75"/>
        <v>0.3049340570079882</v>
      </c>
      <c r="Q703" s="37">
        <f t="shared" si="76"/>
        <v>0.54225882677912252</v>
      </c>
      <c r="R703" s="37">
        <v>0</v>
      </c>
      <c r="S703" s="44" t="s">
        <v>1393</v>
      </c>
      <c r="T703" s="45">
        <v>1.1273555</v>
      </c>
      <c r="U703" s="45">
        <v>0.124412303</v>
      </c>
      <c r="V703" s="45">
        <v>0.82710053100000003</v>
      </c>
      <c r="W703" s="45">
        <v>7.2034170699999999E-3</v>
      </c>
      <c r="X703" s="45">
        <v>2.6983591599999999E-2</v>
      </c>
      <c r="Y703" s="45">
        <v>100.38458799999999</v>
      </c>
      <c r="Z703" s="36">
        <v>2.5299999999999998</v>
      </c>
      <c r="AA703" s="38">
        <v>513</v>
      </c>
      <c r="AB703" s="38">
        <v>712</v>
      </c>
      <c r="AC703" s="49" t="s">
        <v>506</v>
      </c>
      <c r="AD703" s="49" t="s">
        <v>1385</v>
      </c>
      <c r="AE703" s="46"/>
    </row>
    <row r="704" spans="1:31" ht="15" thickBot="1">
      <c r="A704" s="34">
        <v>702</v>
      </c>
      <c r="B704" s="34" t="s">
        <v>253</v>
      </c>
      <c r="C704" s="41" t="s">
        <v>1355</v>
      </c>
      <c r="D704" s="34" t="s">
        <v>225</v>
      </c>
      <c r="E704" s="80">
        <f t="shared" si="70"/>
        <v>1.5164002294580097</v>
      </c>
      <c r="F704" s="35">
        <f t="shared" si="71"/>
        <v>64.060768161562351</v>
      </c>
      <c r="G704" s="42" cm="1">
        <f t="array" ref="G70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63.871470805404968</v>
      </c>
      <c r="H704" s="81" cm="1">
        <f t="array" ref="H7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1.5139156879340117</v>
      </c>
      <c r="I704" s="81" cm="1">
        <f t="array" ref="I7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1.5164002294580097</v>
      </c>
      <c r="J704" s="81" cm="1">
        <f t="array" ref="J7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1.5183241953318853</v>
      </c>
      <c r="K704" s="81" cm="1">
        <f t="array" ref="K7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1.5219767874849199</v>
      </c>
      <c r="L704" s="81" cm="1">
        <f t="array" ref="L7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1.5262777009406492</v>
      </c>
      <c r="M704" s="37">
        <f t="shared" si="72"/>
        <v>8.0610995509082795E-3</v>
      </c>
      <c r="N704" s="43">
        <f t="shared" si="73"/>
        <v>2.4845415239980184E-3</v>
      </c>
      <c r="O704" s="43">
        <f t="shared" si="74"/>
        <v>4.3009134557292494E-3</v>
      </c>
      <c r="P704" s="43">
        <f t="shared" si="75"/>
        <v>0.30821372547347764</v>
      </c>
      <c r="Q704" s="37">
        <f t="shared" si="76"/>
        <v>0.5335393054716272</v>
      </c>
      <c r="R704" s="37">
        <v>-2.5000000000000001E-3</v>
      </c>
      <c r="S704" s="44" t="s">
        <v>1393</v>
      </c>
      <c r="T704" s="45">
        <v>1.18318503</v>
      </c>
      <c r="U704" s="45">
        <v>8.7175642600000006E-2</v>
      </c>
      <c r="V704" s="45">
        <v>1.0313370100000001</v>
      </c>
      <c r="W704" s="45">
        <v>7.2214195600000001E-3</v>
      </c>
      <c r="X704" s="45">
        <v>2.68216805E-2</v>
      </c>
      <c r="Y704" s="45">
        <v>101.70236199999999</v>
      </c>
      <c r="Z704" s="36">
        <v>2.4329999999999998</v>
      </c>
      <c r="AA704" s="38">
        <v>498</v>
      </c>
      <c r="AB704" s="38">
        <v>657</v>
      </c>
      <c r="AC704" s="39" t="s">
        <v>508</v>
      </c>
      <c r="AD704" s="49" t="s">
        <v>1385</v>
      </c>
      <c r="AE704" s="46"/>
    </row>
    <row r="705" spans="1:31" ht="15" thickBot="1">
      <c r="A705" s="34">
        <v>703</v>
      </c>
      <c r="B705" s="34" t="s">
        <v>253</v>
      </c>
      <c r="C705" s="41" t="s">
        <v>1358</v>
      </c>
      <c r="D705" s="34" t="s">
        <v>1240</v>
      </c>
      <c r="E705" s="80">
        <f t="shared" si="70"/>
        <v>1.8085998927843401</v>
      </c>
      <c r="F705" s="35">
        <f t="shared" si="71"/>
        <v>40.460981814405685</v>
      </c>
      <c r="G705" s="42" cm="1">
        <f t="array" ref="G70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40.219881226185009</v>
      </c>
      <c r="H705" s="81" cm="1">
        <f t="array" ref="H7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1.8026573958364569</v>
      </c>
      <c r="I705" s="81" cm="1">
        <f t="array" ref="I7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1.8085998927843401</v>
      </c>
      <c r="J705" s="81" cm="1">
        <f t="array" ref="J7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1.8133478542544252</v>
      </c>
      <c r="K705" s="81" cm="1">
        <f t="array" ref="K7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1.8226420787710773</v>
      </c>
      <c r="L705" s="81" cm="1">
        <f t="array" ref="L7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1.8339934583947395</v>
      </c>
      <c r="M705" s="37">
        <f t="shared" si="72"/>
        <v>1.9984682934620412E-2</v>
      </c>
      <c r="N705" s="43">
        <f t="shared" si="73"/>
        <v>5.9424969478831802E-3</v>
      </c>
      <c r="O705" s="43">
        <f t="shared" si="74"/>
        <v>1.1351379623662172E-2</v>
      </c>
      <c r="P705" s="43">
        <f t="shared" si="75"/>
        <v>0.29735257583640273</v>
      </c>
      <c r="Q705" s="37">
        <f t="shared" si="76"/>
        <v>0.56800398889479697</v>
      </c>
      <c r="R705" s="37">
        <v>-7.7999999999999996E-3</v>
      </c>
      <c r="S705" s="44" t="s">
        <v>1393</v>
      </c>
      <c r="T705" s="45">
        <v>1.8491055300000001</v>
      </c>
      <c r="U705" s="45">
        <v>0.32982867399999999</v>
      </c>
      <c r="V705" s="45">
        <v>1.3040090099999999</v>
      </c>
      <c r="W705" s="45">
        <v>9.9923475700000007E-3</v>
      </c>
      <c r="X705" s="45">
        <v>3.87437988E-2</v>
      </c>
      <c r="Y705" s="45">
        <v>95.896768100000003</v>
      </c>
      <c r="Z705" s="36">
        <v>4.5410000000000004</v>
      </c>
      <c r="AA705" s="38">
        <v>527</v>
      </c>
      <c r="AB705" s="38">
        <v>660</v>
      </c>
      <c r="AC705" s="39" t="s">
        <v>508</v>
      </c>
      <c r="AD705" s="49" t="s">
        <v>1385</v>
      </c>
      <c r="AE705" s="46"/>
    </row>
    <row r="706" spans="1:31" ht="15" thickBot="1">
      <c r="A706" s="34">
        <v>704</v>
      </c>
      <c r="B706" s="34" t="s">
        <v>253</v>
      </c>
      <c r="C706" s="41" t="s">
        <v>1358</v>
      </c>
      <c r="D706" s="34" t="s">
        <v>1241</v>
      </c>
      <c r="E706" s="80">
        <f t="shared" si="70"/>
        <v>1.8100000971154149</v>
      </c>
      <c r="F706" s="35">
        <f t="shared" si="71"/>
        <v>40.925512135536735</v>
      </c>
      <c r="G706" s="42" cm="1">
        <f t="array" ref="G70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40.68351706196141</v>
      </c>
      <c r="H706" s="81" cm="1">
        <f t="array" ref="H7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1.8041106104492683</v>
      </c>
      <c r="I706" s="81" cm="1">
        <f t="array" ref="I7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1.8100000971154149</v>
      </c>
      <c r="J706" s="81" cm="1">
        <f t="array" ref="J7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1.8147031731809742</v>
      </c>
      <c r="K706" s="81" cm="1">
        <f t="array" ref="K7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1.8239026681377064</v>
      </c>
      <c r="L706" s="81" cm="1">
        <f t="array" ref="L7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1.8351250390781928</v>
      </c>
      <c r="M706" s="37">
        <f t="shared" si="72"/>
        <v>1.9792057688438058E-2</v>
      </c>
      <c r="N706" s="43">
        <f t="shared" si="73"/>
        <v>5.8894866661465262E-3</v>
      </c>
      <c r="O706" s="43">
        <f t="shared" si="74"/>
        <v>1.1222370940486392E-2</v>
      </c>
      <c r="P706" s="43">
        <f t="shared" si="75"/>
        <v>0.29756818410988123</v>
      </c>
      <c r="Q706" s="37">
        <f t="shared" si="76"/>
        <v>0.56701385561553685</v>
      </c>
      <c r="R706" s="37">
        <v>-8.0000000000000002E-3</v>
      </c>
      <c r="S706" s="44" t="s">
        <v>1393</v>
      </c>
      <c r="T706" s="45">
        <v>1.8456880600000001</v>
      </c>
      <c r="U706" s="45">
        <v>0.33900160000000001</v>
      </c>
      <c r="V706" s="45">
        <v>1.3241892099999999</v>
      </c>
      <c r="W706" s="45">
        <v>9.8849557100000006E-3</v>
      </c>
      <c r="X706" s="45">
        <v>3.7809740199999997E-2</v>
      </c>
      <c r="Y706" s="45">
        <v>97.841543000000001</v>
      </c>
      <c r="Z706" s="36">
        <v>4.5789999999999997</v>
      </c>
      <c r="AA706" s="38">
        <v>526</v>
      </c>
      <c r="AB706" s="38">
        <v>629</v>
      </c>
      <c r="AC706" s="39" t="s">
        <v>508</v>
      </c>
      <c r="AD706" s="49" t="s">
        <v>1385</v>
      </c>
      <c r="AE706" s="46"/>
    </row>
    <row r="707" spans="1:31" ht="15" thickBot="1">
      <c r="A707" s="34">
        <v>705</v>
      </c>
      <c r="B707" s="34" t="s">
        <v>253</v>
      </c>
      <c r="C707" s="41" t="s">
        <v>1356</v>
      </c>
      <c r="D707" s="34" t="s">
        <v>228</v>
      </c>
      <c r="E707" s="80">
        <f t="shared" ref="E707:E770" si="77">I707</f>
        <v>1.6889301017229761</v>
      </c>
      <c r="F707" s="35">
        <f t="shared" ref="F707:F770" si="78">(I707-1)/M707</f>
        <v>31.250539092870103</v>
      </c>
      <c r="G707" s="42" cm="1">
        <f t="array" ref="G70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31.007652912151091</v>
      </c>
      <c r="H707" s="81" cm="1">
        <f t="array" ref="H7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1.6825248634047503</v>
      </c>
      <c r="I707" s="81" cm="1">
        <f t="array" ref="I7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1.6889301017229761</v>
      </c>
      <c r="J707" s="81" cm="1">
        <f t="array" ref="J7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1.6941381546826759</v>
      </c>
      <c r="K707" s="81" cm="1">
        <f t="array" ref="K7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1.7045702463556049</v>
      </c>
      <c r="L707" s="81" cm="1">
        <f t="array" ref="L7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1.7177790312623715</v>
      </c>
      <c r="M707" s="37">
        <f t="shared" ref="M707:M770" si="79">K707-H707</f>
        <v>2.2045382950854675E-2</v>
      </c>
      <c r="N707" s="43">
        <f t="shared" ref="N707:N770" si="80">I707-H707</f>
        <v>6.4052383182258144E-3</v>
      </c>
      <c r="O707" s="43">
        <f t="shared" ref="O707:O770" si="81">L707-K707</f>
        <v>1.320878490676658E-2</v>
      </c>
      <c r="P707" s="43">
        <f t="shared" ref="P707:P770" si="82">(I707-H707)/M707</f>
        <v>0.29054783636577702</v>
      </c>
      <c r="Q707" s="37">
        <f t="shared" ref="Q707:Q770" si="83">(L707-K707)/M707</f>
        <v>0.59916332305102871</v>
      </c>
      <c r="R707" s="37">
        <v>7.9000000000000008E-3</v>
      </c>
      <c r="S707" s="44" t="s">
        <v>1393</v>
      </c>
      <c r="T707" s="45">
        <v>1.55370411</v>
      </c>
      <c r="U707" s="45">
        <v>0.206332561</v>
      </c>
      <c r="V707" s="45">
        <v>1.39708831</v>
      </c>
      <c r="W707" s="45">
        <v>1.1658267E-2</v>
      </c>
      <c r="X707" s="45">
        <v>5.82087757E-2</v>
      </c>
      <c r="Y707" s="45">
        <v>130.74802800000001</v>
      </c>
      <c r="Z707" s="36">
        <v>2.8980000000000001</v>
      </c>
      <c r="AA707" s="38">
        <v>524</v>
      </c>
      <c r="AB707" s="38">
        <v>629</v>
      </c>
      <c r="AC707" s="39" t="s">
        <v>508</v>
      </c>
      <c r="AD707" s="49" t="s">
        <v>1385</v>
      </c>
      <c r="AE707" s="46"/>
    </row>
    <row r="708" spans="1:31" ht="15" thickBot="1">
      <c r="A708" s="34">
        <v>706</v>
      </c>
      <c r="B708" s="34" t="s">
        <v>253</v>
      </c>
      <c r="C708" s="41" t="s">
        <v>1355</v>
      </c>
      <c r="D708" s="34" t="s">
        <v>231</v>
      </c>
      <c r="E708" s="80">
        <f t="shared" si="77"/>
        <v>1.5891299336803613</v>
      </c>
      <c r="F708" s="35">
        <f t="shared" si="78"/>
        <v>61.150500324776743</v>
      </c>
      <c r="G708" s="42" cm="1">
        <f t="array" ref="G70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60.925445511622115</v>
      </c>
      <c r="H708" s="81" cm="1">
        <f t="array" ref="H7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1.5861795653443258</v>
      </c>
      <c r="I708" s="81" cm="1">
        <f t="array" ref="I7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1.5891299336803613</v>
      </c>
      <c r="J708" s="81" cm="1">
        <f t="array" ref="J7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1.5914282860161055</v>
      </c>
      <c r="K708" s="81" cm="1">
        <f t="array" ref="K7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1.5958136636845099</v>
      </c>
      <c r="L708" s="81" cm="1">
        <f t="array" ref="L7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1.6010029871138844</v>
      </c>
      <c r="M708" s="37">
        <f t="shared" si="79"/>
        <v>9.6340983401841385E-3</v>
      </c>
      <c r="N708" s="43">
        <f t="shared" si="80"/>
        <v>2.9503683360354582E-3</v>
      </c>
      <c r="O708" s="43">
        <f t="shared" si="81"/>
        <v>5.1893234293745039E-3</v>
      </c>
      <c r="P708" s="43">
        <f t="shared" si="82"/>
        <v>0.30624228981858903</v>
      </c>
      <c r="Q708" s="37">
        <f t="shared" si="83"/>
        <v>0.53864131817397654</v>
      </c>
      <c r="R708" s="37">
        <v>-2.3E-3</v>
      </c>
      <c r="S708" s="44" t="s">
        <v>1393</v>
      </c>
      <c r="T708" s="45">
        <v>1.3167841</v>
      </c>
      <c r="U708" s="45">
        <v>0.17115475599999999</v>
      </c>
      <c r="V708" s="45">
        <v>1.12501473</v>
      </c>
      <c r="W708" s="45">
        <v>7.2071749799999998E-3</v>
      </c>
      <c r="X708" s="45">
        <v>2.4565959500000002E-2</v>
      </c>
      <c r="Y708" s="45">
        <v>102.739728</v>
      </c>
      <c r="Z708" s="36">
        <v>2.9710000000000001</v>
      </c>
      <c r="AA708" s="38">
        <v>510</v>
      </c>
      <c r="AB708" s="38">
        <v>608</v>
      </c>
      <c r="AC708" s="39" t="s">
        <v>508</v>
      </c>
      <c r="AD708" s="49" t="s">
        <v>1385</v>
      </c>
      <c r="AE708" s="46"/>
    </row>
    <row r="709" spans="1:31" ht="15" thickBot="1">
      <c r="A709" s="34">
        <v>707</v>
      </c>
      <c r="B709" s="34" t="s">
        <v>253</v>
      </c>
      <c r="C709" s="41" t="s">
        <v>1366</v>
      </c>
      <c r="D709" s="34" t="s">
        <v>1242</v>
      </c>
      <c r="E709" s="80">
        <f t="shared" si="77"/>
        <v>1.5268995504009464</v>
      </c>
      <c r="F709" s="35">
        <f t="shared" si="78"/>
        <v>66.220736957821046</v>
      </c>
      <c r="G709" s="42" cm="1">
        <f t="array" ref="G70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65.919226252371502</v>
      </c>
      <c r="H709" s="81" cm="1">
        <f t="array" ref="H7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1.5244735855926186</v>
      </c>
      <c r="I709" s="81" cm="1">
        <f t="array" ref="I7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1.5268995504009464</v>
      </c>
      <c r="J709" s="81" cm="1">
        <f t="array" ref="J7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1.5287979637533891</v>
      </c>
      <c r="K709" s="81" cm="1">
        <f t="array" ref="K7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1.5324303008846358</v>
      </c>
      <c r="L709" s="81" cm="1">
        <f t="array" ref="L7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1.5367339497522221</v>
      </c>
      <c r="M709" s="37">
        <f t="shared" si="79"/>
        <v>7.9567152920172468E-3</v>
      </c>
      <c r="N709" s="43">
        <f t="shared" si="80"/>
        <v>2.4259648083277963E-3</v>
      </c>
      <c r="O709" s="43">
        <f t="shared" si="81"/>
        <v>4.3036488675862739E-3</v>
      </c>
      <c r="P709" s="43">
        <f t="shared" si="82"/>
        <v>0.30489526384860094</v>
      </c>
      <c r="Q709" s="37">
        <f t="shared" si="83"/>
        <v>0.54088260163135482</v>
      </c>
      <c r="R709" s="37">
        <v>8.3999999999999995E-3</v>
      </c>
      <c r="S709" s="44" t="s">
        <v>1393</v>
      </c>
      <c r="T709" s="45">
        <v>0.96031676700000002</v>
      </c>
      <c r="U709" s="45">
        <v>0.34043722700000001</v>
      </c>
      <c r="V709" s="45">
        <v>0.77786559499999997</v>
      </c>
      <c r="W709" s="45">
        <v>5.31032986E-3</v>
      </c>
      <c r="X709" s="45">
        <v>1.75073434E-2</v>
      </c>
      <c r="Y709" s="45">
        <v>106.87533000000001</v>
      </c>
      <c r="Z709" s="36">
        <v>2.827</v>
      </c>
      <c r="AA709" s="38">
        <v>383</v>
      </c>
      <c r="AB709" s="38">
        <v>453</v>
      </c>
      <c r="AC709" s="39" t="s">
        <v>508</v>
      </c>
      <c r="AD709" s="49" t="s">
        <v>1385</v>
      </c>
      <c r="AE709" s="46"/>
    </row>
    <row r="710" spans="1:31" ht="15" thickBot="1">
      <c r="A710" s="34">
        <v>708</v>
      </c>
      <c r="B710" s="34" t="s">
        <v>253</v>
      </c>
      <c r="C710" s="41" t="s">
        <v>1355</v>
      </c>
      <c r="D710" s="34" t="s">
        <v>230</v>
      </c>
      <c r="E710" s="80">
        <f t="shared" si="77"/>
        <v>1.5859998664252579</v>
      </c>
      <c r="F710" s="35">
        <f t="shared" si="78"/>
        <v>59.500727914651264</v>
      </c>
      <c r="G710" s="42" cm="1">
        <f t="array" ref="G71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59.260386119154653</v>
      </c>
      <c r="H710" s="81" cm="1">
        <f t="array" ref="H7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1.5829937579058748</v>
      </c>
      <c r="I710" s="81" cm="1">
        <f t="array" ref="I7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1.5859998664252579</v>
      </c>
      <c r="J710" s="81" cm="1">
        <f t="array" ref="J7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1.5883487410149764</v>
      </c>
      <c r="K710" s="81" cm="1">
        <f t="array" ref="K7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1.5928423746701239</v>
      </c>
      <c r="L710" s="81" cm="1">
        <f t="array" ref="L7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1.5981744634637305</v>
      </c>
      <c r="M710" s="37">
        <f t="shared" si="79"/>
        <v>9.8486167642490852E-3</v>
      </c>
      <c r="N710" s="43">
        <f t="shared" si="80"/>
        <v>3.0061085193830994E-3</v>
      </c>
      <c r="O710" s="43">
        <f t="shared" si="81"/>
        <v>5.3320887936065819E-3</v>
      </c>
      <c r="P710" s="43">
        <f t="shared" si="82"/>
        <v>0.30523154584463136</v>
      </c>
      <c r="Q710" s="37">
        <f t="shared" si="83"/>
        <v>0.54140484102928044</v>
      </c>
      <c r="R710" s="37">
        <v>-2.3999999999999998E-3</v>
      </c>
      <c r="S710" s="44" t="s">
        <v>1393</v>
      </c>
      <c r="T710" s="45">
        <v>1.30536483</v>
      </c>
      <c r="U710" s="45">
        <v>0.171434328</v>
      </c>
      <c r="V710" s="45">
        <v>1.10117219</v>
      </c>
      <c r="W710" s="45">
        <v>7.36408831E-3</v>
      </c>
      <c r="X710" s="45">
        <v>2.55786047E-2</v>
      </c>
      <c r="Y710" s="45">
        <v>106.72606</v>
      </c>
      <c r="Z710" s="36">
        <v>3.012</v>
      </c>
      <c r="AA710" s="38">
        <v>493</v>
      </c>
      <c r="AB710" s="38">
        <v>593</v>
      </c>
      <c r="AC710" s="39" t="s">
        <v>508</v>
      </c>
      <c r="AD710" s="49" t="s">
        <v>1385</v>
      </c>
      <c r="AE710" s="46"/>
    </row>
    <row r="711" spans="1:31" ht="15" thickBot="1">
      <c r="A711" s="34">
        <v>709</v>
      </c>
      <c r="B711" s="34" t="s">
        <v>253</v>
      </c>
      <c r="C711" s="41" t="s">
        <v>1356</v>
      </c>
      <c r="D711" s="34" t="s">
        <v>1243</v>
      </c>
      <c r="E711" s="80">
        <f t="shared" si="77"/>
        <v>1.9068001599988309</v>
      </c>
      <c r="F711" s="35">
        <f t="shared" si="78"/>
        <v>21.400271320498678</v>
      </c>
      <c r="G711" s="42" cm="1">
        <f t="array" ref="G71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21.225650708432301</v>
      </c>
      <c r="H711" s="81" cm="1">
        <f t="array" ref="H7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1.8947982266763133</v>
      </c>
      <c r="I711" s="81" cm="1">
        <f t="array" ref="I7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1.9068001599988309</v>
      </c>
      <c r="J711" s="81" cm="1">
        <f t="array" ref="J7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1.9167483468381725</v>
      </c>
      <c r="K711" s="81" cm="1">
        <f t="array" ref="K7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1.9371715286975</v>
      </c>
      <c r="L711" s="81" cm="1">
        <f t="array" ref="L7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1.9640138127280071</v>
      </c>
      <c r="M711" s="37">
        <f t="shared" si="79"/>
        <v>4.2373302021186721E-2</v>
      </c>
      <c r="N711" s="43">
        <f t="shared" si="80"/>
        <v>1.2001933322517644E-2</v>
      </c>
      <c r="O711" s="43">
        <f t="shared" si="81"/>
        <v>2.6842284030507146E-2</v>
      </c>
      <c r="P711" s="43">
        <f t="shared" si="82"/>
        <v>0.28324281446172539</v>
      </c>
      <c r="Q711" s="37">
        <f t="shared" si="83"/>
        <v>0.63347161420382014</v>
      </c>
      <c r="R711" s="37">
        <v>2.5600000000000001E-2</v>
      </c>
      <c r="S711" s="44" t="s">
        <v>1393</v>
      </c>
      <c r="T711" s="45">
        <v>1.97464225</v>
      </c>
      <c r="U711" s="45">
        <v>0.46709592100000003</v>
      </c>
      <c r="V711" s="45">
        <v>2.4315420900000002</v>
      </c>
      <c r="W711" s="45">
        <v>1.4577232400000001E-2</v>
      </c>
      <c r="X711" s="45">
        <v>6.6979035899999997E-2</v>
      </c>
      <c r="Y711" s="45">
        <v>157.444895</v>
      </c>
      <c r="Z711" s="36">
        <v>4.2359999999999998</v>
      </c>
      <c r="AA711" s="38">
        <v>539</v>
      </c>
      <c r="AB711" s="38">
        <v>663</v>
      </c>
      <c r="AC711" s="39" t="s">
        <v>508</v>
      </c>
      <c r="AD711" s="49" t="s">
        <v>1385</v>
      </c>
      <c r="AE711" s="46"/>
    </row>
    <row r="712" spans="1:31" ht="15" thickBot="1">
      <c r="A712" s="34">
        <v>710</v>
      </c>
      <c r="B712" s="34" t="s">
        <v>253</v>
      </c>
      <c r="C712" s="41" t="s">
        <v>1358</v>
      </c>
      <c r="D712" s="34" t="s">
        <v>1244</v>
      </c>
      <c r="E712" s="80">
        <f t="shared" si="77"/>
        <v>1.7495018440499093</v>
      </c>
      <c r="F712" s="35">
        <f t="shared" si="78"/>
        <v>34.951002911482824</v>
      </c>
      <c r="G712" s="42" cm="1">
        <f t="array" ref="G71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34.716797610786429</v>
      </c>
      <c r="H712" s="81" cm="1">
        <f t="array" ref="H7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1.7431940725782598</v>
      </c>
      <c r="I712" s="81" cm="1">
        <f t="array" ref="I7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1.7495018440499093</v>
      </c>
      <c r="J712" s="81" cm="1">
        <f t="array" ref="J7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1.754582749405297</v>
      </c>
      <c r="K712" s="81" cm="1">
        <f t="array" ref="K7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1.7646384312980397</v>
      </c>
      <c r="L712" s="81" cm="1">
        <f t="array" ref="L7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1.7771314607549806</v>
      </c>
      <c r="M712" s="37">
        <f t="shared" si="79"/>
        <v>2.1444358719779899E-2</v>
      </c>
      <c r="N712" s="43">
        <f t="shared" si="80"/>
        <v>6.3077714716495148E-3</v>
      </c>
      <c r="O712" s="43">
        <f t="shared" si="81"/>
        <v>1.2493029456940974E-2</v>
      </c>
      <c r="P712" s="43">
        <f t="shared" si="82"/>
        <v>0.29414595950735228</v>
      </c>
      <c r="Q712" s="37">
        <f t="shared" si="83"/>
        <v>0.58257883204582017</v>
      </c>
      <c r="R712" s="37">
        <v>-2.5000000000000001E-3</v>
      </c>
      <c r="S712" s="44" t="s">
        <v>1393</v>
      </c>
      <c r="T712" s="45">
        <v>1.6684261499999999</v>
      </c>
      <c r="U712" s="45">
        <v>0.29851280299999999</v>
      </c>
      <c r="V712" s="45">
        <v>1.0774376000000001</v>
      </c>
      <c r="W712" s="45">
        <v>1.0315999899999999E-2</v>
      </c>
      <c r="X712" s="45">
        <v>4.6921634800000001E-2</v>
      </c>
      <c r="Y712" s="45">
        <v>82.507850899999994</v>
      </c>
      <c r="Z712" s="36">
        <v>4.38</v>
      </c>
      <c r="AA712" s="38">
        <v>500</v>
      </c>
      <c r="AB712" s="38">
        <v>573</v>
      </c>
      <c r="AC712" s="49" t="s">
        <v>506</v>
      </c>
      <c r="AD712" s="49" t="s">
        <v>1385</v>
      </c>
      <c r="AE712" s="46" t="s">
        <v>289</v>
      </c>
    </row>
    <row r="713" spans="1:31" ht="15" thickBot="1">
      <c r="A713" s="34">
        <v>711</v>
      </c>
      <c r="B713" s="34" t="s">
        <v>253</v>
      </c>
      <c r="C713" s="41" t="s">
        <v>1356</v>
      </c>
      <c r="D713" s="34" t="s">
        <v>1245</v>
      </c>
      <c r="E713" s="80">
        <f t="shared" si="77"/>
        <v>1.5839698922514709</v>
      </c>
      <c r="F713" s="35">
        <f t="shared" si="78"/>
        <v>40.833745559670909</v>
      </c>
      <c r="G713" s="42" cm="1">
        <f t="array" ref="G71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40.552289096143809</v>
      </c>
      <c r="H713" s="81" cm="1">
        <f t="array" ref="H7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1.5797416074534609</v>
      </c>
      <c r="I713" s="81" cm="1">
        <f t="array" ref="I7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1.5839698922514709</v>
      </c>
      <c r="J713" s="81" cm="1">
        <f t="array" ref="J7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1.5873625685023367</v>
      </c>
      <c r="K713" s="81" cm="1">
        <f t="array" ref="K7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1.5940427665621228</v>
      </c>
      <c r="L713" s="81" cm="1">
        <f t="array" ref="L7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1.6022792895600293</v>
      </c>
      <c r="M713" s="37">
        <f t="shared" si="79"/>
        <v>1.4301159108661921E-2</v>
      </c>
      <c r="N713" s="43">
        <f t="shared" si="80"/>
        <v>4.2282847980099625E-3</v>
      </c>
      <c r="O713" s="43">
        <f t="shared" si="81"/>
        <v>8.236522997906448E-3</v>
      </c>
      <c r="P713" s="43">
        <f t="shared" si="82"/>
        <v>0.29566028640636383</v>
      </c>
      <c r="Q713" s="37">
        <f t="shared" si="83"/>
        <v>0.57593394600566006</v>
      </c>
      <c r="R713" s="37">
        <v>8.0000000000000004E-4</v>
      </c>
      <c r="S713" s="44" t="s">
        <v>1393</v>
      </c>
      <c r="T713" s="45">
        <v>1.28887331</v>
      </c>
      <c r="U713" s="45">
        <v>0.16281881100000001</v>
      </c>
      <c r="V713" s="45">
        <v>10.5579792</v>
      </c>
      <c r="W713" s="45">
        <v>9.2001566000000003E-3</v>
      </c>
      <c r="X713" s="45">
        <v>4.5695430799999999E-2</v>
      </c>
      <c r="Y713" s="45">
        <v>1275.4401499999999</v>
      </c>
      <c r="Z713" s="36">
        <v>3.2210000000000001</v>
      </c>
      <c r="AA713" s="38">
        <v>407</v>
      </c>
      <c r="AB713" s="38">
        <v>578</v>
      </c>
      <c r="AC713" s="49" t="s">
        <v>506</v>
      </c>
      <c r="AD713" s="49" t="s">
        <v>1385</v>
      </c>
      <c r="AE713" s="46" t="s">
        <v>1218</v>
      </c>
    </row>
    <row r="714" spans="1:31" ht="15" thickBot="1">
      <c r="A714" s="34">
        <v>712</v>
      </c>
      <c r="B714" s="34" t="s">
        <v>253</v>
      </c>
      <c r="C714" s="41" t="s">
        <v>1358</v>
      </c>
      <c r="D714" s="34" t="s">
        <v>1246</v>
      </c>
      <c r="E714" s="80">
        <f t="shared" si="77"/>
        <v>1.7432997789411881</v>
      </c>
      <c r="F714" s="35">
        <f t="shared" si="78"/>
        <v>49.399960005801525</v>
      </c>
      <c r="G714" s="42" cm="1">
        <f t="array" ref="G71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49.157688040430173</v>
      </c>
      <c r="H714" s="81" cm="1">
        <f t="array" ref="H7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1.7387606248785015</v>
      </c>
      <c r="I714" s="81" cm="1">
        <f t="array" ref="I7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1.7432997789411881</v>
      </c>
      <c r="J714" s="81" cm="1">
        <f t="array" ref="J7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1.7468832275882622</v>
      </c>
      <c r="K714" s="81" cm="1">
        <f t="array" ref="K7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1.7538071912897677</v>
      </c>
      <c r="L714" s="81" cm="1">
        <f t="array" ref="L7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1.7621183089723067</v>
      </c>
      <c r="M714" s="37">
        <f t="shared" si="79"/>
        <v>1.5046566411266227E-2</v>
      </c>
      <c r="N714" s="43">
        <f t="shared" si="80"/>
        <v>4.5391540626866789E-3</v>
      </c>
      <c r="O714" s="43">
        <f t="shared" si="81"/>
        <v>8.3111176825390043E-3</v>
      </c>
      <c r="P714" s="43">
        <f t="shared" si="82"/>
        <v>0.30167374659563223</v>
      </c>
      <c r="Q714" s="37">
        <f t="shared" si="83"/>
        <v>0.55235975141252125</v>
      </c>
      <c r="R714" s="37">
        <v>-8.3999999999999995E-3</v>
      </c>
      <c r="S714" s="44" t="s">
        <v>1393</v>
      </c>
      <c r="T714" s="45">
        <v>1.5169743600000001</v>
      </c>
      <c r="U714" s="45">
        <v>0.45587546400000001</v>
      </c>
      <c r="V714" s="45">
        <v>1.0746924200000001</v>
      </c>
      <c r="W714" s="45">
        <v>7.5094320299999998E-3</v>
      </c>
      <c r="X714" s="45">
        <v>2.60046715E-2</v>
      </c>
      <c r="Y714" s="45">
        <v>80.594515900000005</v>
      </c>
      <c r="Z714" s="36">
        <v>4.1150000000000002</v>
      </c>
      <c r="AA714" s="38">
        <v>589</v>
      </c>
      <c r="AB714" s="38">
        <v>669</v>
      </c>
      <c r="AC714" s="49" t="s">
        <v>506</v>
      </c>
      <c r="AD714" s="49" t="s">
        <v>1385</v>
      </c>
      <c r="AE714" s="46"/>
    </row>
    <row r="715" spans="1:31" ht="15" thickBot="1">
      <c r="A715" s="34">
        <v>713</v>
      </c>
      <c r="B715" s="34" t="s">
        <v>753</v>
      </c>
      <c r="C715" s="41" t="s">
        <v>1365</v>
      </c>
      <c r="D715" s="34" t="s">
        <v>1269</v>
      </c>
      <c r="E715" s="80">
        <f t="shared" si="77"/>
        <v>1.5502002944510718</v>
      </c>
      <c r="F715" s="35">
        <f t="shared" si="78"/>
        <v>75.225567370140425</v>
      </c>
      <c r="G715" s="42" cm="1">
        <f t="array" ref="G71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74.842373527050555</v>
      </c>
      <c r="H715" s="81" cm="1">
        <f t="array" ref="H7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1.5479726612403943</v>
      </c>
      <c r="I715" s="81" cm="1">
        <f t="array" ref="I7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1.5502002944510718</v>
      </c>
      <c r="J715" s="81" cm="1">
        <f t="array" ref="J7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1.5519459210803377</v>
      </c>
      <c r="K715" s="81" cm="1">
        <f t="array" ref="K7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1.5552866678166939</v>
      </c>
      <c r="L715" s="81" cm="1">
        <f t="array" ref="L7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1.5592405172618942</v>
      </c>
      <c r="M715" s="37">
        <f t="shared" si="79"/>
        <v>7.3140065762995476E-3</v>
      </c>
      <c r="N715" s="43">
        <f t="shared" si="80"/>
        <v>2.2276332106774266E-3</v>
      </c>
      <c r="O715" s="43">
        <f t="shared" si="81"/>
        <v>3.9538494452002748E-3</v>
      </c>
      <c r="P715" s="43">
        <f t="shared" si="82"/>
        <v>0.3045708514804859</v>
      </c>
      <c r="Q715" s="37">
        <f t="shared" si="83"/>
        <v>0.54058598443326633</v>
      </c>
      <c r="R715" s="37">
        <v>2.29E-2</v>
      </c>
      <c r="S715" s="44" t="s">
        <v>1393</v>
      </c>
      <c r="T715" s="45">
        <v>0.53493197400000003</v>
      </c>
      <c r="U715" s="45">
        <v>0.83905011500000004</v>
      </c>
      <c r="V715" s="45">
        <v>0.88651164699999996</v>
      </c>
      <c r="W715" s="45">
        <v>1.28059279E-3</v>
      </c>
      <c r="X715" s="45">
        <v>1.1644460400000001E-2</v>
      </c>
      <c r="Y715" s="45">
        <v>143.25223600000001</v>
      </c>
      <c r="Z715" s="36">
        <v>4.1100000000000003</v>
      </c>
      <c r="AA715" s="38">
        <v>554</v>
      </c>
      <c r="AB715" s="38">
        <v>624</v>
      </c>
      <c r="AC715" s="49" t="s">
        <v>506</v>
      </c>
      <c r="AD715" s="39" t="s">
        <v>1371</v>
      </c>
      <c r="AE715" s="48"/>
    </row>
    <row r="716" spans="1:31" ht="15" thickBot="1">
      <c r="A716" s="34">
        <v>714</v>
      </c>
      <c r="B716" s="34" t="s">
        <v>753</v>
      </c>
      <c r="C716" s="41" t="s">
        <v>1365</v>
      </c>
      <c r="D716" s="34" t="s">
        <v>512</v>
      </c>
      <c r="E716" s="80">
        <f t="shared" si="77"/>
        <v>1.4969999886705441</v>
      </c>
      <c r="F716" s="35">
        <f t="shared" si="78"/>
        <v>81.613796852856439</v>
      </c>
      <c r="G716" s="42" cm="1">
        <f t="array" ref="G71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81.211388461749877</v>
      </c>
      <c r="H716" s="81" cm="1">
        <f t="array" ref="H7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1.4951398857858538</v>
      </c>
      <c r="I716" s="81" cm="1">
        <f t="array" ref="I7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1.4969999886705441</v>
      </c>
      <c r="J716" s="81" cm="1">
        <f t="array" ref="J7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1.4984538304823083</v>
      </c>
      <c r="K716" s="81" cm="1">
        <f t="array" ref="K7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1.5012295422880086</v>
      </c>
      <c r="L716" s="81" cm="1">
        <f t="array" ref="L7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1.5045060895751377</v>
      </c>
      <c r="M716" s="37">
        <f t="shared" si="79"/>
        <v>6.0896565021548721E-3</v>
      </c>
      <c r="N716" s="43">
        <f t="shared" si="80"/>
        <v>1.8601028846902956E-3</v>
      </c>
      <c r="O716" s="43">
        <f t="shared" si="81"/>
        <v>3.2765472871290058E-3</v>
      </c>
      <c r="P716" s="43">
        <f t="shared" si="82"/>
        <v>0.30545284188559468</v>
      </c>
      <c r="Q716" s="37">
        <f t="shared" si="83"/>
        <v>0.53805124902686619</v>
      </c>
      <c r="R716" s="37">
        <v>3.1199999999999999E-2</v>
      </c>
      <c r="S716" s="44" t="s">
        <v>1393</v>
      </c>
      <c r="T716" s="45">
        <v>0.50250407600000002</v>
      </c>
      <c r="U716" s="45">
        <v>0.71524007599999995</v>
      </c>
      <c r="V716" s="45">
        <v>0.83662898600000002</v>
      </c>
      <c r="W716" s="45">
        <v>1.3274379800000001E-3</v>
      </c>
      <c r="X716" s="45">
        <v>1.0837896600000001E-2</v>
      </c>
      <c r="Y716" s="45">
        <v>155.93375499999999</v>
      </c>
      <c r="Z716" s="36">
        <v>3.7</v>
      </c>
      <c r="AA716" s="38">
        <v>461</v>
      </c>
      <c r="AB716" s="38">
        <v>533</v>
      </c>
      <c r="AC716" s="49" t="s">
        <v>506</v>
      </c>
      <c r="AD716" s="39" t="s">
        <v>1371</v>
      </c>
      <c r="AE716" s="48"/>
    </row>
    <row r="717" spans="1:31" ht="15" thickBot="1">
      <c r="A717" s="34">
        <v>715</v>
      </c>
      <c r="B717" s="34" t="s">
        <v>753</v>
      </c>
      <c r="C717" s="41" t="s">
        <v>1365</v>
      </c>
      <c r="D717" s="34" t="s">
        <v>688</v>
      </c>
      <c r="E717" s="80">
        <f t="shared" si="77"/>
        <v>1.4970001449410866</v>
      </c>
      <c r="F717" s="35">
        <f t="shared" si="78"/>
        <v>81.606377610571656</v>
      </c>
      <c r="G717" s="42" cm="1">
        <f t="array" ref="G71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81.208849216032959</v>
      </c>
      <c r="H717" s="81" cm="1">
        <f t="array" ref="H7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1.4951390632067358</v>
      </c>
      <c r="I717" s="81" cm="1">
        <f t="array" ref="I7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1.4970001449410866</v>
      </c>
      <c r="J717" s="81" cm="1">
        <f t="array" ref="J7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1.4984541377475591</v>
      </c>
      <c r="K717" s="81" cm="1">
        <f t="array" ref="K7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1.5012292752648275</v>
      </c>
      <c r="L717" s="81" cm="1">
        <f t="array" ref="L7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1.5045043275514407</v>
      </c>
      <c r="M717" s="37">
        <f t="shared" si="79"/>
        <v>6.0902120580916819E-3</v>
      </c>
      <c r="N717" s="43">
        <f t="shared" si="80"/>
        <v>1.8610817343507335E-3</v>
      </c>
      <c r="O717" s="43">
        <f t="shared" si="81"/>
        <v>3.2750522866131782E-3</v>
      </c>
      <c r="P717" s="43">
        <f t="shared" si="82"/>
        <v>0.30558570319042194</v>
      </c>
      <c r="Q717" s="37">
        <f t="shared" si="83"/>
        <v>0.53775669145408855</v>
      </c>
      <c r="R717" s="37">
        <v>3.1E-2</v>
      </c>
      <c r="S717" s="44" t="s">
        <v>1393</v>
      </c>
      <c r="T717" s="45">
        <v>0.714812161</v>
      </c>
      <c r="U717" s="45">
        <v>0.50298499799999996</v>
      </c>
      <c r="V717" s="45">
        <v>0.836119846</v>
      </c>
      <c r="W717" s="45">
        <v>1.08370689E-2</v>
      </c>
      <c r="X717" s="45">
        <v>1.32155859E-3</v>
      </c>
      <c r="Y717" s="45">
        <v>153.36067399999999</v>
      </c>
      <c r="Z717" s="36">
        <v>3.68</v>
      </c>
      <c r="AA717" s="38">
        <v>469</v>
      </c>
      <c r="AB717" s="38">
        <v>542</v>
      </c>
      <c r="AC717" s="49" t="s">
        <v>506</v>
      </c>
      <c r="AD717" s="39" t="s">
        <v>1371</v>
      </c>
      <c r="AE717" s="48"/>
    </row>
    <row r="718" spans="1:31" ht="15" thickBot="1">
      <c r="A718" s="34">
        <v>716</v>
      </c>
      <c r="B718" s="34" t="s">
        <v>753</v>
      </c>
      <c r="C718" s="41" t="s">
        <v>1365</v>
      </c>
      <c r="D718" s="34" t="s">
        <v>513</v>
      </c>
      <c r="E718" s="80">
        <f t="shared" si="77"/>
        <v>1.4565000272605999</v>
      </c>
      <c r="F718" s="35">
        <f t="shared" si="78"/>
        <v>90.274877406338916</v>
      </c>
      <c r="G718" s="42" cm="1">
        <f t="array" ref="G71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89.848142905947924</v>
      </c>
      <c r="H718" s="81" cm="1">
        <f t="array" ref="H7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1.454950189067703</v>
      </c>
      <c r="I718" s="81" cm="1">
        <f t="array" ref="I7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1.4565000272605999</v>
      </c>
      <c r="J718" s="81" cm="1">
        <f t="array" ref="J7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1.4577077370698315</v>
      </c>
      <c r="K718" s="81" cm="1">
        <f t="array" ref="K7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1.460006967214361</v>
      </c>
      <c r="L718" s="81" cm="1">
        <f t="array" ref="L7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1.4627124581592645</v>
      </c>
      <c r="M718" s="37">
        <f t="shared" si="79"/>
        <v>5.0567781466579476E-3</v>
      </c>
      <c r="N718" s="43">
        <f t="shared" si="80"/>
        <v>1.5498381928968907E-3</v>
      </c>
      <c r="O718" s="43">
        <f t="shared" si="81"/>
        <v>2.7054909449035769E-3</v>
      </c>
      <c r="P718" s="43">
        <f t="shared" si="82"/>
        <v>0.30648728260328906</v>
      </c>
      <c r="Q718" s="37">
        <f t="shared" si="83"/>
        <v>0.53502266985781266</v>
      </c>
      <c r="R718" s="37">
        <v>4.2900000000000001E-2</v>
      </c>
      <c r="S718" s="44" t="s">
        <v>1393</v>
      </c>
      <c r="T718" s="45">
        <v>0.22226661</v>
      </c>
      <c r="U718" s="45">
        <v>0.88044417799999997</v>
      </c>
      <c r="V718" s="45">
        <v>0.79784891499999999</v>
      </c>
      <c r="W718" s="45">
        <v>1.4065121999999999E-2</v>
      </c>
      <c r="X718" s="45">
        <v>4.204574E-3</v>
      </c>
      <c r="Y718" s="45">
        <v>171.02981800000001</v>
      </c>
      <c r="Z718" s="36">
        <v>3.63</v>
      </c>
      <c r="AA718" s="38">
        <v>443</v>
      </c>
      <c r="AB718" s="38">
        <v>505</v>
      </c>
      <c r="AC718" s="49" t="s">
        <v>506</v>
      </c>
      <c r="AD718" s="39" t="s">
        <v>1371</v>
      </c>
      <c r="AE718" s="48"/>
    </row>
    <row r="719" spans="1:31" ht="15" thickBot="1">
      <c r="A719" s="34">
        <v>717</v>
      </c>
      <c r="B719" s="34" t="s">
        <v>753</v>
      </c>
      <c r="C719" s="41" t="s">
        <v>1365</v>
      </c>
      <c r="D719" s="34" t="s">
        <v>689</v>
      </c>
      <c r="E719" s="80">
        <f t="shared" si="77"/>
        <v>1.437800098864598</v>
      </c>
      <c r="F719" s="35">
        <f t="shared" si="78"/>
        <v>94.524492254681022</v>
      </c>
      <c r="G719" s="42" cm="1">
        <f t="array" ref="G71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94.087018658652383</v>
      </c>
      <c r="H719" s="81" cm="1">
        <f t="array" ref="H7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1.4363784508970292</v>
      </c>
      <c r="I719" s="81" cm="1">
        <f t="array" ref="I7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1.437800098864598</v>
      </c>
      <c r="J719" s="81" cm="1">
        <f t="array" ref="J7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1.4389064988760232</v>
      </c>
      <c r="K719" s="81" cm="1">
        <f t="array" ref="K7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1.4410100557691825</v>
      </c>
      <c r="L719" s="81" cm="1">
        <f t="array" ref="L7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1.4434813162534721</v>
      </c>
      <c r="M719" s="37">
        <f t="shared" si="79"/>
        <v>4.6316048721533054E-3</v>
      </c>
      <c r="N719" s="43">
        <f t="shared" si="80"/>
        <v>1.4216479675688287E-3</v>
      </c>
      <c r="O719" s="43">
        <f t="shared" si="81"/>
        <v>2.4712604842895836E-3</v>
      </c>
      <c r="P719" s="43">
        <f t="shared" si="82"/>
        <v>0.30694500217758913</v>
      </c>
      <c r="Q719" s="37">
        <f t="shared" si="83"/>
        <v>0.53356461798967236</v>
      </c>
      <c r="R719" s="37">
        <v>4.87E-2</v>
      </c>
      <c r="S719" s="44" t="s">
        <v>1393</v>
      </c>
      <c r="T719" s="45">
        <v>0.97302704299999998</v>
      </c>
      <c r="U719" s="45">
        <v>7.7363215999999999E-2</v>
      </c>
      <c r="V719" s="45">
        <v>0.68794495600000005</v>
      </c>
      <c r="W719" s="45">
        <v>4.9194579999999998E-3</v>
      </c>
      <c r="X719" s="45">
        <v>1.8200939999999999E-2</v>
      </c>
      <c r="Y719" s="45">
        <v>159.44609</v>
      </c>
      <c r="Z719" s="36">
        <v>3.52</v>
      </c>
      <c r="AA719" s="38">
        <v>411</v>
      </c>
      <c r="AB719" s="38">
        <v>485</v>
      </c>
      <c r="AC719" s="49" t="s">
        <v>506</v>
      </c>
      <c r="AD719" s="39" t="s">
        <v>1371</v>
      </c>
      <c r="AE719" s="48"/>
    </row>
    <row r="720" spans="1:31" ht="15" thickBot="1">
      <c r="A720" s="34">
        <v>718</v>
      </c>
      <c r="B720" s="34" t="s">
        <v>753</v>
      </c>
      <c r="C720" s="41" t="s">
        <v>1355</v>
      </c>
      <c r="D720" s="34" t="s">
        <v>514</v>
      </c>
      <c r="E720" s="80">
        <f t="shared" si="77"/>
        <v>1.4704700770871981</v>
      </c>
      <c r="F720" s="35">
        <f t="shared" si="78"/>
        <v>66.876810329140213</v>
      </c>
      <c r="G720" s="42" cm="1">
        <f t="array" ref="G72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66.682620889217318</v>
      </c>
      <c r="H720" s="81" cm="1">
        <f t="array" ref="H7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1.4682986732080467</v>
      </c>
      <c r="I720" s="81" cm="1">
        <f t="array" ref="I7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1.4704700770871981</v>
      </c>
      <c r="J720" s="81" cm="1">
        <f t="array" ref="J7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1.4721491778306997</v>
      </c>
      <c r="K720" s="81" cm="1">
        <f t="array" ref="K7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1.4753335493448083</v>
      </c>
      <c r="L720" s="81" cm="1">
        <f t="array" ref="L7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1.4790786595805911</v>
      </c>
      <c r="M720" s="37">
        <f t="shared" si="79"/>
        <v>7.0348761367615698E-3</v>
      </c>
      <c r="N720" s="43">
        <f t="shared" si="80"/>
        <v>2.171403879151379E-3</v>
      </c>
      <c r="O720" s="43">
        <f t="shared" si="81"/>
        <v>3.7451102357828336E-3</v>
      </c>
      <c r="P720" s="43">
        <f t="shared" si="82"/>
        <v>0.30866270236151755</v>
      </c>
      <c r="Q720" s="37">
        <f t="shared" si="83"/>
        <v>0.5323633512482645</v>
      </c>
      <c r="R720" s="37">
        <v>5.0000000000000001E-4</v>
      </c>
      <c r="S720" s="44" t="s">
        <v>1393</v>
      </c>
      <c r="T720" s="45">
        <v>0.84194407299999996</v>
      </c>
      <c r="U720" s="45">
        <v>0.99178546700000003</v>
      </c>
      <c r="V720" s="45">
        <v>0.14621337600000001</v>
      </c>
      <c r="W720" s="45">
        <v>93.263870400000002</v>
      </c>
      <c r="X720" s="45">
        <v>1.03998728E-2</v>
      </c>
      <c r="Y720" s="45">
        <v>-8.2030074099999992E-3</v>
      </c>
      <c r="Z720" s="36">
        <v>2.2999999999999998</v>
      </c>
      <c r="AA720" s="38">
        <v>399</v>
      </c>
      <c r="AB720" s="38">
        <v>653</v>
      </c>
      <c r="AC720" s="49" t="s">
        <v>506</v>
      </c>
      <c r="AD720" s="49" t="s">
        <v>506</v>
      </c>
      <c r="AE720" s="48"/>
    </row>
    <row r="721" spans="1:31" ht="15" thickBot="1">
      <c r="A721" s="34">
        <v>719</v>
      </c>
      <c r="B721" s="34" t="s">
        <v>753</v>
      </c>
      <c r="C721" s="41" t="s">
        <v>1355</v>
      </c>
      <c r="D721" s="34" t="s">
        <v>515</v>
      </c>
      <c r="E721" s="80">
        <f t="shared" si="77"/>
        <v>1.4874900414887489</v>
      </c>
      <c r="F721" s="35">
        <f t="shared" si="78"/>
        <v>70.441303586187928</v>
      </c>
      <c r="G721" s="42" cm="1">
        <f t="array" ref="G72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70.256612847922867</v>
      </c>
      <c r="H721" s="81" cm="1">
        <f t="array" ref="H7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1.4853471835869769</v>
      </c>
      <c r="I721" s="81" cm="1">
        <f t="array" ref="I7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1.4874900414887489</v>
      </c>
      <c r="J721" s="81" cm="1">
        <f t="array" ref="J7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1.4891425568770613</v>
      </c>
      <c r="K721" s="81" cm="1">
        <f t="array" ref="K7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1.492267697783485</v>
      </c>
      <c r="L721" s="81" cm="1">
        <f t="array" ref="L7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1.495931042122802</v>
      </c>
      <c r="M721" s="37">
        <f t="shared" si="79"/>
        <v>6.9205141965080763E-3</v>
      </c>
      <c r="N721" s="43">
        <f t="shared" si="80"/>
        <v>2.1428579017719329E-3</v>
      </c>
      <c r="O721" s="43">
        <f t="shared" si="81"/>
        <v>3.6633443393170317E-3</v>
      </c>
      <c r="P721" s="43">
        <f t="shared" si="82"/>
        <v>0.30963853854286827</v>
      </c>
      <c r="Q721" s="37">
        <f t="shared" si="83"/>
        <v>0.52934568664933401</v>
      </c>
      <c r="R721" s="37">
        <v>3.5000000000000001E-3</v>
      </c>
      <c r="S721" s="44" t="s">
        <v>1393</v>
      </c>
      <c r="T721" s="45">
        <v>0.60173749099999996</v>
      </c>
      <c r="U721" s="45">
        <v>0.85873700399999997</v>
      </c>
      <c r="V721" s="45">
        <v>0.58676150100000002</v>
      </c>
      <c r="W721" s="45">
        <v>1.2574973999999999E-2</v>
      </c>
      <c r="X721" s="45">
        <v>92.332566299999996</v>
      </c>
      <c r="Y721" s="45">
        <v>2.6875089999999998E-3</v>
      </c>
      <c r="Z721" s="36">
        <v>2.4300000000000002</v>
      </c>
      <c r="AA721" s="38">
        <v>475</v>
      </c>
      <c r="AB721" s="38">
        <v>674</v>
      </c>
      <c r="AC721" s="49" t="s">
        <v>506</v>
      </c>
      <c r="AD721" s="39" t="s">
        <v>1371</v>
      </c>
      <c r="AE721" s="48"/>
    </row>
    <row r="722" spans="1:31" ht="15" thickBot="1">
      <c r="A722" s="34">
        <v>720</v>
      </c>
      <c r="B722" s="34" t="s">
        <v>753</v>
      </c>
      <c r="C722" s="41" t="s">
        <v>1355</v>
      </c>
      <c r="D722" s="34" t="s">
        <v>690</v>
      </c>
      <c r="E722" s="80">
        <f t="shared" si="77"/>
        <v>1.4996700304860955</v>
      </c>
      <c r="F722" s="35">
        <f t="shared" si="78"/>
        <v>62.072709609412655</v>
      </c>
      <c r="G722" s="42" cm="1">
        <f t="array" ref="G72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61.818875244069197</v>
      </c>
      <c r="H722" s="81" cm="1">
        <f t="array" ref="H7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1.4972110533393665</v>
      </c>
      <c r="I722" s="81" cm="1">
        <f t="array" ref="I7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1.4996700304860955</v>
      </c>
      <c r="J722" s="81" cm="1">
        <f t="array" ref="J7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1.5015900692617261</v>
      </c>
      <c r="K722" s="81" cm="1">
        <f t="array" ref="K7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1.5052608071463169</v>
      </c>
      <c r="L722" s="81" cm="1">
        <f t="array" ref="L7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1.509612741150121</v>
      </c>
      <c r="M722" s="37">
        <f t="shared" si="79"/>
        <v>8.0497538069503882E-3</v>
      </c>
      <c r="N722" s="43">
        <f t="shared" si="80"/>
        <v>2.4589771467289356E-3</v>
      </c>
      <c r="O722" s="43">
        <f t="shared" si="81"/>
        <v>4.3519340038040699E-3</v>
      </c>
      <c r="P722" s="43">
        <f t="shared" si="82"/>
        <v>0.305472341850478</v>
      </c>
      <c r="Q722" s="37">
        <f t="shared" si="83"/>
        <v>0.54062945379105698</v>
      </c>
      <c r="R722" s="37">
        <v>5.9999999999999995E-4</v>
      </c>
      <c r="S722" s="44" t="s">
        <v>1393</v>
      </c>
      <c r="T722" s="45">
        <v>0.84128266900000004</v>
      </c>
      <c r="U722" s="45">
        <v>1.0152116600000001</v>
      </c>
      <c r="V722" s="45">
        <v>0.204021337</v>
      </c>
      <c r="W722" s="45">
        <v>103.641667</v>
      </c>
      <c r="X722" s="45">
        <v>6.2322491499999999E-3</v>
      </c>
      <c r="Y722" s="45">
        <v>2.2057041999999999E-2</v>
      </c>
      <c r="Z722" s="36">
        <v>2.4700000000000002</v>
      </c>
      <c r="AA722" s="38">
        <v>465</v>
      </c>
      <c r="AB722" s="38">
        <v>668</v>
      </c>
      <c r="AC722" s="49" t="s">
        <v>506</v>
      </c>
      <c r="AD722" s="49" t="s">
        <v>506</v>
      </c>
      <c r="AE722" s="48"/>
    </row>
    <row r="723" spans="1:31" ht="15" thickBot="1">
      <c r="A723" s="34">
        <v>721</v>
      </c>
      <c r="B723" s="34" t="s">
        <v>753</v>
      </c>
      <c r="C723" s="41" t="s">
        <v>1355</v>
      </c>
      <c r="D723" s="34" t="s">
        <v>516</v>
      </c>
      <c r="E723" s="80">
        <f t="shared" si="77"/>
        <v>1.5004700125463306</v>
      </c>
      <c r="F723" s="35">
        <f t="shared" si="78"/>
        <v>66.021542209517932</v>
      </c>
      <c r="G723" s="42" cm="1">
        <f t="array" ref="G72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65.832115368852556</v>
      </c>
      <c r="H723" s="81" cm="1">
        <f t="array" ref="H7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1.498130507921257</v>
      </c>
      <c r="I723" s="81" cm="1">
        <f t="array" ref="I7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1.5004700125463306</v>
      </c>
      <c r="J723" s="81" cm="1">
        <f t="array" ref="J7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1.5022794620021689</v>
      </c>
      <c r="K723" s="81" cm="1">
        <f t="array" ref="K7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1.5057109126769972</v>
      </c>
      <c r="L723" s="81" cm="1">
        <f t="array" ref="L7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1.5097456820512973</v>
      </c>
      <c r="M723" s="37">
        <f t="shared" si="79"/>
        <v>7.5804047557401777E-3</v>
      </c>
      <c r="N723" s="43">
        <f t="shared" si="80"/>
        <v>2.3395046250735962E-3</v>
      </c>
      <c r="O723" s="43">
        <f t="shared" si="81"/>
        <v>4.03476937430014E-3</v>
      </c>
      <c r="P723" s="43">
        <f t="shared" si="82"/>
        <v>0.30862529118936982</v>
      </c>
      <c r="Q723" s="37">
        <f t="shared" si="83"/>
        <v>0.53226305247682926</v>
      </c>
      <c r="R723" s="37">
        <v>-1E-3</v>
      </c>
      <c r="S723" s="44" t="s">
        <v>1393</v>
      </c>
      <c r="T723" s="45">
        <v>0.951357962</v>
      </c>
      <c r="U723" s="45">
        <v>0.96961473799999998</v>
      </c>
      <c r="V723" s="45">
        <v>0.27320719399999999</v>
      </c>
      <c r="W723" s="45">
        <v>1.1289489099999999E-2</v>
      </c>
      <c r="X723" s="45">
        <v>99.1744348</v>
      </c>
      <c r="Y723" s="45">
        <v>-2.4566569900000002E-3</v>
      </c>
      <c r="Z723" s="36">
        <v>2.42</v>
      </c>
      <c r="AA723" s="38">
        <v>556</v>
      </c>
      <c r="AB723" s="38">
        <v>759</v>
      </c>
      <c r="AC723" s="49" t="s">
        <v>506</v>
      </c>
      <c r="AD723" s="49" t="s">
        <v>506</v>
      </c>
      <c r="AE723" s="48"/>
    </row>
    <row r="724" spans="1:31" ht="15" thickBot="1">
      <c r="A724" s="34">
        <v>722</v>
      </c>
      <c r="B724" s="34" t="s">
        <v>753</v>
      </c>
      <c r="C724" s="41" t="s">
        <v>1355</v>
      </c>
      <c r="D724" s="34" t="s">
        <v>517</v>
      </c>
      <c r="E724" s="80">
        <f t="shared" si="77"/>
        <v>1.5046299180047615</v>
      </c>
      <c r="F724" s="35">
        <f t="shared" si="78"/>
        <v>64.721471498647247</v>
      </c>
      <c r="G724" s="42" cm="1">
        <f t="array" ref="G72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64.539629853720342</v>
      </c>
      <c r="H724" s="81" cm="1">
        <f t="array" ref="H7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1.5022233989330445</v>
      </c>
      <c r="I724" s="81" cm="1">
        <f t="array" ref="I7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1.5046299180047615</v>
      </c>
      <c r="J724" s="81" cm="1">
        <f t="array" ref="J7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1.5064906277125085</v>
      </c>
      <c r="K724" s="81" cm="1">
        <f t="array" ref="K7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1.5100203464733257</v>
      </c>
      <c r="L724" s="81" cm="1">
        <f t="array" ref="L7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1.5141756769035764</v>
      </c>
      <c r="M724" s="37">
        <f t="shared" si="79"/>
        <v>7.7969475402812627E-3</v>
      </c>
      <c r="N724" s="43">
        <f t="shared" si="80"/>
        <v>2.4065190717170726E-3</v>
      </c>
      <c r="O724" s="43">
        <f t="shared" si="81"/>
        <v>4.1553304302506255E-3</v>
      </c>
      <c r="P724" s="43">
        <f t="shared" si="82"/>
        <v>0.30864887307299504</v>
      </c>
      <c r="Q724" s="37">
        <f t="shared" si="83"/>
        <v>0.53294323307717528</v>
      </c>
      <c r="R724" s="37">
        <v>-2.5000000000000001E-3</v>
      </c>
      <c r="S724" s="44" t="s">
        <v>1393</v>
      </c>
      <c r="T724" s="45">
        <v>0.29600455799999997</v>
      </c>
      <c r="U724" s="45">
        <v>0.94042008300000002</v>
      </c>
      <c r="V724" s="45">
        <v>1.0056654</v>
      </c>
      <c r="W724" s="45">
        <v>1.8598984700000001E-2</v>
      </c>
      <c r="X724" s="45">
        <v>5.1363287299999996E-3</v>
      </c>
      <c r="Y724" s="45">
        <v>97.555430999999999</v>
      </c>
      <c r="Z724" s="36">
        <v>2.4</v>
      </c>
      <c r="AA724" s="38">
        <v>537</v>
      </c>
      <c r="AB724" s="38">
        <v>712</v>
      </c>
      <c r="AC724" s="49" t="s">
        <v>506</v>
      </c>
      <c r="AD724" s="49" t="s">
        <v>506</v>
      </c>
      <c r="AE724" s="48"/>
    </row>
    <row r="725" spans="1:31" ht="15" thickBot="1">
      <c r="A725" s="34">
        <v>723</v>
      </c>
      <c r="B725" s="34" t="s">
        <v>753</v>
      </c>
      <c r="C725" s="41" t="s">
        <v>1355</v>
      </c>
      <c r="D725" s="34" t="s">
        <v>691</v>
      </c>
      <c r="E725" s="80">
        <f t="shared" si="77"/>
        <v>1.5080200114763818</v>
      </c>
      <c r="F725" s="35">
        <f t="shared" si="78"/>
        <v>61.05361356109541</v>
      </c>
      <c r="G725" s="42" cm="1">
        <f t="array" ref="G72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60.838907961345946</v>
      </c>
      <c r="H725" s="81" cm="1">
        <f t="array" ref="H7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1.5054682006112168</v>
      </c>
      <c r="I725" s="81" cm="1">
        <f t="array" ref="I7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1.5080200114763818</v>
      </c>
      <c r="J725" s="81" cm="1">
        <f t="array" ref="J7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1.5100042296091478</v>
      </c>
      <c r="K725" s="81" cm="1">
        <f t="array" ref="K7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1.5137890842058956</v>
      </c>
      <c r="L725" s="81" cm="1">
        <f t="array" ref="L7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1.5182728410087902</v>
      </c>
      <c r="M725" s="37">
        <f t="shared" si="79"/>
        <v>8.3208835946788628E-3</v>
      </c>
      <c r="N725" s="43">
        <f t="shared" si="80"/>
        <v>2.5518108651649829E-3</v>
      </c>
      <c r="O725" s="43">
        <f t="shared" si="81"/>
        <v>4.4837568028945896E-3</v>
      </c>
      <c r="P725" s="43">
        <f t="shared" si="82"/>
        <v>0.30667546735022772</v>
      </c>
      <c r="Q725" s="37">
        <f t="shared" si="83"/>
        <v>0.53885585008807424</v>
      </c>
      <c r="R725" s="37">
        <v>-2.8E-3</v>
      </c>
      <c r="S725" s="44" t="s">
        <v>1393</v>
      </c>
      <c r="T725" s="45">
        <v>0.74953226299999998</v>
      </c>
      <c r="U725" s="45">
        <v>0.49486623400000002</v>
      </c>
      <c r="V725" s="45">
        <v>0.96016866000000001</v>
      </c>
      <c r="W725" s="45">
        <v>1.48033503E-2</v>
      </c>
      <c r="X725" s="45">
        <v>-2.64092219E-4</v>
      </c>
      <c r="Y725" s="45">
        <v>95.719015400000004</v>
      </c>
      <c r="Z725" s="36">
        <v>2.4300000000000002</v>
      </c>
      <c r="AA725" s="38">
        <v>552</v>
      </c>
      <c r="AB725" s="38">
        <v>733</v>
      </c>
      <c r="AC725" s="49" t="s">
        <v>506</v>
      </c>
      <c r="AD725" s="49" t="s">
        <v>506</v>
      </c>
      <c r="AE725" s="48"/>
    </row>
    <row r="726" spans="1:31" ht="15" thickBot="1">
      <c r="A726" s="34">
        <v>724</v>
      </c>
      <c r="B726" s="34" t="s">
        <v>753</v>
      </c>
      <c r="C726" s="41" t="s">
        <v>1355</v>
      </c>
      <c r="D726" s="34" t="s">
        <v>518</v>
      </c>
      <c r="E726" s="80">
        <f t="shared" si="77"/>
        <v>1.5100722465583176</v>
      </c>
      <c r="F726" s="35">
        <f t="shared" si="78"/>
        <v>63.365267761724155</v>
      </c>
      <c r="G726" s="42" cm="1">
        <f t="array" ref="G72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63.137040923803418</v>
      </c>
      <c r="H726" s="81" cm="1">
        <f t="array" ref="H7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1.5076025684069143</v>
      </c>
      <c r="I726" s="81" cm="1">
        <f t="array" ref="I7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1.5100722465583176</v>
      </c>
      <c r="J726" s="81" cm="1">
        <f t="array" ref="J7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1.5119920555571413</v>
      </c>
      <c r="K726" s="81" cm="1">
        <f t="array" ref="K7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1.5156522818315679</v>
      </c>
      <c r="L726" s="81" cm="1">
        <f t="array" ref="L7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1.519984695468243</v>
      </c>
      <c r="M726" s="37">
        <f t="shared" si="79"/>
        <v>8.0497134246535484E-3</v>
      </c>
      <c r="N726" s="43">
        <f t="shared" si="80"/>
        <v>2.4696781514033095E-3</v>
      </c>
      <c r="O726" s="43">
        <f t="shared" si="81"/>
        <v>4.3324136366751365E-3</v>
      </c>
      <c r="P726" s="43">
        <f t="shared" si="82"/>
        <v>0.30680323896246059</v>
      </c>
      <c r="Q726" s="37">
        <f t="shared" si="83"/>
        <v>0.53820718926544886</v>
      </c>
      <c r="R726" s="37">
        <v>1.1999999999999999E-3</v>
      </c>
      <c r="S726" s="44" t="s">
        <v>1394</v>
      </c>
      <c r="T726" s="45">
        <v>2.25018356</v>
      </c>
      <c r="U726" s="45">
        <v>-8.9406615600000003E-3</v>
      </c>
      <c r="V726" s="45">
        <v>1.14317829E-2</v>
      </c>
      <c r="W726" s="45">
        <v>-7.3339327800000004E-5</v>
      </c>
      <c r="X726" s="45">
        <v>3.4961669500000001E-5</v>
      </c>
      <c r="Y726" s="45">
        <v>-1.8010077499999999E-6</v>
      </c>
      <c r="Z726" s="36">
        <v>2.4700000000000002</v>
      </c>
      <c r="AA726" s="38">
        <v>558</v>
      </c>
      <c r="AB726" s="38">
        <v>733</v>
      </c>
      <c r="AC726" s="49" t="s">
        <v>506</v>
      </c>
      <c r="AD726" s="49" t="s">
        <v>506</v>
      </c>
      <c r="AE726" s="48"/>
    </row>
    <row r="727" spans="1:31" ht="15" thickBot="1">
      <c r="A727" s="34">
        <v>725</v>
      </c>
      <c r="B727" s="34" t="s">
        <v>753</v>
      </c>
      <c r="C727" s="41" t="s">
        <v>1355</v>
      </c>
      <c r="D727" s="34" t="s">
        <v>519</v>
      </c>
      <c r="E727" s="80">
        <f t="shared" si="77"/>
        <v>1.5111254511438363</v>
      </c>
      <c r="F727" s="35">
        <f t="shared" si="78"/>
        <v>60.479619144315386</v>
      </c>
      <c r="G727" s="42" cm="1">
        <f t="array" ref="G72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60.225255435092919</v>
      </c>
      <c r="H727" s="81" cm="1">
        <f t="array" ref="H7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1.5085464054832767</v>
      </c>
      <c r="I727" s="81" cm="1">
        <f t="array" ref="I7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1.5111254511438363</v>
      </c>
      <c r="J727" s="81" cm="1">
        <f t="array" ref="J7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1.5131398761425128</v>
      </c>
      <c r="K727" s="81" cm="1">
        <f t="array" ref="K7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1.5169976070347315</v>
      </c>
      <c r="L727" s="81" cm="1">
        <f t="array" ref="L7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1.5215892833071265</v>
      </c>
      <c r="M727" s="37">
        <f t="shared" si="79"/>
        <v>8.4512015514548455E-3</v>
      </c>
      <c r="N727" s="43">
        <f t="shared" si="80"/>
        <v>2.5790456605596646E-3</v>
      </c>
      <c r="O727" s="43">
        <f t="shared" si="81"/>
        <v>4.5916762723949844E-3</v>
      </c>
      <c r="P727" s="43">
        <f t="shared" si="82"/>
        <v>0.30516911055276996</v>
      </c>
      <c r="Q727" s="37">
        <f t="shared" si="83"/>
        <v>0.54331638459202802</v>
      </c>
      <c r="R727" s="37">
        <v>0</v>
      </c>
      <c r="S727" s="44" t="s">
        <v>1394</v>
      </c>
      <c r="T727" s="45">
        <v>2.25024516</v>
      </c>
      <c r="U727" s="45">
        <v>-7.5871481900000003E-3</v>
      </c>
      <c r="V727" s="45">
        <v>1.26303778E-2</v>
      </c>
      <c r="W727" s="45">
        <v>-2.2900181900000001E-4</v>
      </c>
      <c r="X727" s="45">
        <v>5.8022593900000001E-5</v>
      </c>
      <c r="Y727" s="45">
        <v>-2.8409460399999999E-6</v>
      </c>
      <c r="Z727" s="36">
        <v>2.5299999999999998</v>
      </c>
      <c r="AA727" s="38">
        <v>530</v>
      </c>
      <c r="AB727" s="38">
        <v>723</v>
      </c>
      <c r="AC727" s="49" t="s">
        <v>506</v>
      </c>
      <c r="AD727" s="49" t="s">
        <v>506</v>
      </c>
      <c r="AE727" s="48"/>
    </row>
    <row r="728" spans="1:31" ht="15" thickBot="1">
      <c r="A728" s="34">
        <v>726</v>
      </c>
      <c r="B728" s="34" t="s">
        <v>753</v>
      </c>
      <c r="C728" s="41" t="s">
        <v>1355</v>
      </c>
      <c r="D728" s="34" t="s">
        <v>520</v>
      </c>
      <c r="E728" s="80">
        <f t="shared" si="77"/>
        <v>1.5147800397156219</v>
      </c>
      <c r="F728" s="35">
        <f t="shared" si="78"/>
        <v>60.635611861324172</v>
      </c>
      <c r="G728" s="42" cm="1">
        <f t="array" ref="G72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60.374387376136319</v>
      </c>
      <c r="H728" s="81" cm="1">
        <f t="array" ref="H7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1.5121923130128097</v>
      </c>
      <c r="I728" s="81" cm="1">
        <f t="array" ref="I7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1.5147800397156219</v>
      </c>
      <c r="J728" s="81" cm="1">
        <f t="array" ref="J7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1.5168045488357815</v>
      </c>
      <c r="K728" s="81" cm="1">
        <f t="array" ref="K7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1.5206820441116389</v>
      </c>
      <c r="L728" s="81" cm="1">
        <f t="array" ref="L7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1.5252879987127226</v>
      </c>
      <c r="M728" s="37">
        <f t="shared" si="79"/>
        <v>8.4897310988292229E-3</v>
      </c>
      <c r="N728" s="43">
        <f t="shared" si="80"/>
        <v>2.5877267028122652E-3</v>
      </c>
      <c r="O728" s="43">
        <f t="shared" si="81"/>
        <v>4.605954601083706E-3</v>
      </c>
      <c r="P728" s="43">
        <f t="shared" si="82"/>
        <v>0.30480667440328302</v>
      </c>
      <c r="Q728" s="37">
        <f t="shared" si="83"/>
        <v>0.5425324486094607</v>
      </c>
      <c r="R728" s="37">
        <v>1E-4</v>
      </c>
      <c r="S728" s="44" t="s">
        <v>1393</v>
      </c>
      <c r="T728" s="45">
        <v>0.85480245200000005</v>
      </c>
      <c r="U728" s="45">
        <v>0.44222682600000002</v>
      </c>
      <c r="V728" s="45">
        <v>0.82048406799999996</v>
      </c>
      <c r="W728" s="45">
        <v>103.20426</v>
      </c>
      <c r="X728" s="45">
        <v>1.7964305900000001E-2</v>
      </c>
      <c r="Y728" s="45">
        <v>4.33831623E-3</v>
      </c>
      <c r="Z728" s="36">
        <v>2.54</v>
      </c>
      <c r="AA728" s="38">
        <v>535</v>
      </c>
      <c r="AB728" s="38">
        <v>717</v>
      </c>
      <c r="AC728" s="49" t="s">
        <v>506</v>
      </c>
      <c r="AD728" s="49" t="s">
        <v>506</v>
      </c>
      <c r="AE728" s="48"/>
    </row>
    <row r="729" spans="1:31" ht="15" thickBot="1">
      <c r="A729" s="34">
        <v>727</v>
      </c>
      <c r="B729" s="34" t="s">
        <v>753</v>
      </c>
      <c r="C729" s="41" t="s">
        <v>1355</v>
      </c>
      <c r="D729" s="34" t="s">
        <v>692</v>
      </c>
      <c r="E729" s="80">
        <f t="shared" si="77"/>
        <v>1.5160200803364108</v>
      </c>
      <c r="F729" s="35">
        <f t="shared" si="78"/>
        <v>56.795498963836501</v>
      </c>
      <c r="G729" s="42" cm="1">
        <f t="array" ref="G72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56.531034347459595</v>
      </c>
      <c r="H729" s="81" cm="1">
        <f t="array" ref="H7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1.5132624355457593</v>
      </c>
      <c r="I729" s="81" cm="1">
        <f t="array" ref="I7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1.5160200803364108</v>
      </c>
      <c r="J729" s="81" cm="1">
        <f t="array" ref="J7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1.5181855077566064</v>
      </c>
      <c r="K729" s="81" cm="1">
        <f t="array" ref="K7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1.5223480160891221</v>
      </c>
      <c r="L729" s="81" cm="1">
        <f t="array" ref="L7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1.527314585081835</v>
      </c>
      <c r="M729" s="37">
        <f t="shared" si="79"/>
        <v>9.0855805433627257E-3</v>
      </c>
      <c r="N729" s="43">
        <f t="shared" si="80"/>
        <v>2.7576447906514368E-3</v>
      </c>
      <c r="O729" s="43">
        <f t="shared" si="81"/>
        <v>4.9665689927129719E-3</v>
      </c>
      <c r="P729" s="43">
        <f t="shared" si="82"/>
        <v>0.30351883156943388</v>
      </c>
      <c r="Q729" s="37">
        <f t="shared" si="83"/>
        <v>0.54664299865143906</v>
      </c>
      <c r="R729" s="37">
        <v>-2.3999999999999998E-3</v>
      </c>
      <c r="S729" s="44" t="s">
        <v>1393</v>
      </c>
      <c r="T729" s="45">
        <v>0.89042231000000005</v>
      </c>
      <c r="U729" s="45">
        <v>0.22009917400000001</v>
      </c>
      <c r="V729" s="45">
        <v>1.0437921999999999</v>
      </c>
      <c r="W729" s="45">
        <v>109.831873</v>
      </c>
      <c r="X729" s="45">
        <v>2.47288604E-2</v>
      </c>
      <c r="Y729" s="45">
        <v>6.5704167500000004E-3</v>
      </c>
      <c r="Z729" s="36">
        <v>2.58</v>
      </c>
      <c r="AA729" s="38">
        <v>512</v>
      </c>
      <c r="AB729" s="38">
        <v>684</v>
      </c>
      <c r="AC729" s="49" t="s">
        <v>506</v>
      </c>
      <c r="AD729" s="49" t="s">
        <v>506</v>
      </c>
      <c r="AE729" s="48"/>
    </row>
    <row r="730" spans="1:31" ht="15" thickBot="1">
      <c r="A730" s="34">
        <v>728</v>
      </c>
      <c r="B730" s="34" t="s">
        <v>753</v>
      </c>
      <c r="C730" s="41" t="s">
        <v>1355</v>
      </c>
      <c r="D730" s="34" t="s">
        <v>521</v>
      </c>
      <c r="E730" s="80">
        <f t="shared" si="77"/>
        <v>1.516799997754233</v>
      </c>
      <c r="F730" s="35">
        <f t="shared" si="78"/>
        <v>64.199482486382365</v>
      </c>
      <c r="G730" s="42" cm="1">
        <f t="array" ref="G73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63.981947311142264</v>
      </c>
      <c r="H730" s="81" cm="1">
        <f t="array" ref="H7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1.5143264577507813</v>
      </c>
      <c r="I730" s="81" cm="1">
        <f t="array" ref="I7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1.516799997754233</v>
      </c>
      <c r="J730" s="81" cm="1">
        <f t="array" ref="J7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1.5187208800868714</v>
      </c>
      <c r="K730" s="81" cm="1">
        <f t="array" ref="K7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1.5223763668425541</v>
      </c>
      <c r="L730" s="81" cm="1">
        <f t="array" ref="L7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1.5266900331033233</v>
      </c>
      <c r="M730" s="37">
        <f t="shared" si="79"/>
        <v>8.0499090917727223E-3</v>
      </c>
      <c r="N730" s="43">
        <f t="shared" si="80"/>
        <v>2.4735400034516797E-3</v>
      </c>
      <c r="O730" s="43">
        <f t="shared" si="81"/>
        <v>4.3136662607692333E-3</v>
      </c>
      <c r="P730" s="43">
        <f t="shared" si="82"/>
        <v>0.30727552016453463</v>
      </c>
      <c r="Q730" s="37">
        <f t="shared" si="83"/>
        <v>0.53586521432620215</v>
      </c>
      <c r="R730" s="37">
        <v>-5.0000000000000001E-4</v>
      </c>
      <c r="S730" s="44" t="s">
        <v>1393</v>
      </c>
      <c r="T730" s="45">
        <v>0.61455525099999997</v>
      </c>
      <c r="U730" s="45">
        <v>0.65677501699999996</v>
      </c>
      <c r="V730" s="45">
        <v>1.0269934599999999</v>
      </c>
      <c r="W730" s="45">
        <v>1.45987884E-2</v>
      </c>
      <c r="X730" s="45">
        <v>2.8776958799999999E-3</v>
      </c>
      <c r="Y730" s="45">
        <v>107.653051</v>
      </c>
      <c r="Z730" s="36">
        <v>2.52</v>
      </c>
      <c r="AA730" s="38">
        <v>560</v>
      </c>
      <c r="AB730" s="38">
        <v>714</v>
      </c>
      <c r="AC730" s="49" t="s">
        <v>506</v>
      </c>
      <c r="AD730" s="39" t="s">
        <v>1371</v>
      </c>
      <c r="AE730" s="48"/>
    </row>
    <row r="731" spans="1:31" ht="15" thickBot="1">
      <c r="A731" s="34">
        <v>729</v>
      </c>
      <c r="B731" s="34" t="s">
        <v>753</v>
      </c>
      <c r="C731" s="41" t="s">
        <v>1355</v>
      </c>
      <c r="D731" s="34" t="s">
        <v>693</v>
      </c>
      <c r="E731" s="80">
        <f t="shared" si="77"/>
        <v>1.516799997754233</v>
      </c>
      <c r="F731" s="35">
        <f t="shared" si="78"/>
        <v>64.199482486382365</v>
      </c>
      <c r="G731" s="42" cm="1">
        <f t="array" ref="G73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63.981947311142264</v>
      </c>
      <c r="H731" s="81" cm="1">
        <f t="array" ref="H7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1.5143264577507813</v>
      </c>
      <c r="I731" s="81" cm="1">
        <f t="array" ref="I7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1.516799997754233</v>
      </c>
      <c r="J731" s="81" cm="1">
        <f t="array" ref="J7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1.5187208800868714</v>
      </c>
      <c r="K731" s="81" cm="1">
        <f t="array" ref="K7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1.5223763668425541</v>
      </c>
      <c r="L731" s="81" cm="1">
        <f t="array" ref="L7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1.5266900331033233</v>
      </c>
      <c r="M731" s="37">
        <f t="shared" si="79"/>
        <v>8.0499090917727223E-3</v>
      </c>
      <c r="N731" s="43">
        <f t="shared" si="80"/>
        <v>2.4735400034516797E-3</v>
      </c>
      <c r="O731" s="43">
        <f t="shared" si="81"/>
        <v>4.3136662607692333E-3</v>
      </c>
      <c r="P731" s="43">
        <f t="shared" si="82"/>
        <v>0.30727552016453463</v>
      </c>
      <c r="Q731" s="37">
        <f t="shared" si="83"/>
        <v>0.53586521432620215</v>
      </c>
      <c r="R731" s="37">
        <v>-5.0000000000000001E-4</v>
      </c>
      <c r="S731" s="44" t="s">
        <v>1393</v>
      </c>
      <c r="T731" s="45">
        <v>0.61455525099999997</v>
      </c>
      <c r="U731" s="45">
        <v>0.65677501699999996</v>
      </c>
      <c r="V731" s="45">
        <v>1.0269934599999999</v>
      </c>
      <c r="W731" s="45">
        <v>1.45987884E-2</v>
      </c>
      <c r="X731" s="45">
        <v>2.8776958799999999E-3</v>
      </c>
      <c r="Y731" s="45">
        <v>107.653051</v>
      </c>
      <c r="Z731" s="36">
        <v>2.52</v>
      </c>
      <c r="AA731" s="38">
        <v>560</v>
      </c>
      <c r="AB731" s="38">
        <v>714</v>
      </c>
      <c r="AC731" s="49" t="s">
        <v>506</v>
      </c>
      <c r="AD731" s="39" t="s">
        <v>1371</v>
      </c>
      <c r="AE731" s="48" t="s">
        <v>770</v>
      </c>
    </row>
    <row r="732" spans="1:31" ht="15" thickBot="1">
      <c r="A732" s="34">
        <v>730</v>
      </c>
      <c r="B732" s="34" t="s">
        <v>753</v>
      </c>
      <c r="C732" s="41" t="s">
        <v>1355</v>
      </c>
      <c r="D732" s="34" t="s">
        <v>758</v>
      </c>
      <c r="E732" s="80">
        <f t="shared" si="77"/>
        <v>1.516799997754233</v>
      </c>
      <c r="F732" s="35">
        <f t="shared" si="78"/>
        <v>64.199482486382365</v>
      </c>
      <c r="G732" s="42" cm="1">
        <f t="array" ref="G73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63.981947311142264</v>
      </c>
      <c r="H732" s="81" cm="1">
        <f t="array" ref="H7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1.5143264577507813</v>
      </c>
      <c r="I732" s="81" cm="1">
        <f t="array" ref="I7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1.516799997754233</v>
      </c>
      <c r="J732" s="81" cm="1">
        <f t="array" ref="J7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1.5187208800868714</v>
      </c>
      <c r="K732" s="81" cm="1">
        <f t="array" ref="K7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1.5223763668425541</v>
      </c>
      <c r="L732" s="81" cm="1">
        <f t="array" ref="L7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1.5266900331033233</v>
      </c>
      <c r="M732" s="37">
        <f t="shared" si="79"/>
        <v>8.0499090917727223E-3</v>
      </c>
      <c r="N732" s="43">
        <f t="shared" si="80"/>
        <v>2.4735400034516797E-3</v>
      </c>
      <c r="O732" s="43">
        <f t="shared" si="81"/>
        <v>4.3136662607692333E-3</v>
      </c>
      <c r="P732" s="43">
        <f t="shared" si="82"/>
        <v>0.30727552016453463</v>
      </c>
      <c r="Q732" s="37">
        <f t="shared" si="83"/>
        <v>0.53586521432620215</v>
      </c>
      <c r="R732" s="37">
        <v>-5.0000000000000001E-4</v>
      </c>
      <c r="S732" s="44" t="s">
        <v>1393</v>
      </c>
      <c r="T732" s="45">
        <v>0.61455525099999997</v>
      </c>
      <c r="U732" s="45">
        <v>0.65677501699999996</v>
      </c>
      <c r="V732" s="45">
        <v>1.0269934599999999</v>
      </c>
      <c r="W732" s="45">
        <v>1.45987884E-2</v>
      </c>
      <c r="X732" s="45">
        <v>2.8776958799999999E-3</v>
      </c>
      <c r="Y732" s="45">
        <v>107.653051</v>
      </c>
      <c r="Z732" s="36">
        <v>2.52</v>
      </c>
      <c r="AA732" s="38">
        <v>560</v>
      </c>
      <c r="AB732" s="38">
        <v>714</v>
      </c>
      <c r="AC732" s="49" t="s">
        <v>506</v>
      </c>
      <c r="AD732" s="39" t="s">
        <v>1371</v>
      </c>
      <c r="AE732" s="48" t="s">
        <v>767</v>
      </c>
    </row>
    <row r="733" spans="1:31" ht="15" thickBot="1">
      <c r="A733" s="34">
        <v>731</v>
      </c>
      <c r="B733" s="34" t="s">
        <v>753</v>
      </c>
      <c r="C733" s="41" t="s">
        <v>1355</v>
      </c>
      <c r="D733" s="34" t="s">
        <v>1270</v>
      </c>
      <c r="E733" s="80">
        <f t="shared" si="77"/>
        <v>1.5167999694465282</v>
      </c>
      <c r="F733" s="35">
        <f t="shared" si="78"/>
        <v>64.199445184724127</v>
      </c>
      <c r="G733" s="42" cm="1">
        <f t="array" ref="G73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63.992423164285711</v>
      </c>
      <c r="H733" s="81" cm="1">
        <f t="array" ref="H7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1.5143234897092739</v>
      </c>
      <c r="I733" s="81" cm="1">
        <f t="array" ref="I7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1.5167999694465282</v>
      </c>
      <c r="J733" s="81" cm="1">
        <f t="array" ref="J7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1.5187209470646656</v>
      </c>
      <c r="K733" s="81" cm="1">
        <f t="array" ref="K7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1.5223734030373333</v>
      </c>
      <c r="L733" s="81" cm="1">
        <f t="array" ref="L7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1.5266802776564277</v>
      </c>
      <c r="M733" s="37">
        <f t="shared" si="79"/>
        <v>8.0499133280593771E-3</v>
      </c>
      <c r="N733" s="43">
        <f t="shared" si="80"/>
        <v>2.476479737254289E-3</v>
      </c>
      <c r="O733" s="43">
        <f t="shared" si="81"/>
        <v>4.3068746190944029E-3</v>
      </c>
      <c r="P733" s="43">
        <f t="shared" si="82"/>
        <v>0.30764054671521579</v>
      </c>
      <c r="Q733" s="37">
        <f t="shared" si="83"/>
        <v>0.5350212410464148</v>
      </c>
      <c r="R733" s="37">
        <v>-1.2999999999999999E-3</v>
      </c>
      <c r="S733" s="44" t="s">
        <v>1393</v>
      </c>
      <c r="T733" s="45">
        <v>0.68474307199999995</v>
      </c>
      <c r="U733" s="45">
        <v>0.58677237599999998</v>
      </c>
      <c r="V733" s="45">
        <v>1.14804248</v>
      </c>
      <c r="W733" s="45">
        <v>3.1353974099999999E-3</v>
      </c>
      <c r="X733" s="45">
        <v>1.4810133E-2</v>
      </c>
      <c r="Y733" s="45">
        <v>116.583792</v>
      </c>
      <c r="Z733" s="36">
        <v>2.5099999999999998</v>
      </c>
      <c r="AA733" s="38">
        <v>585</v>
      </c>
      <c r="AB733" s="38">
        <v>733</v>
      </c>
      <c r="AC733" s="49" t="s">
        <v>506</v>
      </c>
      <c r="AD733" s="39" t="s">
        <v>1371</v>
      </c>
      <c r="AE733" s="48" t="str">
        <f t="shared" ref="AE733:AE796" si="84">IF(RIGHT(D733,2)="GT","Transmission improved type.","")</f>
        <v/>
      </c>
    </row>
    <row r="734" spans="1:31" ht="15" thickBot="1">
      <c r="A734" s="34">
        <v>732</v>
      </c>
      <c r="B734" s="34" t="s">
        <v>753</v>
      </c>
      <c r="C734" s="41" t="s">
        <v>1355</v>
      </c>
      <c r="D734" s="34" t="s">
        <v>522</v>
      </c>
      <c r="E734" s="80">
        <f t="shared" si="77"/>
        <v>1.5181800096351699</v>
      </c>
      <c r="F734" s="35">
        <f t="shared" si="78"/>
        <v>58.950029025149057</v>
      </c>
      <c r="G734" s="42" cm="1">
        <f t="array" ref="G73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58.680077685913446</v>
      </c>
      <c r="H734" s="81" cm="1">
        <f t="array" ref="H7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1.515507676112388</v>
      </c>
      <c r="I734" s="81" cm="1">
        <f t="array" ref="I7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1.5181800096351699</v>
      </c>
      <c r="J734" s="81" cm="1">
        <f t="array" ref="J7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1.5202753341042405</v>
      </c>
      <c r="K734" s="81" cm="1">
        <f t="array" ref="K7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1.5242978331013541</v>
      </c>
      <c r="L734" s="81" cm="1">
        <f t="array" ref="L7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1.5290907273241754</v>
      </c>
      <c r="M734" s="37">
        <f t="shared" si="79"/>
        <v>8.7901569889661246E-3</v>
      </c>
      <c r="N734" s="43">
        <f t="shared" si="80"/>
        <v>2.6723335227818446E-3</v>
      </c>
      <c r="O734" s="43">
        <f t="shared" si="81"/>
        <v>4.7928942228212534E-3</v>
      </c>
      <c r="P734" s="43">
        <f t="shared" si="82"/>
        <v>0.30401431125022005</v>
      </c>
      <c r="Q734" s="37">
        <f t="shared" si="83"/>
        <v>0.54525695375378969</v>
      </c>
      <c r="R734" s="37">
        <v>0</v>
      </c>
      <c r="S734" s="44" t="s">
        <v>1393</v>
      </c>
      <c r="T734" s="45">
        <v>0.231760668</v>
      </c>
      <c r="U734" s="45">
        <v>1.03993508</v>
      </c>
      <c r="V734" s="45">
        <v>0.96696687800000003</v>
      </c>
      <c r="W734" s="45">
        <v>2.3784071100000002E-2</v>
      </c>
      <c r="X734" s="45">
        <v>6.1527126900000001E-3</v>
      </c>
      <c r="Y734" s="45">
        <v>117.740117</v>
      </c>
      <c r="Z734" s="36">
        <v>2.5</v>
      </c>
      <c r="AA734" s="38">
        <v>511</v>
      </c>
      <c r="AB734" s="38">
        <v>675</v>
      </c>
      <c r="AC734" s="49" t="s">
        <v>506</v>
      </c>
      <c r="AD734" s="49" t="s">
        <v>506</v>
      </c>
      <c r="AE734" s="48" t="str">
        <f t="shared" si="84"/>
        <v/>
      </c>
    </row>
    <row r="735" spans="1:31" ht="15" thickBot="1">
      <c r="A735" s="34">
        <v>733</v>
      </c>
      <c r="B735" s="34" t="s">
        <v>753</v>
      </c>
      <c r="C735" s="41" t="s">
        <v>1355</v>
      </c>
      <c r="D735" s="34" t="s">
        <v>523</v>
      </c>
      <c r="E735" s="80">
        <f t="shared" si="77"/>
        <v>1.5263799988825402</v>
      </c>
      <c r="F735" s="35">
        <f t="shared" si="78"/>
        <v>60.158081427473434</v>
      </c>
      <c r="G735" s="42" cm="1">
        <f t="array" ref="G73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59.885774309637327</v>
      </c>
      <c r="H735" s="81" cm="1">
        <f t="array" ref="H7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1.5237178056585923</v>
      </c>
      <c r="I735" s="81" cm="1">
        <f t="array" ref="I7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1.5263799988825402</v>
      </c>
      <c r="J735" s="81" cm="1">
        <f t="array" ref="J7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1.5284663751841241</v>
      </c>
      <c r="K735" s="81" cm="1">
        <f t="array" ref="K7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1.532467752239205</v>
      </c>
      <c r="L735" s="81" cm="1">
        <f t="array" ref="L7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1.5372264569329643</v>
      </c>
      <c r="M735" s="37">
        <f t="shared" si="79"/>
        <v>8.7499465806126775E-3</v>
      </c>
      <c r="N735" s="43">
        <f t="shared" si="80"/>
        <v>2.6621932239478951E-3</v>
      </c>
      <c r="O735" s="43">
        <f t="shared" si="81"/>
        <v>4.7587046937593858E-3</v>
      </c>
      <c r="P735" s="43">
        <f t="shared" si="82"/>
        <v>0.30425251164921813</v>
      </c>
      <c r="Q735" s="37">
        <f t="shared" si="83"/>
        <v>0.54385528527720195</v>
      </c>
      <c r="R735" s="37">
        <v>5.0000000000000001E-4</v>
      </c>
      <c r="S735" s="44" t="s">
        <v>1393</v>
      </c>
      <c r="T735" s="45">
        <v>0.79553693599999997</v>
      </c>
      <c r="U735" s="45">
        <v>0.50094925199999996</v>
      </c>
      <c r="V735" s="45">
        <v>0.90505223499999998</v>
      </c>
      <c r="W735" s="45">
        <v>4.0087321900000002E-3</v>
      </c>
      <c r="X735" s="45">
        <v>1.75436655E-2</v>
      </c>
      <c r="Y735" s="45">
        <v>111.287063</v>
      </c>
      <c r="Z735" s="36">
        <v>2.69</v>
      </c>
      <c r="AA735" s="38">
        <v>515</v>
      </c>
      <c r="AB735" s="38">
        <v>682</v>
      </c>
      <c r="AC735" s="49" t="s">
        <v>506</v>
      </c>
      <c r="AD735" s="49" t="s">
        <v>506</v>
      </c>
      <c r="AE735" s="48" t="str">
        <f t="shared" si="84"/>
        <v/>
      </c>
    </row>
    <row r="736" spans="1:31" ht="15" thickBot="1">
      <c r="A736" s="34">
        <v>734</v>
      </c>
      <c r="B736" s="34" t="s">
        <v>753</v>
      </c>
      <c r="C736" s="41" t="s">
        <v>1355</v>
      </c>
      <c r="D736" s="34" t="s">
        <v>694</v>
      </c>
      <c r="E736" s="80">
        <f t="shared" si="77"/>
        <v>1.5335887464395788</v>
      </c>
      <c r="F736" s="35">
        <f t="shared" si="78"/>
        <v>55.470643058725599</v>
      </c>
      <c r="G736" s="42" cm="1">
        <f t="array" ref="G73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55.194735325334278</v>
      </c>
      <c r="H736" s="81" cm="1">
        <f t="array" ref="H7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1.5306779761724658</v>
      </c>
      <c r="I736" s="81" cm="1">
        <f t="array" ref="I7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1.5335887464395788</v>
      </c>
      <c r="J736" s="81" cm="1">
        <f t="array" ref="J7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1.535880894039183</v>
      </c>
      <c r="K736" s="81" cm="1">
        <f t="array" ref="K7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1.5402972759861471</v>
      </c>
      <c r="L736" s="81" cm="1">
        <f t="array" ref="L7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1.5455782484668232</v>
      </c>
      <c r="M736" s="37">
        <f t="shared" si="79"/>
        <v>9.6192998136812591E-3</v>
      </c>
      <c r="N736" s="43">
        <f t="shared" si="80"/>
        <v>2.9107702671129498E-3</v>
      </c>
      <c r="O736" s="43">
        <f t="shared" si="81"/>
        <v>5.2809724806761604E-3</v>
      </c>
      <c r="P736" s="43">
        <f t="shared" si="82"/>
        <v>0.30259689618708457</v>
      </c>
      <c r="Q736" s="37">
        <f t="shared" si="83"/>
        <v>0.54899759680690918</v>
      </c>
      <c r="R736" s="37">
        <v>-2.3E-3</v>
      </c>
      <c r="S736" s="44" t="s">
        <v>1394</v>
      </c>
      <c r="T736" s="45">
        <v>2.3150642499999998</v>
      </c>
      <c r="U736" s="45">
        <v>-8.2715616599999993E-3</v>
      </c>
      <c r="V736" s="45">
        <v>1.29535559E-2</v>
      </c>
      <c r="W736" s="45">
        <v>2.6850519900000001E-4</v>
      </c>
      <c r="X736" s="45">
        <v>-5.4602826799999999E-6</v>
      </c>
      <c r="Y736" s="45">
        <v>6.2432562099999998E-7</v>
      </c>
      <c r="Z736" s="36">
        <v>2.72</v>
      </c>
      <c r="AA736" s="38">
        <v>502</v>
      </c>
      <c r="AB736" s="38">
        <v>668</v>
      </c>
      <c r="AC736" s="49" t="s">
        <v>506</v>
      </c>
      <c r="AD736" s="49" t="s">
        <v>506</v>
      </c>
      <c r="AE736" s="48" t="str">
        <f t="shared" si="84"/>
        <v/>
      </c>
    </row>
    <row r="737" spans="1:31" ht="15" thickBot="1">
      <c r="A737" s="34">
        <v>735</v>
      </c>
      <c r="B737" s="34" t="s">
        <v>753</v>
      </c>
      <c r="C737" s="41" t="s">
        <v>1355</v>
      </c>
      <c r="D737" s="34" t="s">
        <v>524</v>
      </c>
      <c r="E737" s="80">
        <f t="shared" si="77"/>
        <v>1.5224899981842002</v>
      </c>
      <c r="F737" s="35">
        <f t="shared" si="78"/>
        <v>59.481456737562389</v>
      </c>
      <c r="G737" s="42" cm="1">
        <f t="array" ref="G73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59.218863222952109</v>
      </c>
      <c r="H737" s="81" cm="1">
        <f t="array" ref="H7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1.5198156931954367</v>
      </c>
      <c r="I737" s="81" cm="1">
        <f t="array" ref="I7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1.5224899981842002</v>
      </c>
      <c r="J737" s="81" cm="1">
        <f t="array" ref="J7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1.5245842138968981</v>
      </c>
      <c r="K737" s="81" cm="1">
        <f t="array" ref="K7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1.5285997752748228</v>
      </c>
      <c r="L737" s="81" cm="1">
        <f t="array" ref="L7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1.5333787579744282</v>
      </c>
      <c r="M737" s="37">
        <f t="shared" si="79"/>
        <v>8.7840820793860797E-3</v>
      </c>
      <c r="N737" s="43">
        <f t="shared" si="80"/>
        <v>2.6743049887634207E-3</v>
      </c>
      <c r="O737" s="43">
        <f t="shared" si="81"/>
        <v>4.7789826996054163E-3</v>
      </c>
      <c r="P737" s="43">
        <f t="shared" si="82"/>
        <v>0.30444899815306919</v>
      </c>
      <c r="Q737" s="37">
        <f t="shared" si="83"/>
        <v>0.54405032380337459</v>
      </c>
      <c r="R737" s="37">
        <v>-2.9999999999999997E-4</v>
      </c>
      <c r="S737" s="44" t="s">
        <v>1393</v>
      </c>
      <c r="T737" s="45">
        <v>1.1952470100000001</v>
      </c>
      <c r="U737" s="45">
        <v>8.9507693299999996E-2</v>
      </c>
      <c r="V737" s="45">
        <v>0.92021744299999997</v>
      </c>
      <c r="W737" s="45">
        <v>7.64077104E-3</v>
      </c>
      <c r="X737" s="45">
        <v>3.1808570600000002E-2</v>
      </c>
      <c r="Y737" s="45">
        <v>109.312054</v>
      </c>
      <c r="Z737" s="36">
        <v>2.52</v>
      </c>
      <c r="AA737" s="38">
        <v>564</v>
      </c>
      <c r="AB737" s="38">
        <v>736</v>
      </c>
      <c r="AC737" s="49" t="s">
        <v>506</v>
      </c>
      <c r="AD737" s="49" t="s">
        <v>506</v>
      </c>
      <c r="AE737" s="48" t="str">
        <f t="shared" si="84"/>
        <v/>
      </c>
    </row>
    <row r="738" spans="1:31" ht="15" thickBot="1">
      <c r="A738" s="34">
        <v>736</v>
      </c>
      <c r="B738" s="34" t="s">
        <v>753</v>
      </c>
      <c r="C738" s="41" t="s">
        <v>1355</v>
      </c>
      <c r="D738" s="34" t="s">
        <v>525</v>
      </c>
      <c r="E738" s="80">
        <f t="shared" si="77"/>
        <v>1.5230700078148736</v>
      </c>
      <c r="F738" s="35">
        <f t="shared" si="78"/>
        <v>58.640486831603241</v>
      </c>
      <c r="G738" s="42" cm="1">
        <f t="array" ref="G73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58.368680084117841</v>
      </c>
      <c r="H738" s="81" cm="1">
        <f t="array" ref="H7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1.5203601769823811</v>
      </c>
      <c r="I738" s="81" cm="1">
        <f t="array" ref="I7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1.5230700078148736</v>
      </c>
      <c r="J738" s="81" cm="1">
        <f t="array" ref="J7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1.5251964571029977</v>
      </c>
      <c r="K738" s="81" cm="1">
        <f t="array" ref="K7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1.5292801235257474</v>
      </c>
      <c r="L738" s="81" cm="1">
        <f t="array" ref="L7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1.5341427280065956</v>
      </c>
      <c r="M738" s="37">
        <f t="shared" si="79"/>
        <v>8.9199465433662528E-3</v>
      </c>
      <c r="N738" s="43">
        <f t="shared" si="80"/>
        <v>2.7098308324924325E-3</v>
      </c>
      <c r="O738" s="43">
        <f t="shared" si="81"/>
        <v>4.8626044808481872E-3</v>
      </c>
      <c r="P738" s="43">
        <f t="shared" si="82"/>
        <v>0.30379451483459041</v>
      </c>
      <c r="Q738" s="37">
        <f t="shared" si="83"/>
        <v>0.54513829844243822</v>
      </c>
      <c r="R738" s="37">
        <v>-6.9999999999999999E-4</v>
      </c>
      <c r="S738" s="44" t="s">
        <v>1393</v>
      </c>
      <c r="T738" s="45">
        <v>0.96016180799999995</v>
      </c>
      <c r="U738" s="45">
        <v>1.1836896299999999</v>
      </c>
      <c r="V738" s="45">
        <v>0.102338243</v>
      </c>
      <c r="W738" s="45">
        <v>116.24248</v>
      </c>
      <c r="X738" s="45">
        <v>1.18029997E-2</v>
      </c>
      <c r="Y738" s="45">
        <v>-1.8957577699999999E-2</v>
      </c>
      <c r="Z738" s="36">
        <v>2.5299999999999998</v>
      </c>
      <c r="AA738" s="38">
        <v>558</v>
      </c>
      <c r="AB738" s="38">
        <v>735</v>
      </c>
      <c r="AC738" s="49" t="s">
        <v>506</v>
      </c>
      <c r="AD738" s="39" t="s">
        <v>1371</v>
      </c>
      <c r="AE738" s="48" t="str">
        <f t="shared" si="84"/>
        <v/>
      </c>
    </row>
    <row r="739" spans="1:31" ht="15" thickBot="1">
      <c r="A739" s="34">
        <v>737</v>
      </c>
      <c r="B739" s="34" t="s">
        <v>753</v>
      </c>
      <c r="C739" s="41" t="s">
        <v>1366</v>
      </c>
      <c r="D739" s="34" t="s">
        <v>695</v>
      </c>
      <c r="E739" s="80">
        <f t="shared" si="77"/>
        <v>1.6180001129440871</v>
      </c>
      <c r="F739" s="35">
        <f t="shared" si="78"/>
        <v>63.393451529567201</v>
      </c>
      <c r="G739" s="42" cm="1">
        <f t="array" ref="G73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63.088147571857412</v>
      </c>
      <c r="H739" s="81" cm="1">
        <f t="array" ref="H7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1.6150368504574673</v>
      </c>
      <c r="I739" s="81" cm="1">
        <f t="array" ref="I7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1.6180001129440871</v>
      </c>
      <c r="J739" s="81" cm="1">
        <f t="array" ref="J7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1.6203255491308048</v>
      </c>
      <c r="K739" s="81" cm="1">
        <f t="array" ref="K7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1.624785493227862</v>
      </c>
      <c r="L739" s="81" cm="1">
        <f t="array" ref="L7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1.6300815151070107</v>
      </c>
      <c r="M739" s="37">
        <f t="shared" si="79"/>
        <v>9.7486427703947776E-3</v>
      </c>
      <c r="N739" s="43">
        <f t="shared" si="80"/>
        <v>2.9632624866198221E-3</v>
      </c>
      <c r="O739" s="43">
        <f t="shared" si="81"/>
        <v>5.2960218791486824E-3</v>
      </c>
      <c r="P739" s="43">
        <f t="shared" si="82"/>
        <v>0.30396667068556693</v>
      </c>
      <c r="Q739" s="37">
        <f t="shared" si="83"/>
        <v>0.54325735426801536</v>
      </c>
      <c r="R739" s="37">
        <v>5.4000000000000003E-3</v>
      </c>
      <c r="S739" s="44" t="s">
        <v>1393</v>
      </c>
      <c r="T739" s="45">
        <v>0.94404949800000004</v>
      </c>
      <c r="U739" s="45">
        <v>1.05017122</v>
      </c>
      <c r="V739" s="45">
        <v>0.52756870899999997</v>
      </c>
      <c r="W739" s="45">
        <v>109.03576200000001</v>
      </c>
      <c r="X739" s="45">
        <v>1.32903754E-2</v>
      </c>
      <c r="Y739" s="45">
        <v>7.4146296799999995E-4</v>
      </c>
      <c r="Z739" s="36">
        <v>3.61</v>
      </c>
      <c r="AA739" s="38">
        <v>618</v>
      </c>
      <c r="AB739" s="38">
        <v>703</v>
      </c>
      <c r="AC739" s="49" t="s">
        <v>506</v>
      </c>
      <c r="AD739" s="39" t="s">
        <v>1371</v>
      </c>
      <c r="AE739" s="48" t="str">
        <f t="shared" si="84"/>
        <v/>
      </c>
    </row>
    <row r="740" spans="1:31" ht="15" thickBot="1">
      <c r="A740" s="34">
        <v>738</v>
      </c>
      <c r="B740" s="34" t="s">
        <v>753</v>
      </c>
      <c r="C740" s="41" t="s">
        <v>1366</v>
      </c>
      <c r="D740" s="34" t="s">
        <v>696</v>
      </c>
      <c r="E740" s="80">
        <f t="shared" si="77"/>
        <v>1.6030010414370695</v>
      </c>
      <c r="F740" s="35">
        <f t="shared" si="78"/>
        <v>65.460390720603641</v>
      </c>
      <c r="G740" s="42" cm="1">
        <f t="array" ref="G74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65.181016423719711</v>
      </c>
      <c r="H740" s="81" cm="1">
        <f t="array" ref="H7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1.6001861963358495</v>
      </c>
      <c r="I740" s="81" cm="1">
        <f t="array" ref="I7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1.6030010414370695</v>
      </c>
      <c r="J740" s="81" cm="1">
        <f t="array" ref="J7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1.605198366170598</v>
      </c>
      <c r="K740" s="81" cm="1">
        <f t="array" ref="K7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1.609397889617834</v>
      </c>
      <c r="L740" s="81" cm="1">
        <f t="array" ref="L7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1.6143785642142456</v>
      </c>
      <c r="M740" s="37">
        <f t="shared" si="79"/>
        <v>9.2116932819845676E-3</v>
      </c>
      <c r="N740" s="43">
        <f t="shared" si="80"/>
        <v>2.8148451012199871E-3</v>
      </c>
      <c r="O740" s="43">
        <f t="shared" si="81"/>
        <v>4.980674596411605E-3</v>
      </c>
      <c r="P740" s="43">
        <f t="shared" si="82"/>
        <v>0.30557303799129065</v>
      </c>
      <c r="Q740" s="37">
        <f t="shared" si="83"/>
        <v>0.54069045114130942</v>
      </c>
      <c r="R740" s="37">
        <v>6.4999999999999997E-3</v>
      </c>
      <c r="S740" s="44" t="s">
        <v>1394</v>
      </c>
      <c r="T740" s="45">
        <v>2.53073192</v>
      </c>
      <c r="U740" s="45">
        <v>-8.3442991000000008E-3</v>
      </c>
      <c r="V740" s="45">
        <v>1.46551845E-2</v>
      </c>
      <c r="W740" s="45">
        <v>-2.1664738900000001E-4</v>
      </c>
      <c r="X740" s="45">
        <v>5.3552538900000001E-5</v>
      </c>
      <c r="Y740" s="45">
        <v>-2.4615826300000002E-6</v>
      </c>
      <c r="Z740" s="36">
        <v>3.5</v>
      </c>
      <c r="AA740" s="38">
        <v>619</v>
      </c>
      <c r="AB740" s="38">
        <v>699</v>
      </c>
      <c r="AC740" s="49" t="s">
        <v>506</v>
      </c>
      <c r="AD740" s="39" t="s">
        <v>1371</v>
      </c>
      <c r="AE740" s="48" t="str">
        <f t="shared" si="84"/>
        <v/>
      </c>
    </row>
    <row r="741" spans="1:31" ht="15" thickBot="1">
      <c r="A741" s="34">
        <v>739</v>
      </c>
      <c r="B741" s="34" t="s">
        <v>753</v>
      </c>
      <c r="C741" s="41" t="s">
        <v>1365</v>
      </c>
      <c r="D741" s="34" t="s">
        <v>697</v>
      </c>
      <c r="E741" s="80">
        <f t="shared" si="77"/>
        <v>1.593490015061618</v>
      </c>
      <c r="F741" s="35">
        <f t="shared" si="78"/>
        <v>67.28616018739865</v>
      </c>
      <c r="G741" s="42" cm="1">
        <f t="array" ref="G74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67.026827986349417</v>
      </c>
      <c r="H741" s="81" cm="1">
        <f t="array" ref="H7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1.5907859878563753</v>
      </c>
      <c r="I741" s="81" cm="1">
        <f t="array" ref="I7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1.593490015061618</v>
      </c>
      <c r="J741" s="81" cm="1">
        <f t="array" ref="J7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1.5955951032881326</v>
      </c>
      <c r="K741" s="81" cm="1">
        <f t="array" ref="K7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1.5996063754874823</v>
      </c>
      <c r="L741" s="81" cm="1">
        <f t="array" ref="L7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1.6043410740685773</v>
      </c>
      <c r="M741" s="37">
        <f t="shared" si="79"/>
        <v>8.8203876311070406E-3</v>
      </c>
      <c r="N741" s="43">
        <f t="shared" si="80"/>
        <v>2.704027205242765E-3</v>
      </c>
      <c r="O741" s="43">
        <f t="shared" si="81"/>
        <v>4.7346985810949871E-3</v>
      </c>
      <c r="P741" s="43">
        <f t="shared" si="82"/>
        <v>0.30656557493079073</v>
      </c>
      <c r="Q741" s="37">
        <f t="shared" si="83"/>
        <v>0.5367903066297256</v>
      </c>
      <c r="R741" s="37">
        <v>5.7000000000000002E-3</v>
      </c>
      <c r="S741" s="44" t="s">
        <v>1393</v>
      </c>
      <c r="T741" s="45">
        <v>0.81454536700000002</v>
      </c>
      <c r="U741" s="45">
        <v>1.1055889999999999</v>
      </c>
      <c r="V741" s="45">
        <v>0.690102416</v>
      </c>
      <c r="W741" s="45">
        <v>3.53645413E-3</v>
      </c>
      <c r="X741" s="45">
        <v>111.251357</v>
      </c>
      <c r="Y741" s="45">
        <v>1.41865271E-2</v>
      </c>
      <c r="Z741" s="36">
        <v>3.36</v>
      </c>
      <c r="AA741" s="38">
        <v>512</v>
      </c>
      <c r="AB741" s="38">
        <v>596</v>
      </c>
      <c r="AC741" s="49" t="s">
        <v>506</v>
      </c>
      <c r="AD741" s="49" t="s">
        <v>506</v>
      </c>
      <c r="AE741" s="48" t="str">
        <f t="shared" si="84"/>
        <v/>
      </c>
    </row>
    <row r="742" spans="1:31" ht="15" thickBot="1">
      <c r="A742" s="34">
        <v>740</v>
      </c>
      <c r="B742" s="34" t="s">
        <v>753</v>
      </c>
      <c r="C742" s="41" t="s">
        <v>1365</v>
      </c>
      <c r="D742" s="34" t="s">
        <v>698</v>
      </c>
      <c r="E742" s="80">
        <f t="shared" si="77"/>
        <v>1.5927999667494963</v>
      </c>
      <c r="F742" s="35">
        <f t="shared" si="78"/>
        <v>68.342833679957408</v>
      </c>
      <c r="G742" s="42" cm="1">
        <f t="array" ref="G74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67.968916463768068</v>
      </c>
      <c r="H742" s="81" cm="1">
        <f t="array" ref="H7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1.5901712006994453</v>
      </c>
      <c r="I742" s="81" cm="1">
        <f t="array" ref="I7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1.5927999667494963</v>
      </c>
      <c r="J742" s="81" cm="1">
        <f t="array" ref="J7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1.5948692982177803</v>
      </c>
      <c r="K742" s="81" cm="1">
        <f t="array" ref="K7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1.598845116234255</v>
      </c>
      <c r="L742" s="81" cm="1">
        <f t="array" ref="L7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1.6035701626604231</v>
      </c>
      <c r="M742" s="37">
        <f t="shared" si="79"/>
        <v>8.673915534809673E-3</v>
      </c>
      <c r="N742" s="43">
        <f t="shared" si="80"/>
        <v>2.6287660500510235E-3</v>
      </c>
      <c r="O742" s="43">
        <f t="shared" si="81"/>
        <v>4.7250464261681113E-3</v>
      </c>
      <c r="P742" s="43">
        <f t="shared" si="82"/>
        <v>0.30306567310938254</v>
      </c>
      <c r="Q742" s="37">
        <f t="shared" si="83"/>
        <v>0.54474203803412879</v>
      </c>
      <c r="R742" s="37">
        <v>1.54E-2</v>
      </c>
      <c r="S742" s="44" t="s">
        <v>1393</v>
      </c>
      <c r="T742" s="45">
        <v>0.25956293400000002</v>
      </c>
      <c r="U742" s="45">
        <v>1.2413196900000001</v>
      </c>
      <c r="V742" s="45">
        <v>0.78723739000000004</v>
      </c>
      <c r="W742" s="45">
        <v>1.9623186899999999E-2</v>
      </c>
      <c r="X742" s="45">
        <v>6.1966995900000002E-3</v>
      </c>
      <c r="Y742" s="45">
        <v>123.753444</v>
      </c>
      <c r="Z742" s="36">
        <v>4.29</v>
      </c>
      <c r="AA742" s="38">
        <v>567</v>
      </c>
      <c r="AB742" s="38">
        <v>633</v>
      </c>
      <c r="AC742" s="49" t="s">
        <v>506</v>
      </c>
      <c r="AD742" s="39" t="s">
        <v>1371</v>
      </c>
      <c r="AE742" s="48" t="str">
        <f t="shared" si="84"/>
        <v/>
      </c>
    </row>
    <row r="743" spans="1:31" ht="15" thickBot="1">
      <c r="A743" s="34">
        <v>741</v>
      </c>
      <c r="B743" s="34" t="s">
        <v>753</v>
      </c>
      <c r="C743" s="41" t="s">
        <v>1365</v>
      </c>
      <c r="D743" s="34" t="s">
        <v>699</v>
      </c>
      <c r="E743" s="80">
        <f t="shared" si="77"/>
        <v>1.5690701313502844</v>
      </c>
      <c r="F743" s="35">
        <f t="shared" si="78"/>
        <v>71.305098964156883</v>
      </c>
      <c r="G743" s="42" cm="1">
        <f t="array" ref="G74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70.906522190085312</v>
      </c>
      <c r="H743" s="81" cm="1">
        <f t="array" ref="H7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1.5666511680201358</v>
      </c>
      <c r="I743" s="81" cm="1">
        <f t="array" ref="I7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1.5690701313502844</v>
      </c>
      <c r="J743" s="81" cm="1">
        <f t="array" ref="J7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1.5709743033287182</v>
      </c>
      <c r="K743" s="81" cm="1">
        <f t="array" ref="K7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1.5746319455468081</v>
      </c>
      <c r="L743" s="81" cm="1">
        <f t="array" ref="L7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1.5789761489770404</v>
      </c>
      <c r="M743" s="37">
        <f t="shared" si="79"/>
        <v>7.9807775266722558E-3</v>
      </c>
      <c r="N743" s="43">
        <f t="shared" si="80"/>
        <v>2.4189633301485713E-3</v>
      </c>
      <c r="O743" s="43">
        <f t="shared" si="81"/>
        <v>4.3442034302323407E-3</v>
      </c>
      <c r="P743" s="43">
        <f t="shared" si="82"/>
        <v>0.30309870461421146</v>
      </c>
      <c r="Q743" s="37">
        <f t="shared" si="83"/>
        <v>0.54433335796089322</v>
      </c>
      <c r="R743" s="37">
        <v>0.02</v>
      </c>
      <c r="S743" s="44" t="s">
        <v>1393</v>
      </c>
      <c r="T743" s="45">
        <v>0.72540053199999999</v>
      </c>
      <c r="U743" s="45">
        <v>0.70376766099999999</v>
      </c>
      <c r="V743" s="45">
        <v>0.77228313999999998</v>
      </c>
      <c r="W743" s="45">
        <v>2.9698378300000001E-3</v>
      </c>
      <c r="X743" s="45">
        <v>1.3434264E-2</v>
      </c>
      <c r="Y743" s="45">
        <v>135.21171100000001</v>
      </c>
      <c r="Z743" s="36">
        <v>4.3600000000000003</v>
      </c>
      <c r="AA743" s="38">
        <v>499</v>
      </c>
      <c r="AB743" s="38">
        <v>566</v>
      </c>
      <c r="AC743" s="49" t="s">
        <v>506</v>
      </c>
      <c r="AD743" s="39" t="s">
        <v>1371</v>
      </c>
      <c r="AE743" s="48" t="str">
        <f t="shared" si="84"/>
        <v/>
      </c>
    </row>
    <row r="744" spans="1:31" ht="15" thickBot="1">
      <c r="A744" s="34">
        <v>742</v>
      </c>
      <c r="B744" s="34" t="s">
        <v>753</v>
      </c>
      <c r="C744" s="41" t="s">
        <v>1355</v>
      </c>
      <c r="D744" s="34" t="s">
        <v>526</v>
      </c>
      <c r="E744" s="80">
        <f t="shared" si="77"/>
        <v>1.5302801238067747</v>
      </c>
      <c r="F744" s="35">
        <f t="shared" si="78"/>
        <v>60.466853189790513</v>
      </c>
      <c r="G744" s="42" cm="1">
        <f t="array" ref="G74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60.20226395169275</v>
      </c>
      <c r="H744" s="81" cm="1">
        <f t="array" ref="H7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1.5276086631055363</v>
      </c>
      <c r="I744" s="81" cm="1">
        <f t="array" ref="I7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1.5302801238067747</v>
      </c>
      <c r="J744" s="81" cm="1">
        <f t="array" ref="J7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1.5323714336663308</v>
      </c>
      <c r="K744" s="81" cm="1">
        <f t="array" ref="K7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1.5363784286189219</v>
      </c>
      <c r="L744" s="81" cm="1">
        <f t="array" ref="L7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1.5411389019221251</v>
      </c>
      <c r="M744" s="37">
        <f t="shared" si="79"/>
        <v>8.7697655133855967E-3</v>
      </c>
      <c r="N744" s="43">
        <f t="shared" si="80"/>
        <v>2.6714607012383595E-3</v>
      </c>
      <c r="O744" s="43">
        <f t="shared" si="81"/>
        <v>4.7604733032031721E-3</v>
      </c>
      <c r="P744" s="43">
        <f t="shared" si="82"/>
        <v>0.30462167969722981</v>
      </c>
      <c r="Q744" s="37">
        <f t="shared" si="83"/>
        <v>0.54282788929043735</v>
      </c>
      <c r="R744" s="37">
        <v>0</v>
      </c>
      <c r="S744" s="44" t="s">
        <v>1393</v>
      </c>
      <c r="T744" s="45">
        <v>0.68598461300000002</v>
      </c>
      <c r="U744" s="45">
        <v>0.90167746900000001</v>
      </c>
      <c r="V744" s="45">
        <v>0.62242916699999995</v>
      </c>
      <c r="W744" s="45">
        <v>1.54934494E-2</v>
      </c>
      <c r="X744" s="45">
        <v>106.588731</v>
      </c>
      <c r="Y744" s="45">
        <v>2.2267001600000001E-3</v>
      </c>
      <c r="Z744" s="36">
        <v>2.74</v>
      </c>
      <c r="AA744" s="38">
        <v>564</v>
      </c>
      <c r="AB744" s="38">
        <v>744</v>
      </c>
      <c r="AC744" s="49" t="s">
        <v>506</v>
      </c>
      <c r="AD744" s="49" t="s">
        <v>506</v>
      </c>
      <c r="AE744" s="48" t="str">
        <f t="shared" si="84"/>
        <v/>
      </c>
    </row>
    <row r="745" spans="1:31" ht="15" thickBot="1">
      <c r="A745" s="34">
        <v>743</v>
      </c>
      <c r="B745" s="34" t="s">
        <v>753</v>
      </c>
      <c r="C745" s="41" t="s">
        <v>1355</v>
      </c>
      <c r="D745" s="34" t="s">
        <v>527</v>
      </c>
      <c r="E745" s="80">
        <f t="shared" si="77"/>
        <v>1.5399600679837218</v>
      </c>
      <c r="F745" s="35">
        <f t="shared" si="78"/>
        <v>59.724888726322433</v>
      </c>
      <c r="G745" s="42" cm="1">
        <f t="array" ref="G74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59.451222980128215</v>
      </c>
      <c r="H745" s="81" cm="1">
        <f t="array" ref="H7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1.5372109348831791</v>
      </c>
      <c r="I745" s="81" cm="1">
        <f t="array" ref="I7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1.5399600679837218</v>
      </c>
      <c r="J745" s="81" cm="1">
        <f t="array" ref="J7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1.5421155326919103</v>
      </c>
      <c r="K745" s="81" cm="1">
        <f t="array" ref="K7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1.5462517230620902</v>
      </c>
      <c r="L745" s="81" cm="1">
        <f t="array" ref="L7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1.5511743941899503</v>
      </c>
      <c r="M745" s="37">
        <f t="shared" si="79"/>
        <v>9.0407881789111855E-3</v>
      </c>
      <c r="N745" s="43">
        <f t="shared" si="80"/>
        <v>2.7491331005427E-3</v>
      </c>
      <c r="O745" s="43">
        <f t="shared" si="81"/>
        <v>4.9226711278600455E-3</v>
      </c>
      <c r="P745" s="43">
        <f t="shared" si="82"/>
        <v>0.30408113166011463</v>
      </c>
      <c r="Q745" s="37">
        <f t="shared" si="83"/>
        <v>0.54449579289367889</v>
      </c>
      <c r="R745" s="37">
        <v>4.0000000000000002E-4</v>
      </c>
      <c r="S745" s="44" t="s">
        <v>1393</v>
      </c>
      <c r="T745" s="45">
        <v>0.61838922299999999</v>
      </c>
      <c r="U745" s="45">
        <v>0.71840030600000004</v>
      </c>
      <c r="V745" s="45">
        <v>1.07451466</v>
      </c>
      <c r="W745" s="45">
        <v>1.74653825E-3</v>
      </c>
      <c r="X745" s="45">
        <v>1.5811296700000001E-2</v>
      </c>
      <c r="Y745" s="45">
        <v>126.584788</v>
      </c>
      <c r="Z745" s="36">
        <v>2.84</v>
      </c>
      <c r="AA745" s="38">
        <v>555</v>
      </c>
      <c r="AB745" s="38">
        <v>742</v>
      </c>
      <c r="AC745" s="49" t="s">
        <v>506</v>
      </c>
      <c r="AD745" s="49" t="s">
        <v>506</v>
      </c>
      <c r="AE745" s="48" t="str">
        <f t="shared" si="84"/>
        <v/>
      </c>
    </row>
    <row r="746" spans="1:31" ht="15" thickBot="1">
      <c r="A746" s="34">
        <v>744</v>
      </c>
      <c r="B746" s="34" t="s">
        <v>753</v>
      </c>
      <c r="C746" s="41" t="s">
        <v>1355</v>
      </c>
      <c r="D746" s="34" t="s">
        <v>528</v>
      </c>
      <c r="E746" s="80">
        <f t="shared" si="77"/>
        <v>1.5467799921451626</v>
      </c>
      <c r="F746" s="35">
        <f t="shared" si="78"/>
        <v>62.776812829619104</v>
      </c>
      <c r="G746" s="42" cm="1">
        <f t="array" ref="G74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62.550588778931612</v>
      </c>
      <c r="H746" s="81" cm="1">
        <f t="array" ref="H7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1.5441094444681869</v>
      </c>
      <c r="I746" s="81" cm="1">
        <f t="array" ref="I7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1.5467799921451626</v>
      </c>
      <c r="J746" s="81" cm="1">
        <f t="array" ref="J7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1.5488581630992213</v>
      </c>
      <c r="K746" s="81" cm="1">
        <f t="array" ref="K7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1.5528193481332417</v>
      </c>
      <c r="L746" s="81" cm="1">
        <f t="array" ref="L7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1.5575002452949391</v>
      </c>
      <c r="M746" s="37">
        <f t="shared" si="79"/>
        <v>8.7099036650548634E-3</v>
      </c>
      <c r="N746" s="43">
        <f t="shared" si="80"/>
        <v>2.6705476769757208E-3</v>
      </c>
      <c r="O746" s="43">
        <f t="shared" si="81"/>
        <v>4.6808971616973949E-3</v>
      </c>
      <c r="P746" s="43">
        <f t="shared" si="82"/>
        <v>0.30661047236265837</v>
      </c>
      <c r="Q746" s="37">
        <f t="shared" si="83"/>
        <v>0.53742238051124414</v>
      </c>
      <c r="R746" s="37">
        <v>-1.4E-3</v>
      </c>
      <c r="S746" s="44" t="s">
        <v>1393</v>
      </c>
      <c r="T746" s="45">
        <v>0.63512858000000005</v>
      </c>
      <c r="U746" s="45">
        <v>0.92083976300000003</v>
      </c>
      <c r="V746" s="45">
        <v>0.72465432600000002</v>
      </c>
      <c r="W746" s="45">
        <v>2.5540702199999999E-3</v>
      </c>
      <c r="X746" s="45">
        <v>92.906509499999999</v>
      </c>
      <c r="Y746" s="45">
        <v>1.43580146E-2</v>
      </c>
      <c r="Z746" s="36">
        <v>2.84</v>
      </c>
      <c r="AA746" s="38">
        <v>590</v>
      </c>
      <c r="AB746" s="38">
        <v>731</v>
      </c>
      <c r="AC746" s="49" t="s">
        <v>506</v>
      </c>
      <c r="AD746" s="49" t="s">
        <v>506</v>
      </c>
      <c r="AE746" s="48" t="str">
        <f t="shared" si="84"/>
        <v/>
      </c>
    </row>
    <row r="747" spans="1:31" ht="15" thickBot="1">
      <c r="A747" s="34">
        <v>745</v>
      </c>
      <c r="B747" s="34" t="s">
        <v>753</v>
      </c>
      <c r="C747" s="41" t="s">
        <v>1355</v>
      </c>
      <c r="D747" s="34" t="s">
        <v>529</v>
      </c>
      <c r="E747" s="80">
        <f t="shared" si="77"/>
        <v>1.5524800010414974</v>
      </c>
      <c r="F747" s="35">
        <f t="shared" si="78"/>
        <v>63.366231969969846</v>
      </c>
      <c r="G747" s="42" cm="1">
        <f t="array" ref="G74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63.141024293302934</v>
      </c>
      <c r="H747" s="81" cm="1">
        <f t="array" ref="H7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1.5498051577712255</v>
      </c>
      <c r="I747" s="81" cm="1">
        <f t="array" ref="I7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1.5524800010414974</v>
      </c>
      <c r="J747" s="81" cm="1">
        <f t="array" ref="J7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1.5545604586725679</v>
      </c>
      <c r="K747" s="81" cm="1">
        <f t="array" ref="K7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1.5585239971887772</v>
      </c>
      <c r="L747" s="81" cm="1">
        <f t="array" ref="L7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1.563204797726415</v>
      </c>
      <c r="M747" s="37">
        <f t="shared" si="79"/>
        <v>8.7188394175516937E-3</v>
      </c>
      <c r="N747" s="43">
        <f t="shared" si="80"/>
        <v>2.6748432702718983E-3</v>
      </c>
      <c r="O747" s="43">
        <f t="shared" si="81"/>
        <v>4.6808005376377526E-3</v>
      </c>
      <c r="P747" s="43">
        <f t="shared" si="82"/>
        <v>0.30678891331422314</v>
      </c>
      <c r="Q747" s="37">
        <f t="shared" si="83"/>
        <v>0.53686050556395626</v>
      </c>
      <c r="R747" s="37">
        <v>-8.9999999999999998E-4</v>
      </c>
      <c r="S747" s="44" t="s">
        <v>1393</v>
      </c>
      <c r="T747" s="45">
        <v>0.55927945700000004</v>
      </c>
      <c r="U747" s="45">
        <v>0.98528649800000001</v>
      </c>
      <c r="V747" s="45">
        <v>0.81805946100000004</v>
      </c>
      <c r="W747" s="45">
        <v>1.7275627E-3</v>
      </c>
      <c r="X747" s="45">
        <v>97.867331399999998</v>
      </c>
      <c r="Y747" s="45">
        <v>1.3592995700000001E-2</v>
      </c>
      <c r="Z747" s="36">
        <v>2.9</v>
      </c>
      <c r="AA747" s="38">
        <v>611</v>
      </c>
      <c r="AB747" s="38">
        <v>753</v>
      </c>
      <c r="AC747" s="49" t="s">
        <v>506</v>
      </c>
      <c r="AD747" s="49" t="s">
        <v>506</v>
      </c>
      <c r="AE747" s="48" t="str">
        <f t="shared" si="84"/>
        <v/>
      </c>
    </row>
    <row r="748" spans="1:31" ht="15" thickBot="1">
      <c r="A748" s="34">
        <v>746</v>
      </c>
      <c r="B748" s="34" t="s">
        <v>753</v>
      </c>
      <c r="C748" s="41" t="s">
        <v>1355</v>
      </c>
      <c r="D748" s="34" t="s">
        <v>530</v>
      </c>
      <c r="E748" s="80">
        <f t="shared" si="77"/>
        <v>1.5606900169992772</v>
      </c>
      <c r="F748" s="35">
        <f t="shared" si="78"/>
        <v>58.345422251510094</v>
      </c>
      <c r="G748" s="42" cm="1">
        <f t="array" ref="G74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58.069985525694491</v>
      </c>
      <c r="H748" s="81" cm="1">
        <f t="array" ref="H7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1.557772831657013</v>
      </c>
      <c r="I748" s="81" cm="1">
        <f t="array" ref="I7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1.5606900169992772</v>
      </c>
      <c r="J748" s="81" cm="1">
        <f t="array" ref="J7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1.5629810548372636</v>
      </c>
      <c r="K748" s="81" cm="1">
        <f t="array" ref="K7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1.5673826689906483</v>
      </c>
      <c r="L748" s="81" cm="1">
        <f t="array" ref="L7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1.5726266600206551</v>
      </c>
      <c r="M748" s="37">
        <f t="shared" si="79"/>
        <v>9.609837333635296E-3</v>
      </c>
      <c r="N748" s="43">
        <f t="shared" si="80"/>
        <v>2.9171853422642613E-3</v>
      </c>
      <c r="O748" s="43">
        <f t="shared" si="81"/>
        <v>5.2439910300068338E-3</v>
      </c>
      <c r="P748" s="43">
        <f t="shared" si="82"/>
        <v>0.30356240599971968</v>
      </c>
      <c r="Q748" s="37">
        <f t="shared" si="83"/>
        <v>0.54568988505688776</v>
      </c>
      <c r="R748" s="37">
        <v>-6.9999999999999999E-4</v>
      </c>
      <c r="S748" s="44" t="s">
        <v>1393</v>
      </c>
      <c r="T748" s="45">
        <v>0.85808590299999998</v>
      </c>
      <c r="U748" s="45">
        <v>0.38007028999999998</v>
      </c>
      <c r="V748" s="45">
        <v>1.0178754699999999</v>
      </c>
      <c r="W748" s="45">
        <v>101.018871</v>
      </c>
      <c r="X748" s="45">
        <v>2.0367749500000001E-2</v>
      </c>
      <c r="Y748" s="45">
        <v>5.6451588999999998E-3</v>
      </c>
      <c r="Z748" s="36">
        <v>3.01</v>
      </c>
      <c r="AA748" s="38">
        <v>586</v>
      </c>
      <c r="AB748" s="38">
        <v>754</v>
      </c>
      <c r="AC748" s="49" t="s">
        <v>506</v>
      </c>
      <c r="AD748" s="49" t="s">
        <v>506</v>
      </c>
      <c r="AE748" s="48" t="str">
        <f t="shared" si="84"/>
        <v/>
      </c>
    </row>
    <row r="749" spans="1:31" ht="15" thickBot="1">
      <c r="A749" s="34">
        <v>747</v>
      </c>
      <c r="B749" s="34" t="s">
        <v>753</v>
      </c>
      <c r="C749" s="41" t="s">
        <v>1355</v>
      </c>
      <c r="D749" s="34" t="s">
        <v>531</v>
      </c>
      <c r="E749" s="80">
        <f t="shared" si="77"/>
        <v>1.5638800282245735</v>
      </c>
      <c r="F749" s="35">
        <f t="shared" si="78"/>
        <v>60.765463601624923</v>
      </c>
      <c r="G749" s="42" cm="1">
        <f t="array" ref="G74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60.509972848661576</v>
      </c>
      <c r="H749" s="81" cm="1">
        <f t="array" ref="H7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1.5610495107253695</v>
      </c>
      <c r="I749" s="81" cm="1">
        <f t="array" ref="I7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1.5638800282245735</v>
      </c>
      <c r="J749" s="81" cm="1">
        <f t="array" ref="J7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1.5660933051662322</v>
      </c>
      <c r="K749" s="81" cm="1">
        <f t="array" ref="K7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1.5703291244204338</v>
      </c>
      <c r="L749" s="81" cm="1">
        <f t="array" ref="L7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1.5753547447809406</v>
      </c>
      <c r="M749" s="37">
        <f t="shared" si="79"/>
        <v>9.2796136950643593E-3</v>
      </c>
      <c r="N749" s="43">
        <f t="shared" si="80"/>
        <v>2.8305174992040438E-3</v>
      </c>
      <c r="O749" s="43">
        <f t="shared" si="81"/>
        <v>5.0256203605067995E-3</v>
      </c>
      <c r="P749" s="43">
        <f t="shared" si="82"/>
        <v>0.30502535905234279</v>
      </c>
      <c r="Q749" s="37">
        <f t="shared" si="83"/>
        <v>0.54157646273355387</v>
      </c>
      <c r="R749" s="37">
        <v>-5.9999999999999995E-4</v>
      </c>
      <c r="S749" s="44" t="s">
        <v>1393</v>
      </c>
      <c r="T749" s="45">
        <v>0.81398487900000005</v>
      </c>
      <c r="U749" s="45">
        <v>0.59573407700000003</v>
      </c>
      <c r="V749" s="45">
        <v>1.0070430100000001</v>
      </c>
      <c r="W749" s="45">
        <v>3.92398403E-3</v>
      </c>
      <c r="X749" s="45">
        <v>1.64900015E-2</v>
      </c>
      <c r="Y749" s="45">
        <v>107.665801</v>
      </c>
      <c r="Z749" s="36">
        <v>3.05</v>
      </c>
      <c r="AA749" s="38">
        <v>616</v>
      </c>
      <c r="AB749" s="38">
        <v>755</v>
      </c>
      <c r="AC749" s="49" t="s">
        <v>506</v>
      </c>
      <c r="AD749" s="49" t="s">
        <v>506</v>
      </c>
      <c r="AE749" s="48" t="str">
        <f t="shared" si="84"/>
        <v/>
      </c>
    </row>
    <row r="750" spans="1:31" ht="15" thickBot="1">
      <c r="A750" s="34">
        <v>748</v>
      </c>
      <c r="B750" s="34" t="s">
        <v>753</v>
      </c>
      <c r="C750" s="41" t="s">
        <v>1355</v>
      </c>
      <c r="D750" s="34" t="s">
        <v>532</v>
      </c>
      <c r="E750" s="80">
        <f t="shared" si="77"/>
        <v>1.5688300420516665</v>
      </c>
      <c r="F750" s="35">
        <f t="shared" si="78"/>
        <v>56.041975026147874</v>
      </c>
      <c r="G750" s="42" cm="1">
        <f t="array" ref="G75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55.761296695246209</v>
      </c>
      <c r="H750" s="81" cm="1">
        <f t="array" ref="H7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1.5657578598411657</v>
      </c>
      <c r="I750" s="81" cm="1">
        <f t="array" ref="I7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1.5688300420516665</v>
      </c>
      <c r="J750" s="81" cm="1">
        <f t="array" ref="J7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1.5712479182180066</v>
      </c>
      <c r="K750" s="81" cm="1">
        <f t="array" ref="K7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1.5759079311365878</v>
      </c>
      <c r="L750" s="81" cm="1">
        <f t="array" ref="L7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1.581486515627099</v>
      </c>
      <c r="M750" s="37">
        <f t="shared" si="79"/>
        <v>1.0150071295422114E-2</v>
      </c>
      <c r="N750" s="43">
        <f t="shared" si="80"/>
        <v>3.0721822105008734E-3</v>
      </c>
      <c r="O750" s="43">
        <f t="shared" si="81"/>
        <v>5.5785844905111848E-3</v>
      </c>
      <c r="P750" s="43">
        <f t="shared" si="82"/>
        <v>0.30267592424562467</v>
      </c>
      <c r="Q750" s="37">
        <f t="shared" si="83"/>
        <v>0.5496103749564043</v>
      </c>
      <c r="R750" s="37">
        <v>-6.9999999999999999E-4</v>
      </c>
      <c r="S750" s="44" t="s">
        <v>1393</v>
      </c>
      <c r="T750" s="45">
        <v>0.659469741</v>
      </c>
      <c r="U750" s="45">
        <v>0.76219669999999995</v>
      </c>
      <c r="V750" s="45">
        <v>1.19935835</v>
      </c>
      <c r="W750" s="45">
        <v>7.6600963499999996E-4</v>
      </c>
      <c r="X750" s="45">
        <v>1.7740340199999999E-2</v>
      </c>
      <c r="Y750" s="45">
        <v>129.97510299999999</v>
      </c>
      <c r="Z750" s="36">
        <v>2.83</v>
      </c>
      <c r="AA750" s="38">
        <v>581</v>
      </c>
      <c r="AB750" s="38">
        <v>733</v>
      </c>
      <c r="AC750" s="49" t="s">
        <v>506</v>
      </c>
      <c r="AD750" s="39" t="s">
        <v>1371</v>
      </c>
      <c r="AE750" s="48" t="str">
        <f t="shared" si="84"/>
        <v/>
      </c>
    </row>
    <row r="751" spans="1:31" ht="15" thickBot="1">
      <c r="A751" s="34">
        <v>749</v>
      </c>
      <c r="B751" s="34" t="s">
        <v>753</v>
      </c>
      <c r="C751" s="41" t="s">
        <v>1355</v>
      </c>
      <c r="D751" s="34" t="s">
        <v>700</v>
      </c>
      <c r="E751" s="80">
        <f t="shared" si="77"/>
        <v>1.5688300420516665</v>
      </c>
      <c r="F751" s="35">
        <f t="shared" si="78"/>
        <v>56.041975026147874</v>
      </c>
      <c r="G751" s="42" cm="1">
        <f t="array" ref="G75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55.761296695246209</v>
      </c>
      <c r="H751" s="81" cm="1">
        <f t="array" ref="H7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1.5657578598411657</v>
      </c>
      <c r="I751" s="81" cm="1">
        <f t="array" ref="I7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1.5688300420516665</v>
      </c>
      <c r="J751" s="81" cm="1">
        <f t="array" ref="J7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1.5712479182180066</v>
      </c>
      <c r="K751" s="81" cm="1">
        <f t="array" ref="K7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1.5759079311365878</v>
      </c>
      <c r="L751" s="81" cm="1">
        <f t="array" ref="L7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1.581486515627099</v>
      </c>
      <c r="M751" s="37">
        <f t="shared" si="79"/>
        <v>1.0150071295422114E-2</v>
      </c>
      <c r="N751" s="43">
        <f t="shared" si="80"/>
        <v>3.0721822105008734E-3</v>
      </c>
      <c r="O751" s="43">
        <f t="shared" si="81"/>
        <v>5.5785844905111848E-3</v>
      </c>
      <c r="P751" s="43">
        <f t="shared" si="82"/>
        <v>0.30267592424562467</v>
      </c>
      <c r="Q751" s="37">
        <f t="shared" si="83"/>
        <v>0.5496103749564043</v>
      </c>
      <c r="R751" s="37">
        <v>-6.9999999999999999E-4</v>
      </c>
      <c r="S751" s="44" t="s">
        <v>1393</v>
      </c>
      <c r="T751" s="45">
        <v>0.659469741</v>
      </c>
      <c r="U751" s="45">
        <v>0.76219669999999995</v>
      </c>
      <c r="V751" s="45">
        <v>1.19935835</v>
      </c>
      <c r="W751" s="45">
        <v>7.6600963499999996E-4</v>
      </c>
      <c r="X751" s="45">
        <v>1.7740340199999999E-2</v>
      </c>
      <c r="Y751" s="45">
        <v>129.97510299999999</v>
      </c>
      <c r="Z751" s="36">
        <v>2.83</v>
      </c>
      <c r="AA751" s="38">
        <v>581</v>
      </c>
      <c r="AB751" s="38">
        <v>733</v>
      </c>
      <c r="AC751" s="49" t="s">
        <v>506</v>
      </c>
      <c r="AD751" s="39" t="s">
        <v>1371</v>
      </c>
      <c r="AE751" s="48" t="str">
        <f t="shared" si="84"/>
        <v>Transmission improved type.</v>
      </c>
    </row>
    <row r="752" spans="1:31" ht="15" thickBot="1">
      <c r="A752" s="34">
        <v>750</v>
      </c>
      <c r="B752" s="34" t="s">
        <v>753</v>
      </c>
      <c r="C752" s="41" t="s">
        <v>1355</v>
      </c>
      <c r="D752" s="34" t="s">
        <v>701</v>
      </c>
      <c r="E752" s="80">
        <f t="shared" si="77"/>
        <v>1.5688276258191753</v>
      </c>
      <c r="F752" s="35">
        <f t="shared" si="78"/>
        <v>56.128471091623048</v>
      </c>
      <c r="G752" s="42" cm="1">
        <f t="array" ref="G75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55.865275396158751</v>
      </c>
      <c r="H752" s="81" cm="1">
        <f t="array" ref="H7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1.5657522588458985</v>
      </c>
      <c r="I752" s="81" cm="1">
        <f t="array" ref="I7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1.5688276258191753</v>
      </c>
      <c r="J752" s="81" cm="1">
        <f t="array" ref="J7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1.571241888867088</v>
      </c>
      <c r="K752" s="81" cm="1">
        <f t="array" ref="K7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1.5758866454549803</v>
      </c>
      <c r="L752" s="81" cm="1">
        <f t="array" ref="L7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1.5814427206545529</v>
      </c>
      <c r="M752" s="37">
        <f t="shared" si="79"/>
        <v>1.0134386609081725E-2</v>
      </c>
      <c r="N752" s="43">
        <f t="shared" si="80"/>
        <v>3.0753669732768163E-3</v>
      </c>
      <c r="O752" s="43">
        <f t="shared" si="81"/>
        <v>5.5560751995726854E-3</v>
      </c>
      <c r="P752" s="43">
        <f t="shared" si="82"/>
        <v>0.30345861983604305</v>
      </c>
      <c r="Q752" s="37">
        <f t="shared" si="83"/>
        <v>0.54823990971429104</v>
      </c>
      <c r="R752" s="37">
        <v>-2.5999999999999999E-3</v>
      </c>
      <c r="S752" s="44" t="s">
        <v>1394</v>
      </c>
      <c r="T752" s="45">
        <v>2.42067444</v>
      </c>
      <c r="U752" s="45">
        <v>-9.0706259499999994E-3</v>
      </c>
      <c r="V752" s="45">
        <v>1.48479874E-2</v>
      </c>
      <c r="W752" s="45">
        <v>-1.6355472599999999E-5</v>
      </c>
      <c r="X752" s="45">
        <v>3.76515875E-5</v>
      </c>
      <c r="Y752" s="45">
        <v>-1.5603396300000001E-6</v>
      </c>
      <c r="Z752" s="36">
        <v>2.84</v>
      </c>
      <c r="AA752" s="38">
        <v>587</v>
      </c>
      <c r="AB752" s="38">
        <v>731</v>
      </c>
      <c r="AC752" s="49" t="s">
        <v>506</v>
      </c>
      <c r="AD752" s="49" t="s">
        <v>506</v>
      </c>
      <c r="AE752" s="48" t="str">
        <f t="shared" si="84"/>
        <v/>
      </c>
    </row>
    <row r="753" spans="1:31" ht="15" thickBot="1">
      <c r="A753" s="34">
        <v>751</v>
      </c>
      <c r="B753" s="34" t="s">
        <v>753</v>
      </c>
      <c r="C753" s="41" t="s">
        <v>1355</v>
      </c>
      <c r="D753" s="34" t="s">
        <v>533</v>
      </c>
      <c r="E753" s="80">
        <f t="shared" si="77"/>
        <v>1.572500072090542</v>
      </c>
      <c r="F753" s="35">
        <f t="shared" si="78"/>
        <v>57.487479132419757</v>
      </c>
      <c r="G753" s="42" cm="1">
        <f t="array" ref="G75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57.206739673929029</v>
      </c>
      <c r="H753" s="81" cm="1">
        <f t="array" ref="H7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1.5694818614337973</v>
      </c>
      <c r="I753" s="81" cm="1">
        <f t="array" ref="I7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1.572500072090542</v>
      </c>
      <c r="J753" s="81" cm="1">
        <f t="array" ref="J7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1.5748740087337214</v>
      </c>
      <c r="K753" s="81" cm="1">
        <f t="array" ref="K7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1.5794405529737727</v>
      </c>
      <c r="L753" s="81" cm="1">
        <f t="array" ref="L7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1.5848875459892251</v>
      </c>
      <c r="M753" s="37">
        <f t="shared" si="79"/>
        <v>9.9586915399754172E-3</v>
      </c>
      <c r="N753" s="43">
        <f t="shared" si="80"/>
        <v>3.0182106567446798E-3</v>
      </c>
      <c r="O753" s="43">
        <f t="shared" si="81"/>
        <v>5.4469930154523727E-3</v>
      </c>
      <c r="P753" s="43">
        <f t="shared" si="82"/>
        <v>0.30307301362123823</v>
      </c>
      <c r="Q753" s="37">
        <f t="shared" si="83"/>
        <v>0.54695870372000888</v>
      </c>
      <c r="R753" s="37">
        <v>-1E-3</v>
      </c>
      <c r="S753" s="44" t="s">
        <v>1393</v>
      </c>
      <c r="T753" s="45">
        <v>0.845101506</v>
      </c>
      <c r="U753" s="45">
        <v>1.01452466</v>
      </c>
      <c r="V753" s="45">
        <v>0.41851847399999997</v>
      </c>
      <c r="W753" s="45">
        <v>100.298196</v>
      </c>
      <c r="X753" s="45">
        <v>5.5524184799999998E-3</v>
      </c>
      <c r="Y753" s="45">
        <v>2.0228079600000001E-2</v>
      </c>
      <c r="Z753" s="36">
        <v>3.18</v>
      </c>
      <c r="AA753" s="38">
        <v>593</v>
      </c>
      <c r="AB753" s="38">
        <v>754</v>
      </c>
      <c r="AC753" s="49" t="s">
        <v>506</v>
      </c>
      <c r="AD753" s="49" t="s">
        <v>506</v>
      </c>
      <c r="AE753" s="48" t="str">
        <f t="shared" si="84"/>
        <v/>
      </c>
    </row>
    <row r="754" spans="1:31" ht="15" thickBot="1">
      <c r="A754" s="34">
        <v>752</v>
      </c>
      <c r="B754" s="34" t="s">
        <v>753</v>
      </c>
      <c r="C754" s="41" t="s">
        <v>1355</v>
      </c>
      <c r="D754" s="34" t="s">
        <v>534</v>
      </c>
      <c r="E754" s="80">
        <f t="shared" si="77"/>
        <v>1.5688800048155558</v>
      </c>
      <c r="F754" s="35">
        <f t="shared" si="78"/>
        <v>62.957727560042699</v>
      </c>
      <c r="G754" s="42" cm="1">
        <f t="array" ref="G75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62.732775557662031</v>
      </c>
      <c r="H754" s="81" cm="1">
        <f t="array" ref="H7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1.5661084965808278</v>
      </c>
      <c r="I754" s="81" cm="1">
        <f t="array" ref="I7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1.5688800048155558</v>
      </c>
      <c r="J754" s="81" cm="1">
        <f t="array" ref="J7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1.5710358227720833</v>
      </c>
      <c r="K754" s="81" cm="1">
        <f t="array" ref="K7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1.5751444009386053</v>
      </c>
      <c r="L754" s="81" cm="1">
        <f t="array" ref="L7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1.580000573246092</v>
      </c>
      <c r="M754" s="37">
        <f t="shared" si="79"/>
        <v>9.0359043577774578E-3</v>
      </c>
      <c r="N754" s="43">
        <f t="shared" si="80"/>
        <v>2.7715082347279374E-3</v>
      </c>
      <c r="O754" s="43">
        <f t="shared" si="81"/>
        <v>4.8561723074866947E-3</v>
      </c>
      <c r="P754" s="43">
        <f t="shared" si="82"/>
        <v>0.30672173199159886</v>
      </c>
      <c r="Q754" s="37">
        <f t="shared" si="83"/>
        <v>0.53743068930414806</v>
      </c>
      <c r="R754" s="37">
        <v>-1.1000000000000001E-3</v>
      </c>
      <c r="S754" s="44" t="s">
        <v>1393</v>
      </c>
      <c r="T754" s="45">
        <v>1.06131555</v>
      </c>
      <c r="U754" s="45">
        <v>0.36574016799999998</v>
      </c>
      <c r="V754" s="45">
        <v>1.0346675599999999</v>
      </c>
      <c r="W754" s="45">
        <v>5.4366658300000004E-3</v>
      </c>
      <c r="X754" s="45">
        <v>1.8765914799999998E-2</v>
      </c>
      <c r="Y754" s="45">
        <v>97.516970200000003</v>
      </c>
      <c r="Z754" s="36">
        <v>3.06</v>
      </c>
      <c r="AA754" s="38">
        <v>620</v>
      </c>
      <c r="AB754" s="38">
        <v>734</v>
      </c>
      <c r="AC754" s="49" t="s">
        <v>506</v>
      </c>
      <c r="AD754" s="49" t="s">
        <v>506</v>
      </c>
      <c r="AE754" s="48" t="str">
        <f t="shared" si="84"/>
        <v/>
      </c>
    </row>
    <row r="755" spans="1:31" ht="15" thickBot="1">
      <c r="A755" s="34">
        <v>753</v>
      </c>
      <c r="B755" s="34" t="s">
        <v>753</v>
      </c>
      <c r="C755" s="41" t="s">
        <v>1355</v>
      </c>
      <c r="D755" s="34" t="s">
        <v>535</v>
      </c>
      <c r="E755" s="80">
        <f t="shared" si="77"/>
        <v>1.5831299977054942</v>
      </c>
      <c r="F755" s="35">
        <f t="shared" si="78"/>
        <v>59.460784217960175</v>
      </c>
      <c r="G755" s="42" cm="1">
        <f t="array" ref="G75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59.202831097905623</v>
      </c>
      <c r="H755" s="81" cm="1">
        <f t="array" ref="H7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1.5801432518353697</v>
      </c>
      <c r="I755" s="81" cm="1">
        <f t="array" ref="I7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1.5831299977054942</v>
      </c>
      <c r="J755" s="81" cm="1">
        <f t="array" ref="J7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1.5854687255939819</v>
      </c>
      <c r="K755" s="81" cm="1">
        <f t="array" ref="K7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1.5899502196608859</v>
      </c>
      <c r="L755" s="81" cm="1">
        <f t="array" ref="L7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1.5952745708308118</v>
      </c>
      <c r="M755" s="37">
        <f t="shared" si="79"/>
        <v>9.8069678255161552E-3</v>
      </c>
      <c r="N755" s="43">
        <f t="shared" si="80"/>
        <v>2.9867458701244853E-3</v>
      </c>
      <c r="O755" s="43">
        <f t="shared" si="81"/>
        <v>5.3243511699259116E-3</v>
      </c>
      <c r="P755" s="43">
        <f t="shared" si="82"/>
        <v>0.30455344845258414</v>
      </c>
      <c r="Q755" s="37">
        <f t="shared" si="83"/>
        <v>0.5429151257203888</v>
      </c>
      <c r="R755" s="37">
        <v>-1.6000000000000001E-3</v>
      </c>
      <c r="S755" s="44" t="s">
        <v>1393</v>
      </c>
      <c r="T755" s="45">
        <v>0.42744269899999998</v>
      </c>
      <c r="U755" s="45">
        <v>0.90702364599999996</v>
      </c>
      <c r="V755" s="45">
        <v>1.0401200900000001</v>
      </c>
      <c r="W755" s="45">
        <v>1.91755139E-2</v>
      </c>
      <c r="X755" s="45">
        <v>94.635556899999997</v>
      </c>
      <c r="Y755" s="45">
        <v>5.5261944899999997E-3</v>
      </c>
      <c r="Z755" s="36">
        <v>3.24</v>
      </c>
      <c r="AA755" s="38">
        <v>609</v>
      </c>
      <c r="AB755" s="38">
        <v>744</v>
      </c>
      <c r="AC755" s="49" t="s">
        <v>506</v>
      </c>
      <c r="AD755" s="49" t="s">
        <v>506</v>
      </c>
      <c r="AE755" s="48" t="str">
        <f t="shared" si="84"/>
        <v/>
      </c>
    </row>
    <row r="756" spans="1:31" ht="15" thickBot="1">
      <c r="A756" s="34">
        <v>754</v>
      </c>
      <c r="B756" s="34" t="s">
        <v>753</v>
      </c>
      <c r="C756" s="41" t="s">
        <v>1355</v>
      </c>
      <c r="D756" s="34" t="s">
        <v>536</v>
      </c>
      <c r="E756" s="80">
        <f t="shared" si="77"/>
        <v>1.5891301246841896</v>
      </c>
      <c r="F756" s="35">
        <f t="shared" si="78"/>
        <v>61.254291494631744</v>
      </c>
      <c r="G756" s="42" cm="1">
        <f t="array" ref="G75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61.009586927196828</v>
      </c>
      <c r="H756" s="81" cm="1">
        <f t="array" ref="H7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1.5861916906318954</v>
      </c>
      <c r="I756" s="81" cm="1">
        <f t="array" ref="I7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1.5891301246841896</v>
      </c>
      <c r="J756" s="81" cm="1">
        <f t="array" ref="J7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1.5914246943137667</v>
      </c>
      <c r="K756" s="81" cm="1">
        <f t="array" ref="K7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1.5958094677754906</v>
      </c>
      <c r="L756" s="81" cm="1">
        <f t="array" ref="L7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1.6010014302784989</v>
      </c>
      <c r="M756" s="37">
        <f t="shared" si="79"/>
        <v>9.6177771435952408E-3</v>
      </c>
      <c r="N756" s="43">
        <f t="shared" si="80"/>
        <v>2.9384340522942143E-3</v>
      </c>
      <c r="O756" s="43">
        <f t="shared" si="81"/>
        <v>5.1919625030083516E-3</v>
      </c>
      <c r="P756" s="43">
        <f t="shared" si="82"/>
        <v>0.30552112077695659</v>
      </c>
      <c r="Q756" s="37">
        <f t="shared" si="83"/>
        <v>0.53982977828362677</v>
      </c>
      <c r="R756" s="37">
        <v>-1.6999999999999999E-3</v>
      </c>
      <c r="S756" s="44" t="s">
        <v>1393</v>
      </c>
      <c r="T756" s="45">
        <v>0.85567831999999999</v>
      </c>
      <c r="U756" s="45">
        <v>0.89777870800000004</v>
      </c>
      <c r="V756" s="45">
        <v>0.63173058599999998</v>
      </c>
      <c r="W756" s="45">
        <v>4.4173428400000004E-3</v>
      </c>
      <c r="X756" s="45">
        <v>89.604579799999996</v>
      </c>
      <c r="Y756" s="45">
        <v>1.5804179000000002E-2</v>
      </c>
      <c r="Z756" s="36">
        <v>3.26</v>
      </c>
      <c r="AA756" s="38">
        <v>610</v>
      </c>
      <c r="AB756" s="38">
        <v>743</v>
      </c>
      <c r="AC756" s="49" t="s">
        <v>506</v>
      </c>
      <c r="AD756" s="39" t="s">
        <v>1371</v>
      </c>
      <c r="AE756" s="48" t="str">
        <f t="shared" si="84"/>
        <v/>
      </c>
    </row>
    <row r="757" spans="1:31" ht="15" thickBot="1">
      <c r="A757" s="34">
        <v>755</v>
      </c>
      <c r="B757" s="34" t="s">
        <v>753</v>
      </c>
      <c r="C757" s="41" t="s">
        <v>1355</v>
      </c>
      <c r="D757" s="34" t="s">
        <v>702</v>
      </c>
      <c r="E757" s="80">
        <f t="shared" si="77"/>
        <v>1.5891300011179048</v>
      </c>
      <c r="F757" s="35">
        <f t="shared" si="78"/>
        <v>61.253820967365165</v>
      </c>
      <c r="G757" s="42" cm="1">
        <f t="array" ref="G75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61.007678174368642</v>
      </c>
      <c r="H757" s="81" cm="1">
        <f t="array" ref="H7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1.5861918669249091</v>
      </c>
      <c r="I757" s="81" cm="1">
        <f t="array" ref="I7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1.5891300011179048</v>
      </c>
      <c r="J757" s="81" cm="1">
        <f t="array" ref="J7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1.5914243375209198</v>
      </c>
      <c r="K757" s="81" cm="1">
        <f t="array" ref="K7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1.5958097159311251</v>
      </c>
      <c r="L757" s="81" cm="1">
        <f t="array" ref="L7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1.6010051455033467</v>
      </c>
      <c r="M757" s="37">
        <f t="shared" si="79"/>
        <v>9.6178490062159838E-3</v>
      </c>
      <c r="N757" s="43">
        <f t="shared" si="80"/>
        <v>2.9381341929957117E-3</v>
      </c>
      <c r="O757" s="43">
        <f t="shared" si="81"/>
        <v>5.1954295722216326E-3</v>
      </c>
      <c r="P757" s="43">
        <f t="shared" si="82"/>
        <v>0.30548766060860438</v>
      </c>
      <c r="Q757" s="37">
        <f t="shared" si="83"/>
        <v>0.54018622759245272</v>
      </c>
      <c r="R757" s="37">
        <v>-1.2999999999999999E-3</v>
      </c>
      <c r="S757" s="44" t="s">
        <v>1393</v>
      </c>
      <c r="T757" s="45">
        <v>0.96435284499999996</v>
      </c>
      <c r="U757" s="45">
        <v>0.77489965999999999</v>
      </c>
      <c r="V757" s="45">
        <v>0.712663198</v>
      </c>
      <c r="W757" s="45">
        <v>94.889504200000005</v>
      </c>
      <c r="X757" s="45">
        <v>1.4985413E-2</v>
      </c>
      <c r="Y757" s="45">
        <v>2.9442338099999999E-3</v>
      </c>
      <c r="Z757" s="36">
        <v>3.31</v>
      </c>
      <c r="AA757" s="38">
        <v>678</v>
      </c>
      <c r="AB757" s="38">
        <v>788</v>
      </c>
      <c r="AC757" s="49" t="s">
        <v>506</v>
      </c>
      <c r="AD757" s="39" t="s">
        <v>1371</v>
      </c>
      <c r="AE757" s="48" t="str">
        <f t="shared" si="84"/>
        <v/>
      </c>
    </row>
    <row r="758" spans="1:31" ht="15" thickBot="1">
      <c r="A758" s="34">
        <v>756</v>
      </c>
      <c r="B758" s="34" t="s">
        <v>753</v>
      </c>
      <c r="C758" s="41" t="s">
        <v>1355</v>
      </c>
      <c r="D758" s="34" t="s">
        <v>537</v>
      </c>
      <c r="E758" s="80">
        <f t="shared" si="77"/>
        <v>1.6088100662629976</v>
      </c>
      <c r="F758" s="35">
        <f t="shared" si="78"/>
        <v>58.856687400697226</v>
      </c>
      <c r="G758" s="42" cm="1">
        <f t="array" ref="G75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58.584694959085304</v>
      </c>
      <c r="H758" s="81" cm="1">
        <f t="array" ref="H7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1.6056673711568201</v>
      </c>
      <c r="I758" s="81" cm="1">
        <f t="array" ref="I7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1.6088100662629976</v>
      </c>
      <c r="J758" s="81" cm="1">
        <f t="array" ref="J7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1.611276705601095</v>
      </c>
      <c r="K758" s="81" cm="1">
        <f t="array" ref="K7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1.6160113115508523</v>
      </c>
      <c r="L758" s="81" cm="1">
        <f t="array" ref="L7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1.6216433020869709</v>
      </c>
      <c r="M758" s="37">
        <f t="shared" si="79"/>
        <v>1.0343940394032192E-2</v>
      </c>
      <c r="N758" s="43">
        <f t="shared" si="80"/>
        <v>3.1426951061774844E-3</v>
      </c>
      <c r="O758" s="43">
        <f t="shared" si="81"/>
        <v>5.6319905361186251E-3</v>
      </c>
      <c r="P758" s="43">
        <f t="shared" si="82"/>
        <v>0.30381991644022072</v>
      </c>
      <c r="Q758" s="37">
        <f t="shared" si="83"/>
        <v>0.54447244682190288</v>
      </c>
      <c r="R758" s="37">
        <v>-1E-3</v>
      </c>
      <c r="S758" s="44" t="s">
        <v>1393</v>
      </c>
      <c r="T758" s="45">
        <v>0.80586297100000004</v>
      </c>
      <c r="U758" s="45">
        <v>0.74036710999999999</v>
      </c>
      <c r="V758" s="45">
        <v>0.90405499099999997</v>
      </c>
      <c r="W758" s="45">
        <v>3.6533973200000001E-3</v>
      </c>
      <c r="X758" s="45">
        <v>1.6297876900000001E-2</v>
      </c>
      <c r="Y758" s="45">
        <v>95.987608699999996</v>
      </c>
      <c r="Z758" s="36">
        <v>3.53</v>
      </c>
      <c r="AA758" s="38">
        <v>654</v>
      </c>
      <c r="AB758" s="38">
        <v>788</v>
      </c>
      <c r="AC758" s="49" t="s">
        <v>506</v>
      </c>
      <c r="AD758" s="49" t="s">
        <v>506</v>
      </c>
      <c r="AE758" s="48" t="str">
        <f t="shared" si="84"/>
        <v/>
      </c>
    </row>
    <row r="759" spans="1:31" ht="15" thickBot="1">
      <c r="A759" s="34">
        <v>757</v>
      </c>
      <c r="B759" s="34" t="s">
        <v>753</v>
      </c>
      <c r="C759" s="41" t="s">
        <v>1355</v>
      </c>
      <c r="D759" s="34" t="s">
        <v>538</v>
      </c>
      <c r="E759" s="80">
        <f t="shared" si="77"/>
        <v>1.6111700266144098</v>
      </c>
      <c r="F759" s="35">
        <f t="shared" si="78"/>
        <v>55.773102032913933</v>
      </c>
      <c r="G759" s="42" cm="1">
        <f t="array" ref="G75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55.480595331873012</v>
      </c>
      <c r="H759" s="81" cm="1">
        <f t="array" ref="H7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1.60786063086366</v>
      </c>
      <c r="I759" s="81" cm="1">
        <f t="array" ref="I7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1.6111700266144098</v>
      </c>
      <c r="J759" s="81" cm="1">
        <f t="array" ref="J7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1.6137815691997215</v>
      </c>
      <c r="K759" s="81" cm="1">
        <f t="array" ref="K7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1.618818781017362</v>
      </c>
      <c r="L759" s="81" cm="1">
        <f t="array" ref="L7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1.6248427676338288</v>
      </c>
      <c r="M759" s="37">
        <f t="shared" si="79"/>
        <v>1.095815015370194E-2</v>
      </c>
      <c r="N759" s="43">
        <f t="shared" si="80"/>
        <v>3.3093957507497329E-3</v>
      </c>
      <c r="O759" s="43">
        <f t="shared" si="81"/>
        <v>6.0239866164668587E-3</v>
      </c>
      <c r="P759" s="43">
        <f t="shared" si="82"/>
        <v>0.3020031396112724</v>
      </c>
      <c r="Q759" s="37">
        <f t="shared" si="83"/>
        <v>0.54972659910412014</v>
      </c>
      <c r="R759" s="37">
        <v>-1E-3</v>
      </c>
      <c r="S759" s="44" t="s">
        <v>1393</v>
      </c>
      <c r="T759" s="45">
        <v>0.92021905500000001</v>
      </c>
      <c r="U759" s="45">
        <v>0.53142541300000001</v>
      </c>
      <c r="V759" s="45">
        <v>1.01909144</v>
      </c>
      <c r="W759" s="45">
        <v>109.361864</v>
      </c>
      <c r="X759" s="45">
        <v>1.98985689E-2</v>
      </c>
      <c r="Y759" s="45">
        <v>5.2581960500000004E-3</v>
      </c>
      <c r="Z759" s="36">
        <v>3.58</v>
      </c>
      <c r="AA759" s="38">
        <v>578</v>
      </c>
      <c r="AB759" s="38">
        <v>695</v>
      </c>
      <c r="AC759" s="49" t="s">
        <v>506</v>
      </c>
      <c r="AD759" s="49" t="s">
        <v>506</v>
      </c>
      <c r="AE759" s="48" t="str">
        <f t="shared" si="84"/>
        <v/>
      </c>
    </row>
    <row r="760" spans="1:31" ht="15" thickBot="1">
      <c r="A760" s="34">
        <v>758</v>
      </c>
      <c r="B760" s="34" t="s">
        <v>753</v>
      </c>
      <c r="C760" s="41" t="s">
        <v>1355</v>
      </c>
      <c r="D760" s="34" t="s">
        <v>539</v>
      </c>
      <c r="E760" s="80">
        <f t="shared" si="77"/>
        <v>1.6127199883246734</v>
      </c>
      <c r="F760" s="35">
        <f t="shared" si="78"/>
        <v>58.577776368233188</v>
      </c>
      <c r="G760" s="42" cm="1">
        <f t="array" ref="G76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58.306264390960166</v>
      </c>
      <c r="H760" s="81" cm="1">
        <f t="array" ref="H7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1.6095424324887491</v>
      </c>
      <c r="I760" s="81" cm="1">
        <f t="array" ref="I7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1.6127199883246734</v>
      </c>
      <c r="J760" s="81" cm="1">
        <f t="array" ref="J7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1.6152139073746605</v>
      </c>
      <c r="K760" s="81" cm="1">
        <f t="array" ref="K7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1.6200023718431038</v>
      </c>
      <c r="L760" s="81" cm="1">
        <f t="array" ref="L7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1.6257038352097797</v>
      </c>
      <c r="M760" s="37">
        <f t="shared" si="79"/>
        <v>1.0459939354354741E-2</v>
      </c>
      <c r="N760" s="43">
        <f t="shared" si="80"/>
        <v>3.1775558359243838E-3</v>
      </c>
      <c r="O760" s="43">
        <f t="shared" si="81"/>
        <v>5.7014633666758741E-3</v>
      </c>
      <c r="P760" s="43">
        <f t="shared" si="82"/>
        <v>0.30378338996788595</v>
      </c>
      <c r="Q760" s="37">
        <f t="shared" si="83"/>
        <v>0.54507613988241799</v>
      </c>
      <c r="R760" s="37">
        <v>-8.0000000000000004E-4</v>
      </c>
      <c r="S760" s="44" t="s">
        <v>1393</v>
      </c>
      <c r="T760" s="45">
        <v>1.3513923999999999</v>
      </c>
      <c r="U760" s="45">
        <v>0.206957487</v>
      </c>
      <c r="V760" s="45">
        <v>0.96115388199999996</v>
      </c>
      <c r="W760" s="45">
        <v>7.3501718200000002E-3</v>
      </c>
      <c r="X760" s="45">
        <v>2.54398321E-2</v>
      </c>
      <c r="Y760" s="45">
        <v>99.513312799999994</v>
      </c>
      <c r="Z760" s="36">
        <v>3.54</v>
      </c>
      <c r="AA760" s="38">
        <v>662</v>
      </c>
      <c r="AB760" s="38">
        <v>758</v>
      </c>
      <c r="AC760" s="49" t="s">
        <v>506</v>
      </c>
      <c r="AD760" s="49" t="s">
        <v>506</v>
      </c>
      <c r="AE760" s="48" t="str">
        <f t="shared" si="84"/>
        <v/>
      </c>
    </row>
    <row r="761" spans="1:31" ht="15" thickBot="1">
      <c r="A761" s="34">
        <v>759</v>
      </c>
      <c r="B761" s="34" t="s">
        <v>753</v>
      </c>
      <c r="C761" s="41" t="s">
        <v>1355</v>
      </c>
      <c r="D761" s="34" t="s">
        <v>703</v>
      </c>
      <c r="E761" s="80">
        <f t="shared" si="77"/>
        <v>1.6130900061597899</v>
      </c>
      <c r="F761" s="35">
        <f t="shared" si="78"/>
        <v>60.356572455323871</v>
      </c>
      <c r="G761" s="42" cm="1">
        <f t="array" ref="G76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60.110559150036167</v>
      </c>
      <c r="H761" s="81" cm="1">
        <f t="array" ref="H7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1.6099893027247063</v>
      </c>
      <c r="I761" s="81" cm="1">
        <f t="array" ref="I7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1.6130900061597899</v>
      </c>
      <c r="J761" s="81" cm="1">
        <f t="array" ref="J7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1.6155128109618193</v>
      </c>
      <c r="K761" s="81" cm="1">
        <f t="array" ref="K7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1.6201471029644996</v>
      </c>
      <c r="L761" s="81" cm="1">
        <f t="array" ref="L7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1.6256429898030988</v>
      </c>
      <c r="M761" s="37">
        <f t="shared" si="79"/>
        <v>1.0157800239793291E-2</v>
      </c>
      <c r="N761" s="43">
        <f t="shared" si="80"/>
        <v>3.1007034350836182E-3</v>
      </c>
      <c r="O761" s="43">
        <f t="shared" si="81"/>
        <v>5.495886838599251E-3</v>
      </c>
      <c r="P761" s="43">
        <f t="shared" si="82"/>
        <v>0.30525343695346352</v>
      </c>
      <c r="Q761" s="37">
        <f t="shared" si="83"/>
        <v>0.54105088787521682</v>
      </c>
      <c r="R761" s="37">
        <v>-1.9E-3</v>
      </c>
      <c r="S761" s="44" t="s">
        <v>1393</v>
      </c>
      <c r="T761" s="45">
        <v>0.938065696</v>
      </c>
      <c r="U761" s="45">
        <v>0.623491935</v>
      </c>
      <c r="V761" s="45">
        <v>1.0058705800000001</v>
      </c>
      <c r="W761" s="45">
        <v>4.3846807199999999E-3</v>
      </c>
      <c r="X761" s="45">
        <v>1.6939148099999999E-2</v>
      </c>
      <c r="Y761" s="45">
        <v>93.275070600000006</v>
      </c>
      <c r="Z761" s="36">
        <v>3.41</v>
      </c>
      <c r="AA761" s="38">
        <v>670</v>
      </c>
      <c r="AB761" s="38">
        <v>770</v>
      </c>
      <c r="AC761" s="49" t="s">
        <v>506</v>
      </c>
      <c r="AD761" s="39" t="s">
        <v>1371</v>
      </c>
      <c r="AE761" s="48" t="str">
        <f t="shared" si="84"/>
        <v/>
      </c>
    </row>
    <row r="762" spans="1:31" ht="15" thickBot="1">
      <c r="A762" s="34">
        <v>760</v>
      </c>
      <c r="B762" s="34" t="s">
        <v>753</v>
      </c>
      <c r="C762" s="41" t="s">
        <v>1355</v>
      </c>
      <c r="D762" s="34" t="s">
        <v>540</v>
      </c>
      <c r="E762" s="80">
        <f t="shared" si="77"/>
        <v>1.6130946653807916</v>
      </c>
      <c r="F762" s="35">
        <f t="shared" si="78"/>
        <v>60.61509610294771</v>
      </c>
      <c r="G762" s="42" cm="1">
        <f t="array" ref="G76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60.365513502294192</v>
      </c>
      <c r="H762" s="81" cm="1">
        <f t="array" ref="H7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1.6100088092930089</v>
      </c>
      <c r="I762" s="81" cm="1">
        <f t="array" ref="I7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1.6130946653807916</v>
      </c>
      <c r="J762" s="81" cm="1">
        <f t="array" ref="J7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1.6155081350104699</v>
      </c>
      <c r="K762" s="81" cm="1">
        <f t="array" ref="K7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1.620123363336436</v>
      </c>
      <c r="L762" s="81" cm="1">
        <f t="array" ref="L7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1.6255862324680952</v>
      </c>
      <c r="M762" s="37">
        <f t="shared" si="79"/>
        <v>1.0114554043427093E-2</v>
      </c>
      <c r="N762" s="43">
        <f t="shared" si="80"/>
        <v>3.085856087782668E-3</v>
      </c>
      <c r="O762" s="43">
        <f t="shared" si="81"/>
        <v>5.4628691316591649E-3</v>
      </c>
      <c r="P762" s="43">
        <f t="shared" si="82"/>
        <v>0.3050906717719305</v>
      </c>
      <c r="Q762" s="37">
        <f t="shared" si="83"/>
        <v>0.54009985098741853</v>
      </c>
      <c r="R762" s="37">
        <v>-4.1000000000000003E-3</v>
      </c>
      <c r="S762" s="44" t="s">
        <v>1394</v>
      </c>
      <c r="T762" s="45">
        <v>2.5622955799999998</v>
      </c>
      <c r="U762" s="45">
        <v>-1.08844706E-2</v>
      </c>
      <c r="V762" s="45">
        <v>1.4099779099999999E-2</v>
      </c>
      <c r="W762" s="45">
        <v>3.7925703899999998E-4</v>
      </c>
      <c r="X762" s="45">
        <v>-2.4161268099999999E-5</v>
      </c>
      <c r="Y762" s="45">
        <v>1.41616214E-6</v>
      </c>
      <c r="Z762" s="36">
        <v>3.51</v>
      </c>
      <c r="AA762" s="38">
        <v>658</v>
      </c>
      <c r="AB762" s="38">
        <v>761</v>
      </c>
      <c r="AC762" s="49" t="s">
        <v>506</v>
      </c>
      <c r="AD762" s="49" t="s">
        <v>506</v>
      </c>
      <c r="AE762" s="48" t="str">
        <f t="shared" si="84"/>
        <v/>
      </c>
    </row>
    <row r="763" spans="1:31" ht="15" thickBot="1">
      <c r="A763" s="34">
        <v>761</v>
      </c>
      <c r="B763" s="34" t="s">
        <v>753</v>
      </c>
      <c r="C763" s="41" t="s">
        <v>1355</v>
      </c>
      <c r="D763" s="34" t="s">
        <v>541</v>
      </c>
      <c r="E763" s="80">
        <f t="shared" si="77"/>
        <v>1.6140500352602558</v>
      </c>
      <c r="F763" s="35">
        <f t="shared" si="78"/>
        <v>55.116941860308572</v>
      </c>
      <c r="G763" s="42" cm="1">
        <f t="array" ref="G76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54.815455831121618</v>
      </c>
      <c r="H763" s="81" cm="1">
        <f t="array" ref="H7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1.6106916896208601</v>
      </c>
      <c r="I763" s="81" cm="1">
        <f t="array" ref="I7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1.6140500352602558</v>
      </c>
      <c r="J763" s="81" cm="1">
        <f t="array" ref="J7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1.6167040465467086</v>
      </c>
      <c r="K763" s="81" cm="1">
        <f t="array" ref="K7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1.6218325478494704</v>
      </c>
      <c r="L763" s="81" cm="1">
        <f t="array" ref="L7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1.627980873956046</v>
      </c>
      <c r="M763" s="37">
        <f t="shared" si="79"/>
        <v>1.1140858228610329E-2</v>
      </c>
      <c r="N763" s="43">
        <f t="shared" si="80"/>
        <v>3.3583456393957434E-3</v>
      </c>
      <c r="O763" s="43">
        <f t="shared" si="81"/>
        <v>6.1483261065755634E-3</v>
      </c>
      <c r="P763" s="43">
        <f t="shared" si="82"/>
        <v>0.30144406925234263</v>
      </c>
      <c r="Q763" s="37">
        <f t="shared" si="83"/>
        <v>0.55187185586711163</v>
      </c>
      <c r="R763" s="37">
        <v>0</v>
      </c>
      <c r="S763" s="44" t="s">
        <v>1393</v>
      </c>
      <c r="T763" s="45">
        <v>0.60094982600000002</v>
      </c>
      <c r="U763" s="45">
        <v>0.95828863200000003</v>
      </c>
      <c r="V763" s="45">
        <v>1.1405978000000001</v>
      </c>
      <c r="W763" s="45">
        <v>5.1986445299999999E-11</v>
      </c>
      <c r="X763" s="45">
        <v>1.6756300799999999E-2</v>
      </c>
      <c r="Y763" s="45">
        <v>133.109431</v>
      </c>
      <c r="Z763" s="36">
        <v>3.58</v>
      </c>
      <c r="AA763" s="38">
        <v>577</v>
      </c>
      <c r="AB763" s="38">
        <v>698</v>
      </c>
      <c r="AC763" s="49" t="s">
        <v>506</v>
      </c>
      <c r="AD763" s="49" t="s">
        <v>506</v>
      </c>
      <c r="AE763" s="48" t="str">
        <f t="shared" si="84"/>
        <v/>
      </c>
    </row>
    <row r="764" spans="1:31" ht="15" thickBot="1">
      <c r="A764" s="34">
        <v>762</v>
      </c>
      <c r="B764" s="34" t="s">
        <v>753</v>
      </c>
      <c r="C764" s="41" t="s">
        <v>1355</v>
      </c>
      <c r="D764" s="34" t="s">
        <v>542</v>
      </c>
      <c r="E764" s="80">
        <f t="shared" si="77"/>
        <v>1.6204100998134869</v>
      </c>
      <c r="F764" s="35">
        <f t="shared" si="78"/>
        <v>60.340054002979691</v>
      </c>
      <c r="G764" s="42" cm="1">
        <f t="array" ref="G76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60.091280362698704</v>
      </c>
      <c r="H764" s="81" cm="1">
        <f t="array" ref="H7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1.617272555441966</v>
      </c>
      <c r="I764" s="81" cm="1">
        <f t="array" ref="I7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1.6204100998134869</v>
      </c>
      <c r="J764" s="81" cm="1">
        <f t="array" ref="J7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1.6228623894615599</v>
      </c>
      <c r="K764" s="81" cm="1">
        <f t="array" ref="K7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1.6275544504462836</v>
      </c>
      <c r="L764" s="81" cm="1">
        <f t="array" ref="L7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1.6331207679892847</v>
      </c>
      <c r="M764" s="37">
        <f t="shared" si="79"/>
        <v>1.0281895004317532E-2</v>
      </c>
      <c r="N764" s="43">
        <f t="shared" si="80"/>
        <v>3.1375443715209173E-3</v>
      </c>
      <c r="O764" s="43">
        <f t="shared" si="81"/>
        <v>5.5663175430011869E-3</v>
      </c>
      <c r="P764" s="43">
        <f t="shared" si="82"/>
        <v>0.30515234499121147</v>
      </c>
      <c r="Q764" s="37">
        <f t="shared" si="83"/>
        <v>0.54137078239602732</v>
      </c>
      <c r="R764" s="37">
        <v>-1.6000000000000001E-3</v>
      </c>
      <c r="S764" s="44" t="s">
        <v>1393</v>
      </c>
      <c r="T764" s="45">
        <v>0.87491873399999998</v>
      </c>
      <c r="U764" s="45">
        <v>0.70962729999999996</v>
      </c>
      <c r="V764" s="45">
        <v>1.0945388199999999</v>
      </c>
      <c r="W764" s="45">
        <v>3.7396537799999998E-3</v>
      </c>
      <c r="X764" s="45">
        <v>1.6397208900000002E-2</v>
      </c>
      <c r="Y764" s="45">
        <v>100.204324</v>
      </c>
      <c r="Z764" s="36">
        <v>3.58</v>
      </c>
      <c r="AA764" s="38">
        <v>663</v>
      </c>
      <c r="AB764" s="38">
        <v>764</v>
      </c>
      <c r="AC764" s="49" t="s">
        <v>506</v>
      </c>
      <c r="AD764" s="39" t="s">
        <v>1371</v>
      </c>
      <c r="AE764" s="48" t="str">
        <f t="shared" si="84"/>
        <v/>
      </c>
    </row>
    <row r="765" spans="1:31" ht="15" thickBot="1">
      <c r="A765" s="34">
        <v>763</v>
      </c>
      <c r="B765" s="34" t="s">
        <v>753</v>
      </c>
      <c r="C765" s="41" t="s">
        <v>1355</v>
      </c>
      <c r="D765" s="34" t="s">
        <v>704</v>
      </c>
      <c r="E765" s="80">
        <f t="shared" si="77"/>
        <v>1.6204117290105389</v>
      </c>
      <c r="F765" s="35">
        <f t="shared" si="78"/>
        <v>60.368952115145049</v>
      </c>
      <c r="G765" s="42" cm="1">
        <f t="array" ref="G76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60.135521063256263</v>
      </c>
      <c r="H765" s="81" cm="1">
        <f t="array" ref="H7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1.6172694028302357</v>
      </c>
      <c r="I765" s="81" cm="1">
        <f t="array" ref="I7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1.6204117290105389</v>
      </c>
      <c r="J765" s="81" cm="1">
        <f t="array" ref="J7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1.6228628797966131</v>
      </c>
      <c r="K765" s="81" cm="1">
        <f t="array" ref="K7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1.6275464029647948</v>
      </c>
      <c r="L765" s="81" cm="1">
        <f t="array" ref="L7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1.6330983762089519</v>
      </c>
      <c r="M765" s="37">
        <f t="shared" si="79"/>
        <v>1.0277000134559122E-2</v>
      </c>
      <c r="N765" s="43">
        <f t="shared" si="80"/>
        <v>3.1423261803031899E-3</v>
      </c>
      <c r="O765" s="43">
        <f t="shared" si="81"/>
        <v>5.5519732441571268E-3</v>
      </c>
      <c r="P765" s="43">
        <f t="shared" si="82"/>
        <v>0.30576297938697983</v>
      </c>
      <c r="Q765" s="37">
        <f t="shared" si="83"/>
        <v>0.54023286673775095</v>
      </c>
      <c r="R765" s="37">
        <v>-3.0999999999999999E-3</v>
      </c>
      <c r="S765" s="44" t="s">
        <v>1394</v>
      </c>
      <c r="T765" s="45">
        <v>2.5840780200000002</v>
      </c>
      <c r="U765" s="45">
        <v>-1.11281379E-2</v>
      </c>
      <c r="V765" s="45">
        <v>1.5428159699999999E-2</v>
      </c>
      <c r="W765" s="45">
        <v>2.6403392900000001E-5</v>
      </c>
      <c r="X765" s="45">
        <v>2.77466467E-5</v>
      </c>
      <c r="Y765" s="45">
        <v>-1.2449390400000001E-6</v>
      </c>
      <c r="Z765" s="36">
        <v>3.53</v>
      </c>
      <c r="AA765" s="38">
        <v>653</v>
      </c>
      <c r="AB765" s="38">
        <v>754</v>
      </c>
      <c r="AC765" s="49" t="s">
        <v>506</v>
      </c>
      <c r="AD765" s="49" t="s">
        <v>506</v>
      </c>
      <c r="AE765" s="48" t="str">
        <f t="shared" si="84"/>
        <v/>
      </c>
    </row>
    <row r="766" spans="1:31" ht="15" thickBot="1">
      <c r="A766" s="34">
        <v>764</v>
      </c>
      <c r="B766" s="34" t="s">
        <v>753</v>
      </c>
      <c r="C766" s="41" t="s">
        <v>1355</v>
      </c>
      <c r="D766" s="34" t="s">
        <v>543</v>
      </c>
      <c r="E766" s="80">
        <f t="shared" si="77"/>
        <v>1.6220999965717664</v>
      </c>
      <c r="F766" s="35">
        <f t="shared" si="78"/>
        <v>56.710504335076195</v>
      </c>
      <c r="G766" s="42" cm="1">
        <f t="array" ref="G76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56.434264782041559</v>
      </c>
      <c r="H766" s="81" cm="1">
        <f t="array" ref="H7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1.6187762603657825</v>
      </c>
      <c r="I766" s="81" cm="1">
        <f t="array" ref="I7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1.6220999965717664</v>
      </c>
      <c r="J766" s="81" cm="1">
        <f t="array" ref="J7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1.6247148499684356</v>
      </c>
      <c r="K766" s="81" cm="1">
        <f t="array" ref="K7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1.6297460093367326</v>
      </c>
      <c r="L766" s="81" cm="1">
        <f t="array" ref="L7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1.6357504493610251</v>
      </c>
      <c r="M766" s="37">
        <f t="shared" si="79"/>
        <v>1.0969748970950155E-2</v>
      </c>
      <c r="N766" s="43">
        <f t="shared" si="80"/>
        <v>3.3237362059839182E-3</v>
      </c>
      <c r="O766" s="43">
        <f t="shared" si="81"/>
        <v>6.0044400242924567E-3</v>
      </c>
      <c r="P766" s="43">
        <f t="shared" si="82"/>
        <v>0.3029910907520092</v>
      </c>
      <c r="Q766" s="37">
        <f t="shared" si="83"/>
        <v>0.54736348481567643</v>
      </c>
      <c r="R766" s="37">
        <v>-1.8E-3</v>
      </c>
      <c r="S766" s="44" t="s">
        <v>1393</v>
      </c>
      <c r="T766" s="45">
        <v>1.48007727</v>
      </c>
      <c r="U766" s="45">
        <v>0.87419001900000004</v>
      </c>
      <c r="V766" s="45">
        <v>0.1058395</v>
      </c>
      <c r="W766" s="45">
        <v>8.5214230200000001E-3</v>
      </c>
      <c r="X766" s="45">
        <v>93.190138300000001</v>
      </c>
      <c r="Y766" s="45">
        <v>3.2727290399999998E-2</v>
      </c>
      <c r="Z766" s="36">
        <v>3.63</v>
      </c>
      <c r="AA766" s="38">
        <v>657</v>
      </c>
      <c r="AB766" s="38">
        <v>769</v>
      </c>
      <c r="AC766" s="49" t="s">
        <v>506</v>
      </c>
      <c r="AD766" s="49" t="s">
        <v>506</v>
      </c>
      <c r="AE766" s="48" t="str">
        <f t="shared" si="84"/>
        <v/>
      </c>
    </row>
    <row r="767" spans="1:31" ht="15" thickBot="1">
      <c r="A767" s="34">
        <v>765</v>
      </c>
      <c r="B767" s="34" t="s">
        <v>753</v>
      </c>
      <c r="C767" s="41" t="s">
        <v>1355</v>
      </c>
      <c r="D767" s="34" t="s">
        <v>544</v>
      </c>
      <c r="E767" s="80">
        <f t="shared" si="77"/>
        <v>1.6228000114708772</v>
      </c>
      <c r="F767" s="35">
        <f t="shared" si="78"/>
        <v>56.914167836487358</v>
      </c>
      <c r="G767" s="42" cm="1">
        <f t="array" ref="G76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56.634732648622453</v>
      </c>
      <c r="H767" s="81" cm="1">
        <f t="array" ref="H7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1.6194848002185267</v>
      </c>
      <c r="I767" s="81" cm="1">
        <f t="array" ref="I7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1.6228000114708772</v>
      </c>
      <c r="J767" s="81" cm="1">
        <f t="array" ref="J7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1.6254081394552717</v>
      </c>
      <c r="K767" s="81" cm="1">
        <f t="array" ref="K7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1.6304275941685351</v>
      </c>
      <c r="L767" s="81" cm="1">
        <f t="array" ref="L7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1.6364213622073487</v>
      </c>
      <c r="M767" s="37">
        <f t="shared" si="79"/>
        <v>1.0942793950008411E-2</v>
      </c>
      <c r="N767" s="43">
        <f t="shared" si="80"/>
        <v>3.3152112523504584E-3</v>
      </c>
      <c r="O767" s="43">
        <f t="shared" si="81"/>
        <v>5.9937680388135739E-3</v>
      </c>
      <c r="P767" s="43">
        <f t="shared" si="82"/>
        <v>0.30295839138485381</v>
      </c>
      <c r="Q767" s="37">
        <f t="shared" si="83"/>
        <v>0.54773653476395456</v>
      </c>
      <c r="R767" s="37">
        <v>-1.1000000000000001E-3</v>
      </c>
      <c r="S767" s="44" t="s">
        <v>1393</v>
      </c>
      <c r="T767" s="45">
        <v>0.957266324</v>
      </c>
      <c r="U767" s="45">
        <v>1.4452821499999999</v>
      </c>
      <c r="V767" s="45">
        <v>0.143179062</v>
      </c>
      <c r="W767" s="45">
        <v>100.40885299999999</v>
      </c>
      <c r="X767" s="45">
        <v>8.0438019999999992E-3</v>
      </c>
      <c r="Y767" s="45">
        <v>3.0435308000000001E-2</v>
      </c>
      <c r="Z767" s="36">
        <v>3.63</v>
      </c>
      <c r="AA767" s="38">
        <v>657</v>
      </c>
      <c r="AB767" s="38">
        <v>763</v>
      </c>
      <c r="AC767" s="49" t="s">
        <v>506</v>
      </c>
      <c r="AD767" s="49" t="s">
        <v>506</v>
      </c>
      <c r="AE767" s="48" t="str">
        <f t="shared" si="84"/>
        <v/>
      </c>
    </row>
    <row r="768" spans="1:31" ht="15" thickBot="1">
      <c r="A768" s="34">
        <v>766</v>
      </c>
      <c r="B768" s="34" t="s">
        <v>753</v>
      </c>
      <c r="C768" s="41" t="s">
        <v>1355</v>
      </c>
      <c r="D768" s="34" t="s">
        <v>705</v>
      </c>
      <c r="E768" s="80">
        <f t="shared" si="77"/>
        <v>1.6385400264196406</v>
      </c>
      <c r="F768" s="35">
        <f t="shared" si="78"/>
        <v>55.44721358764788</v>
      </c>
      <c r="G768" s="42" cm="1">
        <f t="array" ref="G76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55.170134253196863</v>
      </c>
      <c r="H768" s="81" cm="1">
        <f t="array" ref="H7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1.6350549301846606</v>
      </c>
      <c r="I768" s="81" cm="1">
        <f t="array" ref="I7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1.6385400264196406</v>
      </c>
      <c r="J768" s="81" cm="1">
        <f t="array" ref="J7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1.6412834585426845</v>
      </c>
      <c r="K768" s="81" cm="1">
        <f t="array" ref="K7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1.6465711089987731</v>
      </c>
      <c r="L768" s="81" cm="1">
        <f t="array" ref="L7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1.6529056114553873</v>
      </c>
      <c r="M768" s="37">
        <f t="shared" si="79"/>
        <v>1.1516178814112488E-2</v>
      </c>
      <c r="N768" s="43">
        <f t="shared" si="80"/>
        <v>3.4850962349799453E-3</v>
      </c>
      <c r="O768" s="43">
        <f t="shared" si="81"/>
        <v>6.334502456614155E-3</v>
      </c>
      <c r="P768" s="43">
        <f t="shared" si="82"/>
        <v>0.30262609596762585</v>
      </c>
      <c r="Q768" s="37">
        <f t="shared" si="83"/>
        <v>0.55005245740466846</v>
      </c>
      <c r="R768" s="37">
        <v>-1.2999999999999999E-3</v>
      </c>
      <c r="S768" s="44" t="s">
        <v>1393</v>
      </c>
      <c r="T768" s="45">
        <v>5.3461545999999999E-2</v>
      </c>
      <c r="U768" s="45">
        <v>1.5837823</v>
      </c>
      <c r="V768" s="45">
        <v>0.91819629700000005</v>
      </c>
      <c r="W768" s="45">
        <v>4.5642998599999998E-2</v>
      </c>
      <c r="X768" s="45">
        <v>9.1226016200000003E-3</v>
      </c>
      <c r="Y768" s="45">
        <v>89.323447400000006</v>
      </c>
      <c r="Z768" s="36">
        <v>3.69</v>
      </c>
      <c r="AA768" s="38">
        <v>655</v>
      </c>
      <c r="AB768" s="38">
        <v>758</v>
      </c>
      <c r="AC768" s="49" t="s">
        <v>506</v>
      </c>
      <c r="AD768" s="39" t="s">
        <v>1371</v>
      </c>
      <c r="AE768" s="48" t="str">
        <f t="shared" si="84"/>
        <v/>
      </c>
    </row>
    <row r="769" spans="1:31" ht="15" thickBot="1">
      <c r="A769" s="34">
        <v>767</v>
      </c>
      <c r="B769" s="34" t="s">
        <v>753</v>
      </c>
      <c r="C769" s="41" t="s">
        <v>1355</v>
      </c>
      <c r="D769" s="34" t="s">
        <v>545</v>
      </c>
      <c r="E769" s="80">
        <f t="shared" si="77"/>
        <v>1.6031100946441832</v>
      </c>
      <c r="F769" s="35">
        <f t="shared" si="78"/>
        <v>60.604501022045746</v>
      </c>
      <c r="G769" s="42" cm="1">
        <f t="array" ref="G76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60.349767219150642</v>
      </c>
      <c r="H769" s="81" cm="1">
        <f t="array" ref="H7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1.6000749169425716</v>
      </c>
      <c r="I769" s="81" cm="1">
        <f t="array" ref="I7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1.6031100946441832</v>
      </c>
      <c r="J769" s="81" cm="1">
        <f t="array" ref="J7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1.6054837510375275</v>
      </c>
      <c r="K769" s="81" cm="1">
        <f t="array" ref="K7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1.6100264895893754</v>
      </c>
      <c r="L769" s="81" cm="1">
        <f t="array" ref="L7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1.6154152473103769</v>
      </c>
      <c r="M769" s="37">
        <f t="shared" si="79"/>
        <v>9.9515726468037968E-3</v>
      </c>
      <c r="N769" s="43">
        <f t="shared" si="80"/>
        <v>3.0351777016115467E-3</v>
      </c>
      <c r="O769" s="43">
        <f t="shared" si="81"/>
        <v>5.388757721001447E-3</v>
      </c>
      <c r="P769" s="43">
        <f t="shared" si="82"/>
        <v>0.30499477915044632</v>
      </c>
      <c r="Q769" s="37">
        <f t="shared" si="83"/>
        <v>0.54149810409434984</v>
      </c>
      <c r="R769" s="37">
        <v>-1.1000000000000001E-3</v>
      </c>
      <c r="S769" s="44" t="s">
        <v>1393</v>
      </c>
      <c r="T769" s="45">
        <v>0.82191139499999999</v>
      </c>
      <c r="U769" s="45">
        <v>0.995367381</v>
      </c>
      <c r="V769" s="45">
        <v>0.70838115599999996</v>
      </c>
      <c r="W769" s="45">
        <v>3.6965972400000002E-3</v>
      </c>
      <c r="X769" s="45">
        <v>97.976535799999994</v>
      </c>
      <c r="Y769" s="45">
        <v>1.5940987100000002E-2</v>
      </c>
      <c r="Z769" s="36">
        <v>3.44</v>
      </c>
      <c r="AA769" s="38">
        <v>647</v>
      </c>
      <c r="AB769" s="38">
        <v>768</v>
      </c>
      <c r="AC769" s="49" t="s">
        <v>506</v>
      </c>
      <c r="AD769" s="39" t="s">
        <v>1371</v>
      </c>
      <c r="AE769" s="48" t="str">
        <f t="shared" si="84"/>
        <v/>
      </c>
    </row>
    <row r="770" spans="1:31" ht="15" thickBot="1">
      <c r="A770" s="34">
        <v>768</v>
      </c>
      <c r="B770" s="34" t="s">
        <v>753</v>
      </c>
      <c r="C770" s="41" t="s">
        <v>1355</v>
      </c>
      <c r="D770" s="34" t="s">
        <v>546</v>
      </c>
      <c r="E770" s="80">
        <f t="shared" si="77"/>
        <v>1.6172000159005988</v>
      </c>
      <c r="F770" s="35">
        <f t="shared" si="78"/>
        <v>53.914388119625379</v>
      </c>
      <c r="G770" s="42" cm="1">
        <f t="array" ref="G77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53.610863855181123</v>
      </c>
      <c r="H770" s="81" cm="1">
        <f t="array" ref="H7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1.6137557449265327</v>
      </c>
      <c r="I770" s="81" cm="1">
        <f t="array" ref="I7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1.6172000159005988</v>
      </c>
      <c r="J770" s="81" cm="1">
        <f t="array" ref="J7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1.6199270452721304</v>
      </c>
      <c r="K770" s="81" cm="1">
        <f t="array" ref="K7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1.625203524219347</v>
      </c>
      <c r="L770" s="81" cm="1">
        <f t="array" ref="L7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1.6315356621514725</v>
      </c>
      <c r="M770" s="37">
        <f t="shared" si="79"/>
        <v>1.1447779292814264E-2</v>
      </c>
      <c r="N770" s="43">
        <f t="shared" si="80"/>
        <v>3.4442709740660771E-3</v>
      </c>
      <c r="O770" s="43">
        <f t="shared" si="81"/>
        <v>6.3321379321255034E-3</v>
      </c>
      <c r="P770" s="43">
        <f t="shared" si="82"/>
        <v>0.30086804488168595</v>
      </c>
      <c r="Q770" s="37">
        <f t="shared" si="83"/>
        <v>0.55313242596318801</v>
      </c>
      <c r="R770" s="37">
        <v>-8.9999999999999998E-4</v>
      </c>
      <c r="S770" s="44" t="s">
        <v>1393</v>
      </c>
      <c r="T770" s="45">
        <v>0.81224936800000003</v>
      </c>
      <c r="U770" s="45">
        <v>0.75525121399999995</v>
      </c>
      <c r="V770" s="45">
        <v>1.1507391300000001</v>
      </c>
      <c r="W770" s="45">
        <v>1.8175396900000002E-2</v>
      </c>
      <c r="X770" s="45">
        <v>2.4782777099999998E-3</v>
      </c>
      <c r="Y770" s="45">
        <v>144.030731</v>
      </c>
      <c r="Z770" s="36">
        <v>3.66</v>
      </c>
      <c r="AA770" s="38">
        <v>608</v>
      </c>
      <c r="AB770" s="38">
        <v>754</v>
      </c>
      <c r="AC770" s="49" t="s">
        <v>506</v>
      </c>
      <c r="AD770" s="49" t="s">
        <v>506</v>
      </c>
      <c r="AE770" s="48" t="str">
        <f t="shared" si="84"/>
        <v/>
      </c>
    </row>
    <row r="771" spans="1:31" ht="15" thickBot="1">
      <c r="A771" s="34">
        <v>769</v>
      </c>
      <c r="B771" s="34" t="s">
        <v>753</v>
      </c>
      <c r="C771" s="41" t="s">
        <v>1355</v>
      </c>
      <c r="D771" s="34" t="s">
        <v>547</v>
      </c>
      <c r="E771" s="80">
        <f t="shared" ref="E771:E834" si="85">I771</f>
        <v>1.6229900076138803</v>
      </c>
      <c r="F771" s="35">
        <f t="shared" ref="F771:F834" si="86">(I771-1)/M771</f>
        <v>58.12135427754734</v>
      </c>
      <c r="G771" s="42" cm="1">
        <f t="array" ref="G77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57.86145984073454</v>
      </c>
      <c r="H771" s="81" cm="1">
        <f t="array" ref="H7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1.6197306489291325</v>
      </c>
      <c r="I771" s="81" cm="1">
        <f t="array" ref="I7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1.6229900076138803</v>
      </c>
      <c r="J771" s="81" cm="1">
        <f t="array" ref="J7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1.6255456189960751</v>
      </c>
      <c r="K771" s="81" cm="1">
        <f t="array" ref="K7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1.6304494288914664</v>
      </c>
      <c r="L771" s="81" cm="1">
        <f t="array" ref="L7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1.6362850292313988</v>
      </c>
      <c r="M771" s="37">
        <f t="shared" ref="M771:M834" si="87">K771-H771</f>
        <v>1.0718779962333835E-2</v>
      </c>
      <c r="N771" s="43">
        <f t="shared" ref="N771:N834" si="88">I771-H771</f>
        <v>3.259358684747804E-3</v>
      </c>
      <c r="O771" s="43">
        <f t="shared" ref="O771:O834" si="89">L771-K771</f>
        <v>5.8356003399324674E-3</v>
      </c>
      <c r="P771" s="43">
        <f t="shared" ref="P771:P834" si="90">(I771-H771)/M771</f>
        <v>0.30407926053163731</v>
      </c>
      <c r="Q771" s="37">
        <f t="shared" ref="Q771:Q834" si="91">(L771-K771)/M771</f>
        <v>0.54442766438335044</v>
      </c>
      <c r="R771" s="37">
        <v>-2.3999999999999998E-3</v>
      </c>
      <c r="S771" s="44" t="s">
        <v>1393</v>
      </c>
      <c r="T771" s="45">
        <v>0.89424892499999997</v>
      </c>
      <c r="U771" s="45">
        <v>0.696413489</v>
      </c>
      <c r="V771" s="45">
        <v>1.07122355</v>
      </c>
      <c r="W771" s="45">
        <v>3.8452171799999999E-3</v>
      </c>
      <c r="X771" s="45">
        <v>1.7413013200000001E-2</v>
      </c>
      <c r="Y771" s="45">
        <v>102.205952</v>
      </c>
      <c r="Z771" s="36">
        <v>3.56</v>
      </c>
      <c r="AA771" s="38">
        <v>646</v>
      </c>
      <c r="AB771" s="38">
        <v>770</v>
      </c>
      <c r="AC771" s="49" t="s">
        <v>506</v>
      </c>
      <c r="AD771" s="39" t="s">
        <v>1371</v>
      </c>
      <c r="AE771" s="48" t="str">
        <f t="shared" si="84"/>
        <v/>
      </c>
    </row>
    <row r="772" spans="1:31" ht="15" thickBot="1">
      <c r="A772" s="34">
        <v>770</v>
      </c>
      <c r="B772" s="34" t="s">
        <v>753</v>
      </c>
      <c r="C772" s="41" t="s">
        <v>1355</v>
      </c>
      <c r="D772" s="34" t="s">
        <v>548</v>
      </c>
      <c r="E772" s="80">
        <f t="shared" si="85"/>
        <v>1.607379995862585</v>
      </c>
      <c r="F772" s="35">
        <f t="shared" si="86"/>
        <v>56.655185200838389</v>
      </c>
      <c r="G772" s="42" cm="1">
        <f t="array" ref="G77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56.369265688358915</v>
      </c>
      <c r="H772" s="81" cm="1">
        <f t="array" ref="H7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1.6041361352783707</v>
      </c>
      <c r="I772" s="81" cm="1">
        <f t="array" ref="I7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1.607379995862585</v>
      </c>
      <c r="J772" s="81" cm="1">
        <f t="array" ref="J7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1.6099351845265857</v>
      </c>
      <c r="K772" s="81" cm="1">
        <f t="array" ref="K7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1.6148567779469891</v>
      </c>
      <c r="L772" s="81" cm="1">
        <f t="array" ref="L7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1.6207341325969138</v>
      </c>
      <c r="M772" s="37">
        <f t="shared" si="87"/>
        <v>1.0720642668618385E-2</v>
      </c>
      <c r="N772" s="43">
        <f t="shared" si="88"/>
        <v>3.2438605842142199E-3</v>
      </c>
      <c r="O772" s="43">
        <f t="shared" si="89"/>
        <v>5.8773546499246709E-3</v>
      </c>
      <c r="P772" s="43">
        <f t="shared" si="90"/>
        <v>0.30258079524557735</v>
      </c>
      <c r="Q772" s="37">
        <f t="shared" si="91"/>
        <v>0.54822782846115614</v>
      </c>
      <c r="R772" s="37">
        <v>-1E-3</v>
      </c>
      <c r="S772" s="44" t="s">
        <v>1393</v>
      </c>
      <c r="T772" s="45">
        <v>0.43431130600000001</v>
      </c>
      <c r="U772" s="45">
        <v>1.1056003299999999</v>
      </c>
      <c r="V772" s="45">
        <v>0.98877615900000004</v>
      </c>
      <c r="W772" s="45">
        <v>-1.92252587E-3</v>
      </c>
      <c r="X772" s="45">
        <v>1.4727107200000001E-2</v>
      </c>
      <c r="Y772" s="45">
        <v>110.41164999999999</v>
      </c>
      <c r="Z772" s="36">
        <v>3.54</v>
      </c>
      <c r="AA772" s="38">
        <v>655</v>
      </c>
      <c r="AB772" s="38">
        <v>798</v>
      </c>
      <c r="AC772" s="49" t="s">
        <v>506</v>
      </c>
      <c r="AD772" s="49" t="s">
        <v>506</v>
      </c>
      <c r="AE772" s="48" t="str">
        <f t="shared" si="84"/>
        <v/>
      </c>
    </row>
    <row r="773" spans="1:31" ht="15" thickBot="1">
      <c r="A773" s="34">
        <v>771</v>
      </c>
      <c r="B773" s="34" t="s">
        <v>753</v>
      </c>
      <c r="C773" s="41" t="s">
        <v>1355</v>
      </c>
      <c r="D773" s="34" t="s">
        <v>706</v>
      </c>
      <c r="E773" s="80">
        <f t="shared" si="85"/>
        <v>1.607379995862585</v>
      </c>
      <c r="F773" s="35">
        <f t="shared" si="86"/>
        <v>56.655185200838389</v>
      </c>
      <c r="G773" s="42" cm="1">
        <f t="array" ref="G77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56.369265688358915</v>
      </c>
      <c r="H773" s="81" cm="1">
        <f t="array" ref="H7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1.6041361352783707</v>
      </c>
      <c r="I773" s="81" cm="1">
        <f t="array" ref="I7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1.607379995862585</v>
      </c>
      <c r="J773" s="81" cm="1">
        <f t="array" ref="J7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1.6099351845265857</v>
      </c>
      <c r="K773" s="81" cm="1">
        <f t="array" ref="K7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1.6148567779469891</v>
      </c>
      <c r="L773" s="81" cm="1">
        <f t="array" ref="L7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1.6207341325969138</v>
      </c>
      <c r="M773" s="37">
        <f t="shared" si="87"/>
        <v>1.0720642668618385E-2</v>
      </c>
      <c r="N773" s="43">
        <f t="shared" si="88"/>
        <v>3.2438605842142199E-3</v>
      </c>
      <c r="O773" s="43">
        <f t="shared" si="89"/>
        <v>5.8773546499246709E-3</v>
      </c>
      <c r="P773" s="43">
        <f t="shared" si="90"/>
        <v>0.30258079524557735</v>
      </c>
      <c r="Q773" s="37">
        <f t="shared" si="91"/>
        <v>0.54822782846115614</v>
      </c>
      <c r="R773" s="37">
        <v>-1E-3</v>
      </c>
      <c r="S773" s="44" t="s">
        <v>1393</v>
      </c>
      <c r="T773" s="45">
        <v>0.43431130600000001</v>
      </c>
      <c r="U773" s="45">
        <v>1.1056003299999999</v>
      </c>
      <c r="V773" s="45">
        <v>0.98877615900000004</v>
      </c>
      <c r="W773" s="45">
        <v>-1.92252587E-3</v>
      </c>
      <c r="X773" s="45">
        <v>1.4727107200000001E-2</v>
      </c>
      <c r="Y773" s="45">
        <v>110.41164999999999</v>
      </c>
      <c r="Z773" s="36">
        <v>3.54</v>
      </c>
      <c r="AA773" s="38">
        <v>655</v>
      </c>
      <c r="AB773" s="38">
        <v>798</v>
      </c>
      <c r="AC773" s="49" t="s">
        <v>506</v>
      </c>
      <c r="AD773" s="49" t="s">
        <v>506</v>
      </c>
      <c r="AE773" s="48" t="str">
        <f t="shared" si="84"/>
        <v>Transmission improved type.</v>
      </c>
    </row>
    <row r="774" spans="1:31" ht="15" thickBot="1">
      <c r="A774" s="34">
        <v>772</v>
      </c>
      <c r="B774" s="34" t="s">
        <v>753</v>
      </c>
      <c r="C774" s="41" t="s">
        <v>1358</v>
      </c>
      <c r="D774" s="34" t="s">
        <v>549</v>
      </c>
      <c r="E774" s="80">
        <f t="shared" si="85"/>
        <v>1.6595000021078417</v>
      </c>
      <c r="F774" s="35">
        <f t="shared" si="86"/>
        <v>57.347939598287212</v>
      </c>
      <c r="G774" s="42" cm="1">
        <f t="array" ref="G77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57.077998992953731</v>
      </c>
      <c r="H774" s="81" cm="1">
        <f t="array" ref="H7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1.6560105416604161</v>
      </c>
      <c r="I774" s="81" cm="1">
        <f t="array" ref="I7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1.6595000021078417</v>
      </c>
      <c r="J774" s="81" cm="1">
        <f t="array" ref="J7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1.6622416618270679</v>
      </c>
      <c r="K774" s="81" cm="1">
        <f t="array" ref="K7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1.6675105189347093</v>
      </c>
      <c r="L774" s="81" cm="1">
        <f t="array" ref="L7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1.6737888150140019</v>
      </c>
      <c r="M774" s="37">
        <f t="shared" si="87"/>
        <v>1.1499977274293194E-2</v>
      </c>
      <c r="N774" s="43">
        <f t="shared" si="88"/>
        <v>3.4894604474255964E-3</v>
      </c>
      <c r="O774" s="43">
        <f t="shared" si="89"/>
        <v>6.2782960792926445E-3</v>
      </c>
      <c r="P774" s="43">
        <f t="shared" si="90"/>
        <v>0.30343194288095354</v>
      </c>
      <c r="Q774" s="37">
        <f t="shared" si="91"/>
        <v>0.54593986836191533</v>
      </c>
      <c r="R774" s="37">
        <v>-2.0999999999999999E-3</v>
      </c>
      <c r="S774" s="44" t="s">
        <v>1393</v>
      </c>
      <c r="T774" s="45">
        <v>0.96488670099999996</v>
      </c>
      <c r="U774" s="45">
        <v>0.468480585</v>
      </c>
      <c r="V774" s="45">
        <v>1.23722796</v>
      </c>
      <c r="W774" s="45">
        <v>91.193933000000001</v>
      </c>
      <c r="X774" s="45">
        <v>2.0581052900000001E-2</v>
      </c>
      <c r="Y774" s="45">
        <v>6.08509423E-3</v>
      </c>
      <c r="Z774" s="36">
        <v>3.94</v>
      </c>
      <c r="AA774" s="38">
        <v>655</v>
      </c>
      <c r="AB774" s="38">
        <v>739</v>
      </c>
      <c r="AC774" s="49" t="s">
        <v>506</v>
      </c>
      <c r="AD774" s="49" t="s">
        <v>506</v>
      </c>
      <c r="AE774" s="48" t="str">
        <f t="shared" si="84"/>
        <v/>
      </c>
    </row>
    <row r="775" spans="1:31" ht="15" thickBot="1">
      <c r="A775" s="34">
        <v>773</v>
      </c>
      <c r="B775" s="34" t="s">
        <v>753</v>
      </c>
      <c r="C775" s="41" t="s">
        <v>1358</v>
      </c>
      <c r="D775" s="34" t="s">
        <v>550</v>
      </c>
      <c r="E775" s="80">
        <f t="shared" si="85"/>
        <v>1.692110031717067</v>
      </c>
      <c r="F775" s="35">
        <f t="shared" si="86"/>
        <v>54.539846809661974</v>
      </c>
      <c r="G775" s="42" cm="1">
        <f t="array" ref="G77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54.275699326871489</v>
      </c>
      <c r="H775" s="81" cm="1">
        <f t="array" ref="H7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1.6882690630482204</v>
      </c>
      <c r="I775" s="81" cm="1">
        <f t="array" ref="I7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1.692110031717067</v>
      </c>
      <c r="J775" s="81" cm="1">
        <f t="array" ref="J7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1.6951346829603282</v>
      </c>
      <c r="K775" s="81" cm="1">
        <f t="array" ref="K7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1.7009590516015887</v>
      </c>
      <c r="L775" s="81" cm="1">
        <f t="array" ref="L7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1.7079136080557991</v>
      </c>
      <c r="M775" s="37">
        <f t="shared" si="87"/>
        <v>1.2689988553368226E-2</v>
      </c>
      <c r="N775" s="43">
        <f t="shared" si="88"/>
        <v>3.8409686688465339E-3</v>
      </c>
      <c r="O775" s="43">
        <f t="shared" si="89"/>
        <v>6.9545564542103921E-3</v>
      </c>
      <c r="P775" s="43">
        <f t="shared" si="90"/>
        <v>0.30267707907640701</v>
      </c>
      <c r="Q775" s="37">
        <f t="shared" si="91"/>
        <v>0.54803488789314059</v>
      </c>
      <c r="R775" s="37">
        <v>-4.7999999999999996E-3</v>
      </c>
      <c r="S775" s="44" t="s">
        <v>1393</v>
      </c>
      <c r="T775" s="45">
        <v>0.91480803799999999</v>
      </c>
      <c r="U775" s="45">
        <v>1.0052249099999999</v>
      </c>
      <c r="V775" s="45">
        <v>0.80341595799999999</v>
      </c>
      <c r="W775" s="45">
        <v>82.326069799999999</v>
      </c>
      <c r="X775" s="45">
        <v>4.5050439999999997E-3</v>
      </c>
      <c r="Y775" s="45">
        <v>1.8371341999999999E-2</v>
      </c>
      <c r="Z775" s="36">
        <v>3.94</v>
      </c>
      <c r="AA775" s="38">
        <v>634</v>
      </c>
      <c r="AB775" s="38">
        <v>710</v>
      </c>
      <c r="AC775" s="49" t="s">
        <v>506</v>
      </c>
      <c r="AD775" s="49" t="s">
        <v>506</v>
      </c>
      <c r="AE775" s="48" t="str">
        <f t="shared" si="84"/>
        <v/>
      </c>
    </row>
    <row r="776" spans="1:31" ht="15" thickBot="1">
      <c r="A776" s="34">
        <v>774</v>
      </c>
      <c r="B776" s="34" t="s">
        <v>753</v>
      </c>
      <c r="C776" s="41" t="s">
        <v>1358</v>
      </c>
      <c r="D776" s="34" t="s">
        <v>551</v>
      </c>
      <c r="E776" s="80">
        <f t="shared" si="85"/>
        <v>1.7469299976478463</v>
      </c>
      <c r="F776" s="35">
        <f t="shared" si="86"/>
        <v>50.950691971673628</v>
      </c>
      <c r="G776" s="42" cm="1">
        <f t="array" ref="G77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50.708825591805436</v>
      </c>
      <c r="H776" s="81" cm="1">
        <f t="array" ref="H7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1.7424980675224926</v>
      </c>
      <c r="I776" s="81" cm="1">
        <f t="array" ref="I7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1.7469299976478463</v>
      </c>
      <c r="J776" s="81" cm="1">
        <f t="array" ref="J7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1.7504220249168376</v>
      </c>
      <c r="K776" s="81" cm="1">
        <f t="array" ref="K7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1.7571579272563527</v>
      </c>
      <c r="L776" s="81" cm="1">
        <f t="array" ref="L7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1.7652269636455531</v>
      </c>
      <c r="M776" s="37">
        <f t="shared" si="87"/>
        <v>1.4659859733860081E-2</v>
      </c>
      <c r="N776" s="43">
        <f t="shared" si="88"/>
        <v>4.4319301253537002E-3</v>
      </c>
      <c r="O776" s="43">
        <f t="shared" si="89"/>
        <v>8.0690363892004235E-3</v>
      </c>
      <c r="P776" s="43">
        <f t="shared" si="90"/>
        <v>0.3023173622266801</v>
      </c>
      <c r="Q776" s="37">
        <f t="shared" si="91"/>
        <v>0.55041702551650329</v>
      </c>
      <c r="R776" s="37">
        <v>-8.5000000000000006E-3</v>
      </c>
      <c r="S776" s="44" t="s">
        <v>1393</v>
      </c>
      <c r="T776" s="45">
        <v>1.27801447</v>
      </c>
      <c r="U776" s="45">
        <v>1.1947381500000001</v>
      </c>
      <c r="V776" s="45">
        <v>0.79302810199999996</v>
      </c>
      <c r="W776" s="45">
        <v>90.683008200000003</v>
      </c>
      <c r="X776" s="45">
        <v>1.8170483300000002E-2</v>
      </c>
      <c r="Y776" s="45">
        <v>1.0873727600000001E-3</v>
      </c>
      <c r="Z776" s="36">
        <v>4.08</v>
      </c>
      <c r="AA776" s="38">
        <v>663</v>
      </c>
      <c r="AB776" s="38">
        <v>742</v>
      </c>
      <c r="AC776" s="49" t="s">
        <v>506</v>
      </c>
      <c r="AD776" s="49" t="s">
        <v>506</v>
      </c>
      <c r="AE776" s="48" t="str">
        <f t="shared" si="84"/>
        <v/>
      </c>
    </row>
    <row r="777" spans="1:31" ht="15" thickBot="1">
      <c r="A777" s="34">
        <v>775</v>
      </c>
      <c r="B777" s="34" t="s">
        <v>753</v>
      </c>
      <c r="C777" s="41" t="s">
        <v>1358</v>
      </c>
      <c r="D777" s="34" t="s">
        <v>552</v>
      </c>
      <c r="E777" s="80">
        <f t="shared" si="85"/>
        <v>1.6400000096416041</v>
      </c>
      <c r="F777" s="35">
        <f t="shared" si="86"/>
        <v>60.203473597162642</v>
      </c>
      <c r="G777" s="42" cm="1">
        <f t="array" ref="G77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60.005773111494861</v>
      </c>
      <c r="H777" s="81" cm="1">
        <f t="array" ref="H7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1.6367362842589439</v>
      </c>
      <c r="I777" s="81" cm="1">
        <f t="array" ref="I7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1.6400000096416041</v>
      </c>
      <c r="J777" s="81" cm="1">
        <f t="array" ref="J7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1.6425358994558639</v>
      </c>
      <c r="K777" s="81" cm="1">
        <f t="array" ref="K7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1.6473669002583464</v>
      </c>
      <c r="L777" s="81" cm="1">
        <f t="array" ref="L7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1.653077719936034</v>
      </c>
      <c r="M777" s="37">
        <f t="shared" si="87"/>
        <v>1.0630615999402515E-2</v>
      </c>
      <c r="N777" s="43">
        <f t="shared" si="88"/>
        <v>3.2637253826601764E-3</v>
      </c>
      <c r="O777" s="43">
        <f t="shared" si="89"/>
        <v>5.7108196776876063E-3</v>
      </c>
      <c r="P777" s="43">
        <f t="shared" si="90"/>
        <v>0.30701187803638202</v>
      </c>
      <c r="Q777" s="37">
        <f t="shared" si="91"/>
        <v>0.53720496328797673</v>
      </c>
      <c r="R777" s="37">
        <v>-6.0000000000000001E-3</v>
      </c>
      <c r="S777" s="44" t="s">
        <v>1393</v>
      </c>
      <c r="T777" s="45">
        <v>0.40231288900000001</v>
      </c>
      <c r="U777" s="45">
        <v>1.24575177</v>
      </c>
      <c r="V777" s="45">
        <v>1.28904431</v>
      </c>
      <c r="W777" s="45">
        <v>-2.6767924700000002E-3</v>
      </c>
      <c r="X777" s="45">
        <v>1.3171611E-2</v>
      </c>
      <c r="Y777" s="45">
        <v>93.365480399999996</v>
      </c>
      <c r="Z777" s="36">
        <v>2.99</v>
      </c>
      <c r="AA777" s="38">
        <v>666</v>
      </c>
      <c r="AB777" s="38">
        <v>735</v>
      </c>
      <c r="AC777" s="49" t="s">
        <v>506</v>
      </c>
      <c r="AD777" s="39" t="s">
        <v>1371</v>
      </c>
      <c r="AE777" s="48" t="str">
        <f t="shared" si="84"/>
        <v/>
      </c>
    </row>
    <row r="778" spans="1:31" ht="15" thickBot="1">
      <c r="A778" s="34">
        <v>776</v>
      </c>
      <c r="B778" s="34" t="s">
        <v>753</v>
      </c>
      <c r="C778" s="41" t="s">
        <v>1358</v>
      </c>
      <c r="D778" s="34" t="s">
        <v>553</v>
      </c>
      <c r="E778" s="80">
        <f t="shared" si="85"/>
        <v>1.6778999908508956</v>
      </c>
      <c r="F778" s="35">
        <f t="shared" si="86"/>
        <v>55.515628249285001</v>
      </c>
      <c r="G778" s="42" cm="1">
        <f t="array" ref="G77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55.259928127770181</v>
      </c>
      <c r="H778" s="81" cm="1">
        <f t="array" ref="H7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1.6741956087682264</v>
      </c>
      <c r="I778" s="81" cm="1">
        <f t="array" ref="I7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1.6778999908508956</v>
      </c>
      <c r="J778" s="81" cm="1">
        <f t="array" ref="J7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1.6808110400717655</v>
      </c>
      <c r="K778" s="81" cm="1">
        <f t="array" ref="K7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1.686406584528185</v>
      </c>
      <c r="L778" s="81" cm="1">
        <f t="array" ref="L7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1.6930767512655205</v>
      </c>
      <c r="M778" s="37">
        <f t="shared" si="87"/>
        <v>1.2210975759958664E-2</v>
      </c>
      <c r="N778" s="43">
        <f t="shared" si="88"/>
        <v>3.7043820826692109E-3</v>
      </c>
      <c r="O778" s="43">
        <f t="shared" si="89"/>
        <v>6.6701667373354478E-3</v>
      </c>
      <c r="P778" s="43">
        <f t="shared" si="90"/>
        <v>0.30336495260406204</v>
      </c>
      <c r="Q778" s="37">
        <f t="shared" si="91"/>
        <v>0.54624354911978201</v>
      </c>
      <c r="R778" s="37">
        <v>-4.8999999999999998E-3</v>
      </c>
      <c r="S778" s="44" t="s">
        <v>1393</v>
      </c>
      <c r="T778" s="45">
        <v>1.5443741499999999</v>
      </c>
      <c r="U778" s="45">
        <v>1.0006697200000001</v>
      </c>
      <c r="V778" s="45">
        <v>0.21912377499999999</v>
      </c>
      <c r="W778" s="45">
        <v>8.1590102499999994E-3</v>
      </c>
      <c r="X778" s="45">
        <v>88.911075400000001</v>
      </c>
      <c r="Y778" s="45">
        <v>2.6701106400000001E-2</v>
      </c>
      <c r="Z778" s="36">
        <v>3.8</v>
      </c>
      <c r="AA778" s="38">
        <v>646</v>
      </c>
      <c r="AB778" s="38">
        <v>722</v>
      </c>
      <c r="AC778" s="49" t="s">
        <v>506</v>
      </c>
      <c r="AD778" s="49" t="s">
        <v>506</v>
      </c>
      <c r="AE778" s="48" t="str">
        <f t="shared" si="84"/>
        <v/>
      </c>
    </row>
    <row r="779" spans="1:31" ht="15" thickBot="1">
      <c r="A779" s="34">
        <v>777</v>
      </c>
      <c r="B779" s="34" t="s">
        <v>753</v>
      </c>
      <c r="C779" s="41" t="s">
        <v>1358</v>
      </c>
      <c r="D779" s="34" t="s">
        <v>554</v>
      </c>
      <c r="E779" s="80">
        <f t="shared" si="85"/>
        <v>1.6935000287712723</v>
      </c>
      <c r="F779" s="35">
        <f t="shared" si="86"/>
        <v>53.381073593690644</v>
      </c>
      <c r="G779" s="42" cm="1">
        <f t="array" ref="G77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53.153598747499906</v>
      </c>
      <c r="H779" s="81" cm="1">
        <f t="array" ref="H7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1.6895523646057218</v>
      </c>
      <c r="I779" s="81" cm="1">
        <f t="array" ref="I7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1.6935000287712723</v>
      </c>
      <c r="J779" s="81" cm="1">
        <f t="array" ref="J7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1.6965956765310821</v>
      </c>
      <c r="K779" s="81" cm="1">
        <f t="array" ref="K7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1.7025438610684913</v>
      </c>
      <c r="L779" s="81" cm="1">
        <f t="array" ref="L7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1.7096460009483059</v>
      </c>
      <c r="M779" s="37">
        <f t="shared" si="87"/>
        <v>1.2991496462769536E-2</v>
      </c>
      <c r="N779" s="43">
        <f t="shared" si="88"/>
        <v>3.9476641655504796E-3</v>
      </c>
      <c r="O779" s="43">
        <f t="shared" si="89"/>
        <v>7.1021398798145619E-3</v>
      </c>
      <c r="P779" s="43">
        <f t="shared" si="90"/>
        <v>0.30386523807041965</v>
      </c>
      <c r="Q779" s="37">
        <f t="shared" si="91"/>
        <v>0.54667604306921569</v>
      </c>
      <c r="R779" s="37">
        <v>-8.2000000000000007E-3</v>
      </c>
      <c r="S779" s="44" t="s">
        <v>1393</v>
      </c>
      <c r="T779" s="45">
        <v>1.1301844400000001</v>
      </c>
      <c r="U779" s="45">
        <v>1.60589</v>
      </c>
      <c r="V779" s="45">
        <v>0.20786898200000001</v>
      </c>
      <c r="W779" s="45">
        <v>81.454149299999997</v>
      </c>
      <c r="X779" s="45">
        <v>8.1722272300000006E-3</v>
      </c>
      <c r="Y779" s="45">
        <v>3.0380313999999999E-2</v>
      </c>
      <c r="Z779" s="36">
        <v>3.59</v>
      </c>
      <c r="AA779" s="38">
        <v>638</v>
      </c>
      <c r="AB779" s="38">
        <v>724</v>
      </c>
      <c r="AC779" s="49" t="s">
        <v>506</v>
      </c>
      <c r="AD779" s="39" t="s">
        <v>1371</v>
      </c>
      <c r="AE779" s="48" t="str">
        <f t="shared" si="84"/>
        <v/>
      </c>
    </row>
    <row r="780" spans="1:31" ht="15" thickBot="1">
      <c r="A780" s="34">
        <v>778</v>
      </c>
      <c r="B780" s="34" t="s">
        <v>753</v>
      </c>
      <c r="C780" s="41" t="s">
        <v>1358</v>
      </c>
      <c r="D780" s="34" t="s">
        <v>555</v>
      </c>
      <c r="E780" s="80">
        <f t="shared" si="85"/>
        <v>1.7130000304829986</v>
      </c>
      <c r="F780" s="35">
        <f t="shared" si="86"/>
        <v>53.833611171915322</v>
      </c>
      <c r="G780" s="42" cm="1">
        <f t="array" ref="G78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53.60957994712814</v>
      </c>
      <c r="H780" s="81" cm="1">
        <f t="array" ref="H7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1.7089722796446147</v>
      </c>
      <c r="I780" s="81" cm="1">
        <f t="array" ref="I7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1.7130000304829986</v>
      </c>
      <c r="J780" s="81" cm="1">
        <f t="array" ref="J7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1.716156893252053</v>
      </c>
      <c r="K780" s="81" cm="1">
        <f t="array" ref="K7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1.7222167938980997</v>
      </c>
      <c r="L780" s="81" cm="1">
        <f t="array" ref="L7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1.7294379079964068</v>
      </c>
      <c r="M780" s="37">
        <f t="shared" si="87"/>
        <v>1.324451425348494E-2</v>
      </c>
      <c r="N780" s="43">
        <f t="shared" si="88"/>
        <v>4.0277508383839145E-3</v>
      </c>
      <c r="O780" s="43">
        <f t="shared" si="89"/>
        <v>7.2211140983071687E-3</v>
      </c>
      <c r="P780" s="43">
        <f t="shared" si="90"/>
        <v>0.30410710134757257</v>
      </c>
      <c r="Q780" s="37">
        <f t="shared" si="91"/>
        <v>0.54521547261781422</v>
      </c>
      <c r="R780" s="37">
        <v>-8.8000000000000005E-3</v>
      </c>
      <c r="S780" s="44" t="s">
        <v>1393</v>
      </c>
      <c r="T780" s="45">
        <v>1.2067481099999999</v>
      </c>
      <c r="U780" s="45">
        <v>1.0671773099999999</v>
      </c>
      <c r="V780" s="45">
        <v>0.81122951499999996</v>
      </c>
      <c r="W780" s="45">
        <v>84.349901200000005</v>
      </c>
      <c r="X780" s="45">
        <v>4.3818950000000002E-3</v>
      </c>
      <c r="Y780" s="45">
        <v>1.8982888999999999E-2</v>
      </c>
      <c r="Z780" s="36">
        <v>3.74</v>
      </c>
      <c r="AA780" s="38">
        <v>663</v>
      </c>
      <c r="AB780" s="38">
        <v>736</v>
      </c>
      <c r="AC780" s="49" t="s">
        <v>506</v>
      </c>
      <c r="AD780" s="39" t="s">
        <v>1371</v>
      </c>
      <c r="AE780" s="48" t="str">
        <f t="shared" si="84"/>
        <v/>
      </c>
    </row>
    <row r="781" spans="1:31" ht="15" thickBot="1">
      <c r="A781" s="34">
        <v>779</v>
      </c>
      <c r="B781" s="34" t="s">
        <v>753</v>
      </c>
      <c r="C781" s="41" t="s">
        <v>1358</v>
      </c>
      <c r="D781" s="34" t="s">
        <v>707</v>
      </c>
      <c r="E781" s="80">
        <f t="shared" si="85"/>
        <v>1.7200000222586902</v>
      </c>
      <c r="F781" s="35">
        <f t="shared" si="86"/>
        <v>50.281337420574935</v>
      </c>
      <c r="G781" s="42" cm="1">
        <f t="array" ref="G78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50.021386068078854</v>
      </c>
      <c r="H781" s="81" cm="1">
        <f t="array" ref="H7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1.715685985222372</v>
      </c>
      <c r="I781" s="81" cm="1">
        <f t="array" ref="I7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1.7200000222586902</v>
      </c>
      <c r="J781" s="81" cm="1">
        <f t="array" ref="J7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1.7234100873745379</v>
      </c>
      <c r="K781" s="81" cm="1">
        <f t="array" ref="K7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1.7300054138452883</v>
      </c>
      <c r="L781" s="81" cm="1">
        <f t="array" ref="L7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1.737929141607661</v>
      </c>
      <c r="M781" s="37">
        <f t="shared" si="87"/>
        <v>1.4319428622916242E-2</v>
      </c>
      <c r="N781" s="43">
        <f t="shared" si="88"/>
        <v>4.3140370363181635E-3</v>
      </c>
      <c r="O781" s="43">
        <f t="shared" si="89"/>
        <v>7.923727762372712E-3</v>
      </c>
      <c r="P781" s="43">
        <f t="shared" si="90"/>
        <v>0.30127159050286062</v>
      </c>
      <c r="Q781" s="37">
        <f t="shared" si="91"/>
        <v>0.55335502351622434</v>
      </c>
      <c r="R781" s="37">
        <v>-6.7999999999999996E-3</v>
      </c>
      <c r="S781" s="44" t="s">
        <v>1393</v>
      </c>
      <c r="T781" s="45">
        <v>1.5535112099999999</v>
      </c>
      <c r="U781" s="45">
        <v>0.34224375400000001</v>
      </c>
      <c r="V781" s="45">
        <v>1.07011974</v>
      </c>
      <c r="W781" s="45">
        <v>7.9304124900000002E-3</v>
      </c>
      <c r="X781" s="45">
        <v>2.8017459099999999E-2</v>
      </c>
      <c r="Y781" s="45">
        <v>90.259085799999994</v>
      </c>
      <c r="Z781" s="36">
        <v>3.88</v>
      </c>
      <c r="AA781" s="38">
        <v>636</v>
      </c>
      <c r="AB781" s="38">
        <v>714</v>
      </c>
      <c r="AC781" s="49" t="s">
        <v>506</v>
      </c>
      <c r="AD781" s="49" t="s">
        <v>506</v>
      </c>
      <c r="AE781" s="48" t="str">
        <f t="shared" si="84"/>
        <v/>
      </c>
    </row>
    <row r="782" spans="1:31" ht="15" thickBot="1">
      <c r="A782" s="34">
        <v>780</v>
      </c>
      <c r="B782" s="34" t="s">
        <v>753</v>
      </c>
      <c r="C782" s="41" t="s">
        <v>1358</v>
      </c>
      <c r="D782" s="34" t="s">
        <v>556</v>
      </c>
      <c r="E782" s="80">
        <f t="shared" si="85"/>
        <v>1.7200000157437521</v>
      </c>
      <c r="F782" s="35">
        <f t="shared" si="86"/>
        <v>50.344457517232037</v>
      </c>
      <c r="G782" s="42" cm="1">
        <f t="array" ref="G78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50.109547615463867</v>
      </c>
      <c r="H782" s="81" cm="1">
        <f t="array" ref="H7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1.7156741899928756</v>
      </c>
      <c r="I782" s="81" cm="1">
        <f t="array" ref="I7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1.7200000157437521</v>
      </c>
      <c r="J782" s="81" cm="1">
        <f t="array" ref="J7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1.723405475035374</v>
      </c>
      <c r="K782" s="81" cm="1">
        <f t="array" ref="K7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1.7299756652942493</v>
      </c>
      <c r="L782" s="81" cm="1">
        <f t="array" ref="L7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1.7378622489782671</v>
      </c>
      <c r="M782" s="37">
        <f t="shared" si="87"/>
        <v>1.4301475301373712E-2</v>
      </c>
      <c r="N782" s="43">
        <f t="shared" si="88"/>
        <v>4.3258257508764775E-3</v>
      </c>
      <c r="O782" s="43">
        <f t="shared" si="89"/>
        <v>7.8865836840178449E-3</v>
      </c>
      <c r="P782" s="43">
        <f t="shared" si="90"/>
        <v>0.30247409163871125</v>
      </c>
      <c r="Q782" s="37">
        <f t="shared" si="91"/>
        <v>0.55145245632527917</v>
      </c>
      <c r="R782" s="37">
        <v>-8.6E-3</v>
      </c>
      <c r="S782" s="44" t="s">
        <v>1393</v>
      </c>
      <c r="T782" s="45">
        <v>1.1386188100000001</v>
      </c>
      <c r="U782" s="45">
        <v>0.15805053799999999</v>
      </c>
      <c r="V782" s="45">
        <v>1.7393463499999999</v>
      </c>
      <c r="W782" s="45">
        <v>80.074466000000001</v>
      </c>
      <c r="X782" s="45">
        <v>3.6819766900000002E-2</v>
      </c>
      <c r="Y782" s="45">
        <v>9.0953198100000004E-3</v>
      </c>
      <c r="Z782" s="36">
        <v>3.77</v>
      </c>
      <c r="AA782" s="38">
        <v>632</v>
      </c>
      <c r="AB782" s="38">
        <v>721</v>
      </c>
      <c r="AC782" s="49" t="s">
        <v>506</v>
      </c>
      <c r="AD782" s="49" t="s">
        <v>506</v>
      </c>
      <c r="AE782" s="48" t="str">
        <f t="shared" si="84"/>
        <v/>
      </c>
    </row>
    <row r="783" spans="1:31" ht="15" thickBot="1">
      <c r="A783" s="34">
        <v>781</v>
      </c>
      <c r="B783" s="34" t="s">
        <v>753</v>
      </c>
      <c r="C783" s="41" t="s">
        <v>1358</v>
      </c>
      <c r="D783" s="34" t="s">
        <v>557</v>
      </c>
      <c r="E783" s="80">
        <f t="shared" si="85"/>
        <v>1.6511300510687477</v>
      </c>
      <c r="F783" s="35">
        <f t="shared" si="86"/>
        <v>55.891536084701691</v>
      </c>
      <c r="G783" s="42" cm="1">
        <f t="array" ref="G78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55.619733415948893</v>
      </c>
      <c r="H783" s="81" cm="1">
        <f t="array" ref="H7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1.6476017277053157</v>
      </c>
      <c r="I783" s="81" cm="1">
        <f t="array" ref="I7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1.6511300510687477</v>
      </c>
      <c r="J783" s="81" cm="1">
        <f t="array" ref="J7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1.6539068955278875</v>
      </c>
      <c r="K783" s="81" cm="1">
        <f t="array" ref="K7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1.6592516141940674</v>
      </c>
      <c r="L783" s="81" cm="1">
        <f t="array" ref="L7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1.6656305396591127</v>
      </c>
      <c r="M783" s="37">
        <f t="shared" si="87"/>
        <v>1.1649886488751759E-2</v>
      </c>
      <c r="N783" s="43">
        <f t="shared" si="88"/>
        <v>3.5283233634320066E-3</v>
      </c>
      <c r="O783" s="43">
        <f t="shared" si="89"/>
        <v>6.3789254650452598E-3</v>
      </c>
      <c r="P783" s="43">
        <f t="shared" si="90"/>
        <v>0.30286332547863759</v>
      </c>
      <c r="Q783" s="37">
        <f t="shared" si="91"/>
        <v>0.54755258527233408</v>
      </c>
      <c r="R783" s="37">
        <v>-3.0000000000000001E-3</v>
      </c>
      <c r="S783" s="44" t="s">
        <v>1393</v>
      </c>
      <c r="T783" s="45">
        <v>0.78317457899999998</v>
      </c>
      <c r="U783" s="45">
        <v>0.89431504900000003</v>
      </c>
      <c r="V783" s="45">
        <v>1.1389689999999999</v>
      </c>
      <c r="W783" s="45">
        <v>2.7316949000000001E-3</v>
      </c>
      <c r="X783" s="45">
        <v>1.6903432499999999E-2</v>
      </c>
      <c r="Y783" s="45">
        <v>111.15858900000001</v>
      </c>
      <c r="Z783" s="36">
        <v>3.73</v>
      </c>
      <c r="AA783" s="38">
        <v>618</v>
      </c>
      <c r="AB783" s="38">
        <v>721</v>
      </c>
      <c r="AC783" s="49" t="s">
        <v>506</v>
      </c>
      <c r="AD783" s="49" t="s">
        <v>506</v>
      </c>
      <c r="AE783" s="48" t="str">
        <f t="shared" si="84"/>
        <v/>
      </c>
    </row>
    <row r="784" spans="1:31" ht="15" thickBot="1">
      <c r="A784" s="34">
        <v>782</v>
      </c>
      <c r="B784" s="34" t="s">
        <v>753</v>
      </c>
      <c r="C784" s="41" t="s">
        <v>1358</v>
      </c>
      <c r="D784" s="34" t="s">
        <v>558</v>
      </c>
      <c r="E784" s="80">
        <f t="shared" si="85"/>
        <v>1.6646100224836826</v>
      </c>
      <c r="F784" s="35">
        <f t="shared" si="86"/>
        <v>54.612890056650166</v>
      </c>
      <c r="G784" s="42" cm="1">
        <f t="array" ref="G78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54.331129219143051</v>
      </c>
      <c r="H784" s="81" cm="1">
        <f t="array" ref="H7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1.6609344341457462</v>
      </c>
      <c r="I784" s="81" cm="1">
        <f t="array" ref="I7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1.6646100224836826</v>
      </c>
      <c r="J784" s="81" cm="1">
        <f t="array" ref="J7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1.6675096502625646</v>
      </c>
      <c r="K784" s="81" cm="1">
        <f t="array" ref="K7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1.6731039058912311</v>
      </c>
      <c r="L784" s="81" cm="1">
        <f t="array" ref="L7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1.679800080707373</v>
      </c>
      <c r="M784" s="37">
        <f t="shared" si="87"/>
        <v>1.2169471745484994E-2</v>
      </c>
      <c r="N784" s="43">
        <f t="shared" si="88"/>
        <v>3.675588337936464E-3</v>
      </c>
      <c r="O784" s="43">
        <f t="shared" si="89"/>
        <v>6.69617481614182E-3</v>
      </c>
      <c r="P784" s="43">
        <f t="shared" si="90"/>
        <v>0.30203351590015787</v>
      </c>
      <c r="Q784" s="37">
        <f t="shared" si="91"/>
        <v>0.55024367172109778</v>
      </c>
      <c r="R784" s="37">
        <v>-2.5000000000000001E-3</v>
      </c>
      <c r="S784" s="44" t="s">
        <v>1393</v>
      </c>
      <c r="T784" s="45">
        <v>1.0908953400000001</v>
      </c>
      <c r="U784" s="45">
        <v>0.62843598899999997</v>
      </c>
      <c r="V784" s="45">
        <v>1.01438282</v>
      </c>
      <c r="W784" s="45">
        <v>4.92618902E-3</v>
      </c>
      <c r="X784" s="45">
        <v>2.0318141200000001E-2</v>
      </c>
      <c r="Y784" s="45">
        <v>100.53094299999999</v>
      </c>
      <c r="Z784" s="36">
        <v>4.0199999999999996</v>
      </c>
      <c r="AA784" s="38">
        <v>621</v>
      </c>
      <c r="AB784" s="38">
        <v>708</v>
      </c>
      <c r="AC784" s="49" t="s">
        <v>506</v>
      </c>
      <c r="AD784" s="49" t="s">
        <v>506</v>
      </c>
      <c r="AE784" s="48" t="str">
        <f t="shared" si="84"/>
        <v/>
      </c>
    </row>
    <row r="785" spans="1:31" ht="15" thickBot="1">
      <c r="A785" s="34">
        <v>783</v>
      </c>
      <c r="B785" s="34" t="s">
        <v>753</v>
      </c>
      <c r="C785" s="41" t="s">
        <v>1358</v>
      </c>
      <c r="D785" s="34" t="s">
        <v>559</v>
      </c>
      <c r="E785" s="80">
        <f t="shared" si="85"/>
        <v>1.6967999664398181</v>
      </c>
      <c r="F785" s="35">
        <f t="shared" si="86"/>
        <v>56.175967807810864</v>
      </c>
      <c r="G785" s="42" cm="1">
        <f t="array" ref="G78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55.951636565080854</v>
      </c>
      <c r="H785" s="81" cm="1">
        <f t="array" ref="H7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1.6930185772749382</v>
      </c>
      <c r="I785" s="81" cm="1">
        <f t="array" ref="I7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1.6967999664398181</v>
      </c>
      <c r="J785" s="81" cm="1">
        <f t="array" ref="J7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1.6997572542545503</v>
      </c>
      <c r="K785" s="81" cm="1">
        <f t="array" ref="K7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1.7054224573259897</v>
      </c>
      <c r="L785" s="81" cm="1">
        <f t="array" ref="L7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1.7121574055426501</v>
      </c>
      <c r="M785" s="37">
        <f t="shared" si="87"/>
        <v>1.240388005105153E-2</v>
      </c>
      <c r="N785" s="43">
        <f t="shared" si="88"/>
        <v>3.7813891648799114E-3</v>
      </c>
      <c r="O785" s="43">
        <f t="shared" si="89"/>
        <v>6.7349482166603192E-3</v>
      </c>
      <c r="P785" s="43">
        <f t="shared" si="90"/>
        <v>0.30485534762643457</v>
      </c>
      <c r="Q785" s="37">
        <f t="shared" si="91"/>
        <v>0.54297108557490192</v>
      </c>
      <c r="R785" s="37">
        <v>-7.1000000000000004E-3</v>
      </c>
      <c r="S785" s="44" t="s">
        <v>1393</v>
      </c>
      <c r="T785" s="45">
        <v>0.78670311199999998</v>
      </c>
      <c r="U785" s="45">
        <v>1.2177039199999999</v>
      </c>
      <c r="V785" s="45">
        <v>1.0408692399999999</v>
      </c>
      <c r="W785" s="45">
        <v>2.02073208E-3</v>
      </c>
      <c r="X785" s="45">
        <v>86.703479000000002</v>
      </c>
      <c r="Y785" s="45">
        <v>1.6364339299999999E-2</v>
      </c>
      <c r="Z785" s="36">
        <v>3.71</v>
      </c>
      <c r="AA785" s="38">
        <v>662</v>
      </c>
      <c r="AB785" s="38">
        <v>732</v>
      </c>
      <c r="AC785" s="49" t="s">
        <v>506</v>
      </c>
      <c r="AD785" s="49" t="s">
        <v>506</v>
      </c>
      <c r="AE785" s="48" t="str">
        <f t="shared" si="84"/>
        <v/>
      </c>
    </row>
    <row r="786" spans="1:31" ht="15" thickBot="1">
      <c r="A786" s="34">
        <v>784</v>
      </c>
      <c r="B786" s="34" t="s">
        <v>753</v>
      </c>
      <c r="C786" s="41" t="s">
        <v>1358</v>
      </c>
      <c r="D786" s="34" t="s">
        <v>560</v>
      </c>
      <c r="E786" s="80">
        <f t="shared" si="85"/>
        <v>1.6516000159416941</v>
      </c>
      <c r="F786" s="35">
        <f t="shared" si="86"/>
        <v>58.403744825414293</v>
      </c>
      <c r="G786" s="42" cm="1">
        <f t="array" ref="G78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58.176699219149462</v>
      </c>
      <c r="H786" s="81" cm="1">
        <f t="array" ref="H7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1.6481924860863573</v>
      </c>
      <c r="I786" s="81" cm="1">
        <f t="array" ref="I7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1.6516000159416941</v>
      </c>
      <c r="J786" s="81" cm="1">
        <f t="array" ref="J7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1.6542605800986454</v>
      </c>
      <c r="K786" s="81" cm="1">
        <f t="array" ref="K7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1.6593493051891308</v>
      </c>
      <c r="L786" s="81" cm="1">
        <f t="array" ref="L7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1.6653878779532489</v>
      </c>
      <c r="M786" s="37">
        <f t="shared" si="87"/>
        <v>1.1156819102773552E-2</v>
      </c>
      <c r="N786" s="43">
        <f t="shared" si="88"/>
        <v>3.4075298553368771E-3</v>
      </c>
      <c r="O786" s="43">
        <f t="shared" si="89"/>
        <v>6.0385727641181219E-3</v>
      </c>
      <c r="P786" s="43">
        <f t="shared" si="90"/>
        <v>0.3054212696242225</v>
      </c>
      <c r="Q786" s="37">
        <f t="shared" si="91"/>
        <v>0.5412450187183685</v>
      </c>
      <c r="R786" s="37">
        <v>-5.0000000000000001E-3</v>
      </c>
      <c r="S786" s="44" t="s">
        <v>1393</v>
      </c>
      <c r="T786" s="45">
        <v>0.75943763099999995</v>
      </c>
      <c r="U786" s="45">
        <v>1.1605675499999999</v>
      </c>
      <c r="V786" s="45">
        <v>0.92336083000000002</v>
      </c>
      <c r="W786" s="45">
        <v>2.2319671000000001E-3</v>
      </c>
      <c r="X786" s="45">
        <v>91.046625599999999</v>
      </c>
      <c r="Y786" s="45">
        <v>1.5859098700000001E-2</v>
      </c>
      <c r="Z786" s="36">
        <v>3.5</v>
      </c>
      <c r="AA786" s="38">
        <v>594</v>
      </c>
      <c r="AB786" s="38">
        <v>688</v>
      </c>
      <c r="AC786" s="49" t="s">
        <v>506</v>
      </c>
      <c r="AD786" s="49" t="s">
        <v>506</v>
      </c>
      <c r="AE786" s="48" t="str">
        <f t="shared" si="84"/>
        <v/>
      </c>
    </row>
    <row r="787" spans="1:31" ht="15" thickBot="1">
      <c r="A787" s="34">
        <v>785</v>
      </c>
      <c r="B787" s="34" t="s">
        <v>753</v>
      </c>
      <c r="C787" s="41" t="s">
        <v>1358</v>
      </c>
      <c r="D787" s="34" t="s">
        <v>561</v>
      </c>
      <c r="E787" s="80">
        <f t="shared" si="85"/>
        <v>1.696799721738754</v>
      </c>
      <c r="F787" s="35">
        <f t="shared" si="86"/>
        <v>55.5270133365795</v>
      </c>
      <c r="G787" s="42" cm="1">
        <f t="array" ref="G78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55.297308328959765</v>
      </c>
      <c r="H787" s="81" cm="1">
        <f t="array" ref="H7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1.6929792832339636</v>
      </c>
      <c r="I787" s="81" cm="1">
        <f t="array" ref="I7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1.696799721738754</v>
      </c>
      <c r="J787" s="81" cm="1">
        <f t="array" ref="J7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1.6997910722325342</v>
      </c>
      <c r="K787" s="81" cm="1">
        <f t="array" ref="K7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1.7055281253176369</v>
      </c>
      <c r="L787" s="81" cm="1">
        <f t="array" ref="L7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1.7123573885886882</v>
      </c>
      <c r="M787" s="37">
        <f t="shared" si="87"/>
        <v>1.254884208367324E-2</v>
      </c>
      <c r="N787" s="43">
        <f t="shared" si="88"/>
        <v>3.8204385047904132E-3</v>
      </c>
      <c r="O787" s="43">
        <f t="shared" si="89"/>
        <v>6.8292632710513779E-3</v>
      </c>
      <c r="P787" s="43">
        <f t="shared" si="90"/>
        <v>0.30444550017575106</v>
      </c>
      <c r="Q787" s="37">
        <f t="shared" si="91"/>
        <v>0.54421461562072249</v>
      </c>
      <c r="R787" s="37">
        <v>-7.0000000000000001E-3</v>
      </c>
      <c r="S787" s="44" t="s">
        <v>1393</v>
      </c>
      <c r="T787" s="45">
        <v>0.63939869400000005</v>
      </c>
      <c r="U787" s="45">
        <v>1.1874848099999999</v>
      </c>
      <c r="V787" s="45">
        <v>1.2654535200000001</v>
      </c>
      <c r="W787" s="45">
        <v>5.6712482499999998E-5</v>
      </c>
      <c r="X787" s="45">
        <v>1.5800196799999999E-2</v>
      </c>
      <c r="Y787" s="45">
        <v>91.097053000000002</v>
      </c>
      <c r="Z787" s="36">
        <v>3.56</v>
      </c>
      <c r="AA787" s="38">
        <v>654</v>
      </c>
      <c r="AB787" s="38">
        <v>724</v>
      </c>
      <c r="AC787" s="49" t="s">
        <v>506</v>
      </c>
      <c r="AD787" s="39" t="s">
        <v>1371</v>
      </c>
      <c r="AE787" s="48" t="str">
        <f t="shared" si="84"/>
        <v/>
      </c>
    </row>
    <row r="788" spans="1:31" ht="15" thickBot="1">
      <c r="A788" s="34">
        <v>786</v>
      </c>
      <c r="B788" s="34" t="s">
        <v>753</v>
      </c>
      <c r="C788" s="41" t="s">
        <v>1358</v>
      </c>
      <c r="D788" s="34" t="s">
        <v>562</v>
      </c>
      <c r="E788" s="80">
        <f t="shared" si="85"/>
        <v>1.729160053858489</v>
      </c>
      <c r="F788" s="35">
        <f t="shared" si="86"/>
        <v>54.685384260502794</v>
      </c>
      <c r="G788" s="42" cm="1">
        <f t="array" ref="G78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54.455022298422769</v>
      </c>
      <c r="H788" s="81" cm="1">
        <f t="array" ref="H7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1.7251049582252256</v>
      </c>
      <c r="I788" s="81" cm="1">
        <f t="array" ref="I7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1.729160053858489</v>
      </c>
      <c r="J788" s="81" cm="1">
        <f t="array" ref="J7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1.7323384853116841</v>
      </c>
      <c r="K788" s="81" cm="1">
        <f t="array" ref="K7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1.7384386864913564</v>
      </c>
      <c r="L788" s="81" cm="1">
        <f t="array" ref="L7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1.7457036854301979</v>
      </c>
      <c r="M788" s="37">
        <f t="shared" si="87"/>
        <v>1.3333728266130773E-2</v>
      </c>
      <c r="N788" s="43">
        <f t="shared" si="88"/>
        <v>4.0550956332634502E-3</v>
      </c>
      <c r="O788" s="43">
        <f t="shared" si="89"/>
        <v>7.2649989388415825E-3</v>
      </c>
      <c r="P788" s="43">
        <f t="shared" si="90"/>
        <v>0.30412316437885317</v>
      </c>
      <c r="Q788" s="37">
        <f t="shared" si="91"/>
        <v>0.54485878171790314</v>
      </c>
      <c r="R788" s="37">
        <v>-7.7999999999999996E-3</v>
      </c>
      <c r="S788" s="44" t="s">
        <v>1393</v>
      </c>
      <c r="T788" s="45">
        <v>0.64852879200000002</v>
      </c>
      <c r="U788" s="45">
        <v>1.28450424</v>
      </c>
      <c r="V788" s="45">
        <v>1.23774593</v>
      </c>
      <c r="W788" s="45">
        <v>1.6581617899999999E-4</v>
      </c>
      <c r="X788" s="45">
        <v>1.58113883E-2</v>
      </c>
      <c r="Y788" s="45">
        <v>85.740610899999993</v>
      </c>
      <c r="Z788" s="36">
        <v>4.0199999999999996</v>
      </c>
      <c r="AA788" s="38">
        <v>680</v>
      </c>
      <c r="AB788" s="38">
        <v>754</v>
      </c>
      <c r="AC788" s="49" t="s">
        <v>506</v>
      </c>
      <c r="AD788" s="39" t="s">
        <v>1371</v>
      </c>
      <c r="AE788" s="48" t="str">
        <f t="shared" si="84"/>
        <v/>
      </c>
    </row>
    <row r="789" spans="1:31" ht="15" thickBot="1">
      <c r="A789" s="34">
        <v>787</v>
      </c>
      <c r="B789" s="34" t="s">
        <v>753</v>
      </c>
      <c r="C789" s="41" t="s">
        <v>1358</v>
      </c>
      <c r="D789" s="34" t="s">
        <v>708</v>
      </c>
      <c r="E789" s="80">
        <f t="shared" si="85"/>
        <v>1.7549999709704018</v>
      </c>
      <c r="F789" s="35">
        <f t="shared" si="86"/>
        <v>52.322679329397644</v>
      </c>
      <c r="G789" s="42" cm="1">
        <f t="array" ref="G78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52.088594544910556</v>
      </c>
      <c r="H789" s="81" cm="1">
        <f t="array" ref="H7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1.7506258193171307</v>
      </c>
      <c r="I789" s="81" cm="1">
        <f t="array" ref="I7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1.7549999709704018</v>
      </c>
      <c r="J789" s="81" cm="1">
        <f t="array" ref="J7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1.7584387112122761</v>
      </c>
      <c r="K789" s="81" cm="1">
        <f t="array" ref="K7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1.7650555079463635</v>
      </c>
      <c r="L789" s="81" cm="1">
        <f t="array" ref="L7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1.7729571685381957</v>
      </c>
      <c r="M789" s="37">
        <f t="shared" si="87"/>
        <v>1.4429688629232773E-2</v>
      </c>
      <c r="N789" s="43">
        <f t="shared" si="88"/>
        <v>4.3741516532711522E-3</v>
      </c>
      <c r="O789" s="43">
        <f t="shared" si="89"/>
        <v>7.9016605918322824E-3</v>
      </c>
      <c r="P789" s="43">
        <f t="shared" si="90"/>
        <v>0.30313555376445611</v>
      </c>
      <c r="Q789" s="37">
        <f t="shared" si="91"/>
        <v>0.54759744266584454</v>
      </c>
      <c r="R789" s="37">
        <v>-9.1000000000000004E-3</v>
      </c>
      <c r="S789" s="44" t="s">
        <v>1393</v>
      </c>
      <c r="T789" s="45">
        <v>1.0314121999999999</v>
      </c>
      <c r="U789" s="45">
        <v>0.98528219299999997</v>
      </c>
      <c r="V789" s="45">
        <v>1.1706601700000001</v>
      </c>
      <c r="W789" s="45">
        <v>3.9542164799999998E-3</v>
      </c>
      <c r="X789" s="45">
        <v>1.8686311800000001E-2</v>
      </c>
      <c r="Y789" s="45">
        <v>81.132675300000002</v>
      </c>
      <c r="Z789" s="36">
        <v>4.22</v>
      </c>
      <c r="AA789" s="38">
        <v>691</v>
      </c>
      <c r="AB789" s="38">
        <v>754</v>
      </c>
      <c r="AC789" s="49" t="s">
        <v>506</v>
      </c>
      <c r="AD789" s="39" t="s">
        <v>1371</v>
      </c>
      <c r="AE789" s="48" t="str">
        <f t="shared" si="84"/>
        <v/>
      </c>
    </row>
    <row r="790" spans="1:31" ht="15" thickBot="1">
      <c r="A790" s="34">
        <v>788</v>
      </c>
      <c r="B790" s="34" t="s">
        <v>753</v>
      </c>
      <c r="C790" s="41" t="s">
        <v>1358</v>
      </c>
      <c r="D790" s="34" t="s">
        <v>563</v>
      </c>
      <c r="E790" s="80">
        <f t="shared" si="85"/>
        <v>1.7550000191210542</v>
      </c>
      <c r="F790" s="35">
        <f t="shared" si="86"/>
        <v>52.321195552437651</v>
      </c>
      <c r="G790" s="42" cm="1">
        <f t="array" ref="G79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52.085039047408294</v>
      </c>
      <c r="H790" s="81" cm="1">
        <f t="array" ref="H7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1.7506269535021086</v>
      </c>
      <c r="I790" s="81" cm="1">
        <f t="array" ref="I7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1.7550000191210542</v>
      </c>
      <c r="J790" s="81" cm="1">
        <f t="array" ref="J7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1.7584387623306912</v>
      </c>
      <c r="K790" s="81" cm="1">
        <f t="array" ref="K7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1.7650570522632192</v>
      </c>
      <c r="L790" s="81" cm="1">
        <f t="array" ref="L7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1.772962749544525</v>
      </c>
      <c r="M790" s="37">
        <f t="shared" si="87"/>
        <v>1.4430098761110566E-2</v>
      </c>
      <c r="N790" s="43">
        <f t="shared" si="88"/>
        <v>4.3730656189455708E-3</v>
      </c>
      <c r="O790" s="43">
        <f t="shared" si="89"/>
        <v>7.9056972813058568E-3</v>
      </c>
      <c r="P790" s="43">
        <f t="shared" si="90"/>
        <v>0.30305167631500063</v>
      </c>
      <c r="Q790" s="37">
        <f t="shared" si="91"/>
        <v>0.54786161981177051</v>
      </c>
      <c r="R790" s="37">
        <v>-8.6999999999999994E-3</v>
      </c>
      <c r="S790" s="44" t="s">
        <v>1393</v>
      </c>
      <c r="T790" s="45">
        <v>1.21007394</v>
      </c>
      <c r="U790" s="45">
        <v>1.1949581499999999</v>
      </c>
      <c r="V790" s="45">
        <v>0.80653324599999998</v>
      </c>
      <c r="W790" s="45">
        <v>5.2167991900000004E-3</v>
      </c>
      <c r="X790" s="45">
        <v>83.555750099999997</v>
      </c>
      <c r="Y790" s="45">
        <v>2.008035E-2</v>
      </c>
      <c r="Z790" s="36">
        <v>4.3899999999999997</v>
      </c>
      <c r="AA790" s="38">
        <v>685</v>
      </c>
      <c r="AB790" s="38"/>
      <c r="AC790" s="49" t="s">
        <v>506</v>
      </c>
      <c r="AD790" s="49" t="s">
        <v>506</v>
      </c>
      <c r="AE790" s="48" t="str">
        <f t="shared" si="84"/>
        <v/>
      </c>
    </row>
    <row r="791" spans="1:31" ht="15" thickBot="1">
      <c r="A791" s="34">
        <v>789</v>
      </c>
      <c r="B791" s="34" t="s">
        <v>753</v>
      </c>
      <c r="C791" s="41" t="s">
        <v>1358</v>
      </c>
      <c r="D791" s="34" t="s">
        <v>564</v>
      </c>
      <c r="E791" s="80">
        <f t="shared" si="85"/>
        <v>1.7339996584544293</v>
      </c>
      <c r="F791" s="35">
        <f t="shared" si="86"/>
        <v>51.486442384183903</v>
      </c>
      <c r="G791" s="42" cm="1">
        <f t="array" ref="G79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51.247546447506743</v>
      </c>
      <c r="H791" s="81" cm="1">
        <f t="array" ref="H7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1.7296850452393302</v>
      </c>
      <c r="I791" s="81" cm="1">
        <f t="array" ref="I7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1.7339996584544293</v>
      </c>
      <c r="J791" s="81" cm="1">
        <f t="array" ref="J7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1.7373959401932595</v>
      </c>
      <c r="K791" s="81" cm="1">
        <f t="array" ref="K7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1.7439412187961947</v>
      </c>
      <c r="L791" s="81" cm="1">
        <f t="array" ref="L7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1.751773896136863</v>
      </c>
      <c r="M791" s="37">
        <f t="shared" si="87"/>
        <v>1.4256173556864482E-2</v>
      </c>
      <c r="N791" s="43">
        <f t="shared" si="88"/>
        <v>4.3146132150990724E-3</v>
      </c>
      <c r="O791" s="43">
        <f t="shared" si="89"/>
        <v>7.8326773406682815E-3</v>
      </c>
      <c r="P791" s="43">
        <f t="shared" si="90"/>
        <v>0.30264875759888216</v>
      </c>
      <c r="Q791" s="37">
        <f t="shared" si="91"/>
        <v>0.54942353987383752</v>
      </c>
      <c r="R791" s="37">
        <v>-8.6E-3</v>
      </c>
      <c r="S791" s="44" t="s">
        <v>1393</v>
      </c>
      <c r="T791" s="45">
        <v>1.20772937</v>
      </c>
      <c r="U791" s="45">
        <v>0.73741837099999996</v>
      </c>
      <c r="V791" s="45">
        <v>1.3574902600000001</v>
      </c>
      <c r="W791" s="45">
        <v>1.7638915500000001E-2</v>
      </c>
      <c r="X791" s="45">
        <v>6.6651598199999999E-4</v>
      </c>
      <c r="Y791" s="45">
        <v>96.993880599999997</v>
      </c>
      <c r="Z791" s="36">
        <v>4.01</v>
      </c>
      <c r="AA791" s="38">
        <v>639</v>
      </c>
      <c r="AB791" s="38">
        <v>729</v>
      </c>
      <c r="AC791" s="49" t="s">
        <v>506</v>
      </c>
      <c r="AD791" s="49" t="s">
        <v>506</v>
      </c>
      <c r="AE791" s="48" t="str">
        <f t="shared" si="84"/>
        <v/>
      </c>
    </row>
    <row r="792" spans="1:31" ht="15" thickBot="1">
      <c r="A792" s="34">
        <v>790</v>
      </c>
      <c r="B792" s="34" t="s">
        <v>753</v>
      </c>
      <c r="C792" s="41" t="s">
        <v>1358</v>
      </c>
      <c r="D792" s="34" t="s">
        <v>565</v>
      </c>
      <c r="E792" s="80">
        <f t="shared" si="85"/>
        <v>1.6910000136843029</v>
      </c>
      <c r="F792" s="35">
        <f t="shared" si="86"/>
        <v>54.815959534937519</v>
      </c>
      <c r="G792" s="42" cm="1">
        <f t="array" ref="G79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54.557875546553603</v>
      </c>
      <c r="H792" s="81" cm="1">
        <f t="array" ref="H7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1.6871801218555538</v>
      </c>
      <c r="I792" s="81" cm="1">
        <f t="array" ref="I7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1.6910000136843029</v>
      </c>
      <c r="J792" s="81" cm="1">
        <f t="array" ref="J7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1.6940049188839066</v>
      </c>
      <c r="K792" s="81" cm="1">
        <f t="array" ref="K7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1.6997859399338433</v>
      </c>
      <c r="L792" s="81" cm="1">
        <f t="array" ref="L7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1.7066836672535302</v>
      </c>
      <c r="M792" s="37">
        <f t="shared" si="87"/>
        <v>1.2605818078289532E-2</v>
      </c>
      <c r="N792" s="43">
        <f t="shared" si="88"/>
        <v>3.8198918287490891E-3</v>
      </c>
      <c r="O792" s="43">
        <f t="shared" si="89"/>
        <v>6.8977273196868527E-3</v>
      </c>
      <c r="P792" s="43">
        <f t="shared" si="90"/>
        <v>0.3030260951748881</v>
      </c>
      <c r="Q792" s="37">
        <f t="shared" si="91"/>
        <v>0.5471860117961338</v>
      </c>
      <c r="R792" s="37">
        <v>-5.1999999999999998E-3</v>
      </c>
      <c r="S792" s="44" t="s">
        <v>1393</v>
      </c>
      <c r="T792" s="45">
        <v>1.63613242</v>
      </c>
      <c r="U792" s="45">
        <v>0.169161636</v>
      </c>
      <c r="V792" s="45">
        <v>0.92998461799999999</v>
      </c>
      <c r="W792" s="45">
        <v>8.6976973700000001E-3</v>
      </c>
      <c r="X792" s="45">
        <v>2.9505712600000001E-2</v>
      </c>
      <c r="Y792" s="45">
        <v>82.499410900000001</v>
      </c>
      <c r="Z792" s="36">
        <v>3.94</v>
      </c>
      <c r="AA792" s="38">
        <v>634</v>
      </c>
      <c r="AB792" s="38">
        <v>707</v>
      </c>
      <c r="AC792" s="49" t="s">
        <v>506</v>
      </c>
      <c r="AD792" s="49" t="s">
        <v>506</v>
      </c>
      <c r="AE792" s="48" t="str">
        <f t="shared" si="84"/>
        <v/>
      </c>
    </row>
    <row r="793" spans="1:31" ht="15" thickBot="1">
      <c r="A793" s="34">
        <v>791</v>
      </c>
      <c r="B793" s="34" t="s">
        <v>753</v>
      </c>
      <c r="C793" s="41" t="s">
        <v>1358</v>
      </c>
      <c r="D793" s="34" t="s">
        <v>566</v>
      </c>
      <c r="E793" s="80">
        <f t="shared" si="85"/>
        <v>1.7409989882680905</v>
      </c>
      <c r="F793" s="35">
        <f t="shared" si="86"/>
        <v>52.676821308925724</v>
      </c>
      <c r="G793" s="42" cm="1">
        <f t="array" ref="G79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52.445580134713296</v>
      </c>
      <c r="H793" s="81" cm="1">
        <f t="array" ref="H7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1.7367308919649866</v>
      </c>
      <c r="I793" s="81" cm="1">
        <f t="array" ref="I7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1.7409989882680905</v>
      </c>
      <c r="J793" s="81" cm="1">
        <f t="array" ref="J7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1.7443513818105532</v>
      </c>
      <c r="K793" s="81" cm="1">
        <f t="array" ref="K7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1.7507977807759585</v>
      </c>
      <c r="L793" s="81" cm="1">
        <f t="array" ref="L7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1.7584936008052503</v>
      </c>
      <c r="M793" s="37">
        <f t="shared" si="87"/>
        <v>1.4066888810971845E-2</v>
      </c>
      <c r="N793" s="43">
        <f t="shared" si="88"/>
        <v>4.2680963031038743E-3</v>
      </c>
      <c r="O793" s="43">
        <f t="shared" si="89"/>
        <v>7.6958200292918111E-3</v>
      </c>
      <c r="P793" s="43">
        <f t="shared" si="90"/>
        <v>0.30341437687165473</v>
      </c>
      <c r="Q793" s="37">
        <f t="shared" si="91"/>
        <v>0.54708757086991766</v>
      </c>
      <c r="R793" s="37">
        <v>-9.5999999999999992E-3</v>
      </c>
      <c r="S793" s="44" t="s">
        <v>1394</v>
      </c>
      <c r="T793" s="45">
        <v>2.96883578</v>
      </c>
      <c r="U793" s="45">
        <v>-1.3703746399999999E-2</v>
      </c>
      <c r="V793" s="45">
        <v>2.24806873E-2</v>
      </c>
      <c r="W793" s="45">
        <v>1.3022705999999999E-4</v>
      </c>
      <c r="X793" s="45">
        <v>3.5247835199999997E-5</v>
      </c>
      <c r="Y793" s="45">
        <v>-1.34827056E-6</v>
      </c>
      <c r="Z793" s="36">
        <v>4.0999999999999996</v>
      </c>
      <c r="AA793" s="38">
        <v>662</v>
      </c>
      <c r="AB793" s="38">
        <v>739</v>
      </c>
      <c r="AC793" s="49" t="s">
        <v>506</v>
      </c>
      <c r="AD793" s="49" t="s">
        <v>506</v>
      </c>
      <c r="AE793" s="48" t="str">
        <f t="shared" si="84"/>
        <v/>
      </c>
    </row>
    <row r="794" spans="1:31" ht="15" thickBot="1">
      <c r="A794" s="34">
        <v>792</v>
      </c>
      <c r="B794" s="34" t="s">
        <v>753</v>
      </c>
      <c r="C794" s="41" t="s">
        <v>1358</v>
      </c>
      <c r="D794" s="34" t="s">
        <v>567</v>
      </c>
      <c r="E794" s="80">
        <f t="shared" si="85"/>
        <v>1.670000013797444</v>
      </c>
      <c r="F794" s="35">
        <f t="shared" si="86"/>
        <v>51.739100760557186</v>
      </c>
      <c r="G794" s="42" cm="1">
        <f t="array" ref="G79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51.46184158129855</v>
      </c>
      <c r="H794" s="81" cm="1">
        <f t="array" ref="H7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1.6661009221007317</v>
      </c>
      <c r="I794" s="81" cm="1">
        <f t="array" ref="I7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1.670000013797444</v>
      </c>
      <c r="J794" s="81" cm="1">
        <f t="array" ref="J7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1.6730844782159271</v>
      </c>
      <c r="K794" s="81" cm="1">
        <f t="array" ref="K7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1.6790505096263852</v>
      </c>
      <c r="L794" s="81" cm="1">
        <f t="array" ref="L7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1.6862127495783195</v>
      </c>
      <c r="M794" s="37">
        <f t="shared" si="87"/>
        <v>1.2949587525653561E-2</v>
      </c>
      <c r="N794" s="43">
        <f t="shared" si="88"/>
        <v>3.8990916967123201E-3</v>
      </c>
      <c r="O794" s="43">
        <f t="shared" si="89"/>
        <v>7.1622399519342128E-3</v>
      </c>
      <c r="P794" s="43">
        <f t="shared" si="90"/>
        <v>0.30109775226338992</v>
      </c>
      <c r="Q794" s="37">
        <f t="shared" si="91"/>
        <v>0.55308633867646972</v>
      </c>
      <c r="R794" s="37">
        <v>-4.4999999999999997E-3</v>
      </c>
      <c r="S794" s="44" t="s">
        <v>1393</v>
      </c>
      <c r="T794" s="45">
        <v>0.38881222300000001</v>
      </c>
      <c r="U794" s="45">
        <v>1.1053429400000001</v>
      </c>
      <c r="V794" s="45">
        <v>1.34453139</v>
      </c>
      <c r="W794" s="45">
        <v>2.5090436800000001E-2</v>
      </c>
      <c r="X794" s="45">
        <v>113.00444</v>
      </c>
      <c r="Y794" s="45">
        <v>7.1587597200000004E-3</v>
      </c>
      <c r="Z794" s="36">
        <v>3.73</v>
      </c>
      <c r="AA794" s="38">
        <v>584</v>
      </c>
      <c r="AB794" s="38"/>
      <c r="AC794" s="49" t="s">
        <v>506</v>
      </c>
      <c r="AD794" s="49" t="s">
        <v>506</v>
      </c>
      <c r="AE794" s="48" t="str">
        <f t="shared" si="84"/>
        <v/>
      </c>
    </row>
    <row r="795" spans="1:31" ht="15" thickBot="1">
      <c r="A795" s="34">
        <v>793</v>
      </c>
      <c r="B795" s="34" t="s">
        <v>753</v>
      </c>
      <c r="C795" s="41" t="s">
        <v>1358</v>
      </c>
      <c r="D795" s="34" t="s">
        <v>1271</v>
      </c>
      <c r="E795" s="80">
        <f t="shared" si="85"/>
        <v>1.7030001834362638</v>
      </c>
      <c r="F795" s="35">
        <f t="shared" si="86"/>
        <v>52.407358080316008</v>
      </c>
      <c r="G795" s="42" cm="1">
        <f t="array" ref="G79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52.150106020811812</v>
      </c>
      <c r="H795" s="81" cm="1">
        <f t="array" ref="H7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1.6989470354155196</v>
      </c>
      <c r="I795" s="81" cm="1">
        <f t="array" ref="I7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1.7030001834362638</v>
      </c>
      <c r="J795" s="81" cm="1">
        <f t="array" ref="J7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1.7061969807721535</v>
      </c>
      <c r="K795" s="81" cm="1">
        <f t="array" ref="K7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1.7123611858170509</v>
      </c>
      <c r="L795" s="81" cm="1">
        <f t="array" ref="L7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1.7197321816557654</v>
      </c>
      <c r="M795" s="37">
        <f t="shared" si="87"/>
        <v>1.3414150401531266E-2</v>
      </c>
      <c r="N795" s="43">
        <f t="shared" si="88"/>
        <v>4.0531480207441906E-3</v>
      </c>
      <c r="O795" s="43">
        <f t="shared" si="89"/>
        <v>7.3709958387144781E-3</v>
      </c>
      <c r="P795" s="43">
        <f t="shared" si="90"/>
        <v>0.3021546575384686</v>
      </c>
      <c r="Q795" s="37">
        <f t="shared" si="91"/>
        <v>0.54949405054181111</v>
      </c>
      <c r="R795" s="37">
        <v>-6.8999999999999999E-3</v>
      </c>
      <c r="S795" s="44" t="s">
        <v>1393</v>
      </c>
      <c r="T795" s="45">
        <v>1.1285068700000001</v>
      </c>
      <c r="U795" s="45">
        <v>0.56211197199999996</v>
      </c>
      <c r="V795" s="45">
        <v>1.27965415</v>
      </c>
      <c r="W795" s="45">
        <v>101.092235</v>
      </c>
      <c r="X795" s="45">
        <v>2.13536626E-2</v>
      </c>
      <c r="Y795" s="45">
        <v>6.6800805300000002E-3</v>
      </c>
      <c r="Z795" s="36">
        <v>3.75</v>
      </c>
      <c r="AA795" s="38">
        <v>730</v>
      </c>
      <c r="AB795" s="38">
        <v>843</v>
      </c>
      <c r="AC795" s="49" t="s">
        <v>506</v>
      </c>
      <c r="AD795" s="49" t="s">
        <v>506</v>
      </c>
      <c r="AE795" s="48" t="str">
        <f t="shared" si="84"/>
        <v/>
      </c>
    </row>
    <row r="796" spans="1:31" ht="15" thickBot="1">
      <c r="A796" s="34">
        <v>794</v>
      </c>
      <c r="B796" s="34" t="s">
        <v>753</v>
      </c>
      <c r="C796" s="41" t="s">
        <v>1358</v>
      </c>
      <c r="D796" s="34" t="s">
        <v>1272</v>
      </c>
      <c r="E796" s="80">
        <f t="shared" si="85"/>
        <v>1.7129999392456565</v>
      </c>
      <c r="F796" s="35">
        <f t="shared" si="86"/>
        <v>51.807269865294082</v>
      </c>
      <c r="G796" s="42" cm="1">
        <f t="array" ref="G79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51.525137072241648</v>
      </c>
      <c r="H796" s="81" cm="1">
        <f t="array" ref="H7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1.7088591199428453</v>
      </c>
      <c r="I796" s="81" cm="1">
        <f t="array" ref="I7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1.7129999392456565</v>
      </c>
      <c r="J796" s="81" cm="1">
        <f t="array" ref="J7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1.7162784506753612</v>
      </c>
      <c r="K796" s="81" cm="1">
        <f t="array" ref="K7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1.7226216660314455</v>
      </c>
      <c r="L796" s="81" cm="1">
        <f t="array" ref="L7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1.7302328915685168</v>
      </c>
      <c r="M796" s="37">
        <f t="shared" si="87"/>
        <v>1.3762546088600169E-2</v>
      </c>
      <c r="N796" s="43">
        <f t="shared" si="88"/>
        <v>4.1408193028111828E-3</v>
      </c>
      <c r="O796" s="43">
        <f t="shared" si="89"/>
        <v>7.6112255370712756E-3</v>
      </c>
      <c r="P796" s="43">
        <f t="shared" si="90"/>
        <v>0.30087596264190664</v>
      </c>
      <c r="Q796" s="37">
        <f t="shared" si="91"/>
        <v>0.55303905891191363</v>
      </c>
      <c r="R796" s="37">
        <v>-4.4999999999999997E-3</v>
      </c>
      <c r="S796" s="44" t="s">
        <v>1393</v>
      </c>
      <c r="T796" s="45">
        <v>0.74693443100000001</v>
      </c>
      <c r="U796" s="45">
        <v>1.1265273099999999</v>
      </c>
      <c r="V796" s="45">
        <v>1.11422643</v>
      </c>
      <c r="W796" s="45">
        <v>1.7260847499999999E-3</v>
      </c>
      <c r="X796" s="45">
        <v>1.7639053599999999E-2</v>
      </c>
      <c r="Y796" s="45">
        <v>110.121875</v>
      </c>
      <c r="Z796" s="36">
        <v>4.34</v>
      </c>
      <c r="AA796" s="38">
        <v>644</v>
      </c>
      <c r="AB796" s="38" t="s">
        <v>248</v>
      </c>
      <c r="AC796" s="49" t="s">
        <v>506</v>
      </c>
      <c r="AD796" s="49" t="s">
        <v>506</v>
      </c>
      <c r="AE796" s="48" t="str">
        <f t="shared" si="84"/>
        <v/>
      </c>
    </row>
    <row r="797" spans="1:31" ht="15" thickBot="1">
      <c r="A797" s="34">
        <v>795</v>
      </c>
      <c r="B797" s="34" t="s">
        <v>753</v>
      </c>
      <c r="C797" s="41" t="s">
        <v>1355</v>
      </c>
      <c r="D797" s="34" t="s">
        <v>1273</v>
      </c>
      <c r="E797" s="80">
        <f t="shared" si="85"/>
        <v>1.6207500108838098</v>
      </c>
      <c r="F797" s="35">
        <f t="shared" si="86"/>
        <v>60.301636688685939</v>
      </c>
      <c r="G797" s="42" cm="1">
        <f t="array" ref="G79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59.925815343634483</v>
      </c>
      <c r="H797" s="81" cm="1">
        <f t="array" ref="H7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1.6176552657348768</v>
      </c>
      <c r="I797" s="81" cm="1">
        <f t="array" ref="I7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1.6207500108838098</v>
      </c>
      <c r="J797" s="81" cm="1">
        <f t="array" ref="J7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1.6232015229152192</v>
      </c>
      <c r="K797" s="81" cm="1">
        <f t="array" ref="K7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1.627949348034641</v>
      </c>
      <c r="L797" s="81" cm="1">
        <f t="array" ref="L7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1.6336599845274045</v>
      </c>
      <c r="M797" s="37">
        <f t="shared" si="87"/>
        <v>1.029408229976414E-2</v>
      </c>
      <c r="N797" s="43">
        <f t="shared" si="88"/>
        <v>3.0947451489329314E-3</v>
      </c>
      <c r="O797" s="43">
        <f t="shared" si="89"/>
        <v>5.7106364927634878E-3</v>
      </c>
      <c r="P797" s="43">
        <f t="shared" si="90"/>
        <v>0.30063341819249284</v>
      </c>
      <c r="Q797" s="37">
        <f t="shared" si="91"/>
        <v>0.55474944987513175</v>
      </c>
      <c r="R797" s="37">
        <v>1.18E-2</v>
      </c>
      <c r="S797" s="44" t="s">
        <v>1393</v>
      </c>
      <c r="T797" s="45">
        <v>1.48780165</v>
      </c>
      <c r="U797" s="45">
        <v>0.89520494799999994</v>
      </c>
      <c r="V797" s="45">
        <v>9.5746355300000002E-2</v>
      </c>
      <c r="W797" s="45">
        <v>7.7106848599999998E-3</v>
      </c>
      <c r="X797" s="45">
        <v>127.354817</v>
      </c>
      <c r="Y797" s="45">
        <v>3.7668899399999997E-2</v>
      </c>
      <c r="Z797" s="36">
        <v>4.37</v>
      </c>
      <c r="AA797" s="38">
        <v>596</v>
      </c>
      <c r="AB797" s="38">
        <v>661</v>
      </c>
      <c r="AC797" s="49" t="s">
        <v>506</v>
      </c>
      <c r="AD797" s="49" t="s">
        <v>506</v>
      </c>
      <c r="AE797" s="48" t="str">
        <f t="shared" ref="AE797:AE860" si="92">IF(RIGHT(D797,2)="GT","Transmission improved type.","")</f>
        <v/>
      </c>
    </row>
    <row r="798" spans="1:31" ht="15" thickBot="1">
      <c r="A798" s="34">
        <v>796</v>
      </c>
      <c r="B798" s="34" t="s">
        <v>753</v>
      </c>
      <c r="C798" s="41" t="s">
        <v>1355</v>
      </c>
      <c r="D798" s="34" t="s">
        <v>568</v>
      </c>
      <c r="E798" s="80">
        <f t="shared" si="85"/>
        <v>1.5174199989381039</v>
      </c>
      <c r="F798" s="35">
        <f t="shared" si="86"/>
        <v>52.149875160776055</v>
      </c>
      <c r="G798" s="42" cm="1">
        <f t="array" ref="G79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51.865986400605173</v>
      </c>
      <c r="H798" s="81" cm="1">
        <f t="array" ref="H7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1.514428849592411</v>
      </c>
      <c r="I798" s="81" cm="1">
        <f t="array" ref="I7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1.5174199989381039</v>
      </c>
      <c r="J798" s="81" cm="1">
        <f t="array" ref="J7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1.5197782952883256</v>
      </c>
      <c r="K798" s="81" cm="1">
        <f t="array" ref="K7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1.5243506374652087</v>
      </c>
      <c r="L798" s="81" cm="1">
        <f t="array" ref="L7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1.5298981346720804</v>
      </c>
      <c r="M798" s="37">
        <f t="shared" si="87"/>
        <v>9.9217878727977382E-3</v>
      </c>
      <c r="N798" s="43">
        <f t="shared" si="88"/>
        <v>2.9911493456928895E-3</v>
      </c>
      <c r="O798" s="43">
        <f t="shared" si="89"/>
        <v>5.5474972068716433E-3</v>
      </c>
      <c r="P798" s="43">
        <f t="shared" si="90"/>
        <v>0.30147281760514472</v>
      </c>
      <c r="Q798" s="37">
        <f t="shared" si="91"/>
        <v>0.55912273856217454</v>
      </c>
      <c r="R798" s="37">
        <v>2.2000000000000001E-3</v>
      </c>
      <c r="S798" s="44" t="s">
        <v>1393</v>
      </c>
      <c r="T798" s="45">
        <v>7.3699594100000002E-2</v>
      </c>
      <c r="U798" s="45">
        <v>1.1927716399999999</v>
      </c>
      <c r="V798" s="45">
        <v>1.0174945500000001</v>
      </c>
      <c r="W798" s="45">
        <v>4.7854887800000002E-2</v>
      </c>
      <c r="X798" s="45">
        <v>7.8113270599999996E-3</v>
      </c>
      <c r="Y798" s="45">
        <v>104.24195899999999</v>
      </c>
      <c r="Z798" s="36">
        <v>2.4700000000000002</v>
      </c>
      <c r="AA798" s="38">
        <v>438</v>
      </c>
      <c r="AB798" s="38">
        <v>635</v>
      </c>
      <c r="AC798" s="49" t="s">
        <v>506</v>
      </c>
      <c r="AD798" s="49" t="s">
        <v>506</v>
      </c>
      <c r="AE798" s="48" t="str">
        <f t="shared" si="92"/>
        <v/>
      </c>
    </row>
    <row r="799" spans="1:31" ht="15" thickBot="1">
      <c r="A799" s="34">
        <v>797</v>
      </c>
      <c r="B799" s="34" t="s">
        <v>753</v>
      </c>
      <c r="C799" s="41" t="s">
        <v>1356</v>
      </c>
      <c r="D799" s="34" t="s">
        <v>569</v>
      </c>
      <c r="E799" s="80">
        <f t="shared" si="85"/>
        <v>1.5481400080294594</v>
      </c>
      <c r="F799" s="35">
        <f t="shared" si="86"/>
        <v>45.820568735941848</v>
      </c>
      <c r="G799" s="42" cm="1">
        <f t="array" ref="G79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45.526640444257147</v>
      </c>
      <c r="H799" s="81" cm="1">
        <f t="array" ref="H7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1.5445747817985864</v>
      </c>
      <c r="I799" s="81" cm="1">
        <f t="array" ref="I7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1.5481400080294594</v>
      </c>
      <c r="J799" s="81" cm="1">
        <f t="array" ref="J7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1.5509803865370144</v>
      </c>
      <c r="K799" s="81" cm="1">
        <f t="array" ref="K7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1.5565375317851333</v>
      </c>
      <c r="L799" s="81" cm="1">
        <f t="array" ref="L7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1.5633431569405949</v>
      </c>
      <c r="M799" s="37">
        <f t="shared" si="87"/>
        <v>1.1962749986546894E-2</v>
      </c>
      <c r="N799" s="43">
        <f t="shared" si="88"/>
        <v>3.5652262308729643E-3</v>
      </c>
      <c r="O799" s="43">
        <f t="shared" si="89"/>
        <v>6.8056251554615699E-3</v>
      </c>
      <c r="P799" s="43">
        <f t="shared" si="90"/>
        <v>0.29802731269000499</v>
      </c>
      <c r="Q799" s="37">
        <f t="shared" si="91"/>
        <v>0.56890139500658798</v>
      </c>
      <c r="R799" s="37">
        <v>1.1999999999999999E-3</v>
      </c>
      <c r="S799" s="44" t="s">
        <v>1393</v>
      </c>
      <c r="T799" s="45">
        <v>1.2441417699999999</v>
      </c>
      <c r="U799" s="45">
        <v>1.0879297699999999</v>
      </c>
      <c r="V799" s="45">
        <v>0.106583226</v>
      </c>
      <c r="W799" s="45">
        <v>8.6759220400000007E-3</v>
      </c>
      <c r="X799" s="45">
        <v>124.77088000000001</v>
      </c>
      <c r="Y799" s="45">
        <v>4.73895753E-2</v>
      </c>
      <c r="Z799" s="36">
        <v>2.58</v>
      </c>
      <c r="AA799" s="38">
        <v>473</v>
      </c>
      <c r="AB799" s="38">
        <v>625</v>
      </c>
      <c r="AC799" s="49" t="s">
        <v>506</v>
      </c>
      <c r="AD799" s="49" t="s">
        <v>506</v>
      </c>
      <c r="AE799" s="48" t="str">
        <f t="shared" si="92"/>
        <v/>
      </c>
    </row>
    <row r="800" spans="1:31" ht="15" thickBot="1">
      <c r="A800" s="34">
        <v>798</v>
      </c>
      <c r="B800" s="34" t="s">
        <v>753</v>
      </c>
      <c r="C800" s="41" t="s">
        <v>1356</v>
      </c>
      <c r="D800" s="34" t="s">
        <v>570</v>
      </c>
      <c r="E800" s="80">
        <f t="shared" si="85"/>
        <v>1.5480996286563442</v>
      </c>
      <c r="F800" s="35">
        <f t="shared" si="86"/>
        <v>45.886791965372666</v>
      </c>
      <c r="G800" s="42" cm="1">
        <f t="array" ref="G80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45.584444551874775</v>
      </c>
      <c r="H800" s="81" cm="1">
        <f t="array" ref="H8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1.5445442029809291</v>
      </c>
      <c r="I800" s="81" cm="1">
        <f t="array" ref="I8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1.5480996286563442</v>
      </c>
      <c r="J800" s="81" cm="1">
        <f t="array" ref="J8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1.5509347544108718</v>
      </c>
      <c r="K800" s="81" cm="1">
        <f t="array" ref="K8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1.556488808502055</v>
      </c>
      <c r="L800" s="81" cm="1">
        <f t="array" ref="L8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1.5632932865485194</v>
      </c>
      <c r="M800" s="37">
        <f t="shared" si="87"/>
        <v>1.1944605521125862E-2</v>
      </c>
      <c r="N800" s="43">
        <f t="shared" si="88"/>
        <v>3.5554256754151137E-3</v>
      </c>
      <c r="O800" s="43">
        <f t="shared" si="89"/>
        <v>6.8044780464644461E-3</v>
      </c>
      <c r="P800" s="43">
        <f t="shared" si="90"/>
        <v>0.29765953083396512</v>
      </c>
      <c r="Q800" s="37">
        <f t="shared" si="91"/>
        <v>0.56966954952423388</v>
      </c>
      <c r="R800" s="37">
        <v>1.2999999999999999E-3</v>
      </c>
      <c r="S800" s="44" t="s">
        <v>1394</v>
      </c>
      <c r="T800" s="45">
        <v>2.3504950999999998</v>
      </c>
      <c r="U800" s="45">
        <v>-8.6857020999999996E-3</v>
      </c>
      <c r="V800" s="45">
        <v>1.6092856999999999E-2</v>
      </c>
      <c r="W800" s="45">
        <v>1.8705912000000001E-4</v>
      </c>
      <c r="X800" s="45">
        <v>4.2149581000000002E-5</v>
      </c>
      <c r="Y800" s="45">
        <v>-1.3216062E-6</v>
      </c>
      <c r="Z800" s="36">
        <v>2.94</v>
      </c>
      <c r="AA800" s="38">
        <v>444</v>
      </c>
      <c r="AB800" s="38"/>
      <c r="AC800" s="49" t="s">
        <v>506</v>
      </c>
      <c r="AD800" s="49" t="s">
        <v>506</v>
      </c>
      <c r="AE800" s="48" t="str">
        <f t="shared" si="92"/>
        <v/>
      </c>
    </row>
    <row r="801" spans="1:31" ht="15" thickBot="1">
      <c r="A801" s="34">
        <v>799</v>
      </c>
      <c r="B801" s="34" t="s">
        <v>753</v>
      </c>
      <c r="C801" s="41" t="s">
        <v>1356</v>
      </c>
      <c r="D801" s="34" t="s">
        <v>571</v>
      </c>
      <c r="E801" s="80">
        <f t="shared" si="85"/>
        <v>1.5750100644611542</v>
      </c>
      <c r="F801" s="35">
        <f t="shared" si="86"/>
        <v>41.50522534329636</v>
      </c>
      <c r="G801" s="42" cm="1">
        <f t="array" ref="G80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41.217885126201757</v>
      </c>
      <c r="H801" s="81" cm="1">
        <f t="array" ref="H8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1.5709097985030158</v>
      </c>
      <c r="I801" s="81" cm="1">
        <f t="array" ref="I8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1.5750100644611542</v>
      </c>
      <c r="J801" s="81" cm="1">
        <f t="array" ref="J8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1.5782946920069509</v>
      </c>
      <c r="K801" s="81" cm="1">
        <f t="array" ref="K8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1.5847637183337155</v>
      </c>
      <c r="L801" s="81" cm="1">
        <f t="array" ref="L8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1.5927649543501121</v>
      </c>
      <c r="M801" s="37">
        <f t="shared" si="87"/>
        <v>1.3853919830699724E-2</v>
      </c>
      <c r="N801" s="43">
        <f t="shared" si="88"/>
        <v>4.1002659581383938E-3</v>
      </c>
      <c r="O801" s="43">
        <f t="shared" si="89"/>
        <v>8.0012360163965734E-3</v>
      </c>
      <c r="P801" s="43">
        <f t="shared" si="90"/>
        <v>0.29596431971927334</v>
      </c>
      <c r="Q801" s="37">
        <f t="shared" si="91"/>
        <v>0.5775431151742455</v>
      </c>
      <c r="R801" s="37">
        <v>2.5000000000000001E-3</v>
      </c>
      <c r="S801" s="44" t="s">
        <v>1393</v>
      </c>
      <c r="T801" s="45">
        <v>1.3197439500000001</v>
      </c>
      <c r="U801" s="45">
        <v>0.106724103</v>
      </c>
      <c r="V801" s="45">
        <v>1.1224044099999999</v>
      </c>
      <c r="W801" s="45">
        <v>9.6223382999999999E-3</v>
      </c>
      <c r="X801" s="45">
        <v>5.3425007099999998E-2</v>
      </c>
      <c r="Y801" s="45">
        <v>121.814727</v>
      </c>
      <c r="Z801" s="36">
        <v>2.6</v>
      </c>
      <c r="AA801" s="38">
        <v>541</v>
      </c>
      <c r="AB801" s="38">
        <v>675</v>
      </c>
      <c r="AC801" s="49" t="s">
        <v>506</v>
      </c>
      <c r="AD801" s="49" t="s">
        <v>506</v>
      </c>
      <c r="AE801" s="48" t="str">
        <f t="shared" si="92"/>
        <v/>
      </c>
    </row>
    <row r="802" spans="1:31" ht="15" thickBot="1">
      <c r="A802" s="34">
        <v>800</v>
      </c>
      <c r="B802" s="34" t="s">
        <v>753</v>
      </c>
      <c r="C802" s="41" t="s">
        <v>1356</v>
      </c>
      <c r="D802" s="34" t="s">
        <v>572</v>
      </c>
      <c r="E802" s="80">
        <f t="shared" si="85"/>
        <v>1.5750260465115091</v>
      </c>
      <c r="F802" s="35">
        <f t="shared" si="86"/>
        <v>41.297425432427431</v>
      </c>
      <c r="G802" s="42" cm="1">
        <f t="array" ref="G80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41.026076656355471</v>
      </c>
      <c r="H802" s="81" cm="1">
        <f t="array" ref="H8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1.5708974232389226</v>
      </c>
      <c r="I802" s="81" cm="1">
        <f t="array" ref="I8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1.5750260465115091</v>
      </c>
      <c r="J802" s="81" cm="1">
        <f t="array" ref="J8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1.5783306018584153</v>
      </c>
      <c r="K802" s="81" cm="1">
        <f t="array" ref="K8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1.5848214400629832</v>
      </c>
      <c r="L802" s="81" cm="1">
        <f t="array" ref="L8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1.5928078719189458</v>
      </c>
      <c r="M802" s="37">
        <f t="shared" si="87"/>
        <v>1.3924016824060637E-2</v>
      </c>
      <c r="N802" s="43">
        <f t="shared" si="88"/>
        <v>4.1286232725865624E-3</v>
      </c>
      <c r="O802" s="43">
        <f t="shared" si="89"/>
        <v>7.9864318559625946E-3</v>
      </c>
      <c r="P802" s="43">
        <f t="shared" si="90"/>
        <v>0.29651093680469565</v>
      </c>
      <c r="Q802" s="37">
        <f t="shared" si="91"/>
        <v>0.57357240779557783</v>
      </c>
      <c r="R802" s="37">
        <v>-1E-3</v>
      </c>
      <c r="S802" s="44" t="s">
        <v>1394</v>
      </c>
      <c r="T802" s="45">
        <v>2.4245508999999998</v>
      </c>
      <c r="U802" s="45">
        <v>-7.9714056999999998E-3</v>
      </c>
      <c r="V802" s="45">
        <v>1.9149892000000002E-2</v>
      </c>
      <c r="W802" s="45">
        <v>3.5505098000000003E-4</v>
      </c>
      <c r="X802" s="45">
        <v>1.3941882E-5</v>
      </c>
      <c r="Y802" s="45">
        <v>1.7057719999999999E-6</v>
      </c>
      <c r="Z802" s="36">
        <v>3.18</v>
      </c>
      <c r="AA802" s="38">
        <v>420</v>
      </c>
      <c r="AB802" s="38"/>
      <c r="AC802" s="49" t="s">
        <v>506</v>
      </c>
      <c r="AD802" s="49" t="s">
        <v>506</v>
      </c>
      <c r="AE802" s="48" t="str">
        <f t="shared" si="92"/>
        <v/>
      </c>
    </row>
    <row r="803" spans="1:31" ht="15" thickBot="1">
      <c r="A803" s="34">
        <v>801</v>
      </c>
      <c r="B803" s="34" t="s">
        <v>753</v>
      </c>
      <c r="C803" s="41" t="s">
        <v>1356</v>
      </c>
      <c r="D803" s="34" t="s">
        <v>573</v>
      </c>
      <c r="E803" s="80">
        <f t="shared" si="85"/>
        <v>1.5821526991017483</v>
      </c>
      <c r="F803" s="35">
        <f t="shared" si="86"/>
        <v>42.040148407043979</v>
      </c>
      <c r="G803" s="42" cm="1">
        <f t="array" ref="G80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41.769140702437618</v>
      </c>
      <c r="H803" s="81" cm="1">
        <f t="array" ref="H8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1.5780380322093082</v>
      </c>
      <c r="I803" s="81" cm="1">
        <f t="array" ref="I8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1.5821526991017483</v>
      </c>
      <c r="J803" s="81" cm="1">
        <f t="array" ref="J8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1.5854380445415339</v>
      </c>
      <c r="K803" s="81" cm="1">
        <f t="array" ref="K8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1.5918855736942998</v>
      </c>
      <c r="L803" s="81" cm="1">
        <f t="array" ref="L8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1.59982355908454</v>
      </c>
      <c r="M803" s="37">
        <f t="shared" si="87"/>
        <v>1.3847541484991677E-2</v>
      </c>
      <c r="N803" s="43">
        <f t="shared" si="88"/>
        <v>4.1146668924401109E-3</v>
      </c>
      <c r="O803" s="43">
        <f t="shared" si="89"/>
        <v>7.9379853902401543E-3</v>
      </c>
      <c r="P803" s="43">
        <f t="shared" si="90"/>
        <v>0.29714060773168244</v>
      </c>
      <c r="Q803" s="37">
        <f t="shared" si="91"/>
        <v>0.57324149552781967</v>
      </c>
      <c r="R803" s="37">
        <v>-1.4E-3</v>
      </c>
      <c r="S803" s="44" t="s">
        <v>1394</v>
      </c>
      <c r="T803" s="45">
        <v>2.4440594</v>
      </c>
      <c r="U803" s="45">
        <v>-6.7974630999999997E-3</v>
      </c>
      <c r="V803" s="45">
        <v>2.1425387000000001E-2</v>
      </c>
      <c r="W803" s="45">
        <v>-3.8544649E-4</v>
      </c>
      <c r="X803" s="45">
        <v>1.2195244E-4</v>
      </c>
      <c r="Y803" s="45">
        <v>-4.2162235999999996E-6</v>
      </c>
      <c r="Z803" s="36">
        <v>3.22</v>
      </c>
      <c r="AA803" s="38">
        <v>455</v>
      </c>
      <c r="AB803" s="38"/>
      <c r="AC803" s="49" t="s">
        <v>506</v>
      </c>
      <c r="AD803" s="49" t="s">
        <v>506</v>
      </c>
      <c r="AE803" s="48" t="str">
        <f t="shared" si="92"/>
        <v/>
      </c>
    </row>
    <row r="804" spans="1:31" ht="15" thickBot="1">
      <c r="A804" s="34">
        <v>802</v>
      </c>
      <c r="B804" s="34" t="s">
        <v>753</v>
      </c>
      <c r="C804" s="41" t="s">
        <v>1356</v>
      </c>
      <c r="D804" s="34" t="s">
        <v>574</v>
      </c>
      <c r="E804" s="80">
        <f t="shared" si="85"/>
        <v>1.53172001747399</v>
      </c>
      <c r="F804" s="35">
        <f t="shared" si="86"/>
        <v>48.840425531258347</v>
      </c>
      <c r="G804" s="42" cm="1">
        <f t="array" ref="G80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48.535160643310142</v>
      </c>
      <c r="H804" s="81" cm="1">
        <f t="array" ref="H8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1.528463815752203</v>
      </c>
      <c r="I804" s="81" cm="1">
        <f t="array" ref="I8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1.53172001747399</v>
      </c>
      <c r="J804" s="81" cm="1">
        <f t="array" ref="J8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1.5343055653184181</v>
      </c>
      <c r="K804" s="81" cm="1">
        <f t="array" ref="K8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1.5393506991421457</v>
      </c>
      <c r="L804" s="81" cm="1">
        <f t="array" ref="L8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1.5455153038282121</v>
      </c>
      <c r="M804" s="37">
        <f t="shared" si="87"/>
        <v>1.0886883389942703E-2</v>
      </c>
      <c r="N804" s="43">
        <f t="shared" si="88"/>
        <v>3.2562017217869776E-3</v>
      </c>
      <c r="O804" s="43">
        <f t="shared" si="89"/>
        <v>6.1646046860663883E-3</v>
      </c>
      <c r="P804" s="43">
        <f t="shared" si="90"/>
        <v>0.29909402031393623</v>
      </c>
      <c r="Q804" s="37">
        <f t="shared" si="91"/>
        <v>0.56624145453429275</v>
      </c>
      <c r="R804" s="37">
        <v>3.7000000000000002E-3</v>
      </c>
      <c r="S804" s="44" t="s">
        <v>1393</v>
      </c>
      <c r="T804" s="45">
        <v>8.3001490799999994E-2</v>
      </c>
      <c r="U804" s="45">
        <v>1.22223237</v>
      </c>
      <c r="V804" s="45">
        <v>1.01475439</v>
      </c>
      <c r="W804" s="45">
        <v>4.9397405599999999E-2</v>
      </c>
      <c r="X804" s="45">
        <v>8.3068870699999995E-3</v>
      </c>
      <c r="Y804" s="45">
        <v>114.77354699999999</v>
      </c>
      <c r="Z804" s="36">
        <v>2.52</v>
      </c>
      <c r="AA804" s="38">
        <v>513</v>
      </c>
      <c r="AB804" s="38">
        <v>677</v>
      </c>
      <c r="AC804" s="49" t="s">
        <v>506</v>
      </c>
      <c r="AD804" s="49" t="s">
        <v>506</v>
      </c>
      <c r="AE804" s="48" t="str">
        <f t="shared" si="92"/>
        <v/>
      </c>
    </row>
    <row r="805" spans="1:31" ht="15" thickBot="1">
      <c r="A805" s="34">
        <v>803</v>
      </c>
      <c r="B805" s="34" t="s">
        <v>753</v>
      </c>
      <c r="C805" s="41" t="s">
        <v>1356</v>
      </c>
      <c r="D805" s="34" t="s">
        <v>575</v>
      </c>
      <c r="E805" s="80">
        <f t="shared" si="85"/>
        <v>1.5317191869266729</v>
      </c>
      <c r="F805" s="35">
        <f t="shared" si="86"/>
        <v>48.756171779097919</v>
      </c>
      <c r="G805" s="42" cm="1">
        <f t="array" ref="G80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48.47680714185956</v>
      </c>
      <c r="H805" s="81" cm="1">
        <f t="array" ref="H8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1.5284479034159133</v>
      </c>
      <c r="I805" s="81" cm="1">
        <f t="array" ref="I8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1.5317191869266729</v>
      </c>
      <c r="J805" s="81" cm="1">
        <f t="array" ref="J8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1.5343128094745981</v>
      </c>
      <c r="K805" s="81" cm="1">
        <f t="array" ref="K8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1.5393535829950189</v>
      </c>
      <c r="L805" s="81" cm="1">
        <f t="array" ref="L8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1.5454637210441482</v>
      </c>
      <c r="M805" s="37">
        <f t="shared" si="87"/>
        <v>1.0905679579105598E-2</v>
      </c>
      <c r="N805" s="43">
        <f t="shared" si="88"/>
        <v>3.2712835107595595E-3</v>
      </c>
      <c r="O805" s="43">
        <f t="shared" si="89"/>
        <v>6.1101380491292989E-3</v>
      </c>
      <c r="P805" s="43">
        <f t="shared" si="90"/>
        <v>0.29996145467422997</v>
      </c>
      <c r="Q805" s="37">
        <f t="shared" si="91"/>
        <v>0.56027118757787731</v>
      </c>
      <c r="R805" s="37">
        <v>-2.3999999999999998E-3</v>
      </c>
      <c r="S805" s="44" t="s">
        <v>1394</v>
      </c>
      <c r="T805" s="45">
        <v>2.3044883999999999</v>
      </c>
      <c r="U805" s="45">
        <v>-8.3782321000000007E-3</v>
      </c>
      <c r="V805" s="45">
        <v>1.4424342E-2</v>
      </c>
      <c r="W805" s="45">
        <v>3.3374311E-4</v>
      </c>
      <c r="X805" s="45">
        <v>-4.4657455999999997E-6</v>
      </c>
      <c r="Y805" s="45">
        <v>1.3349929E-6</v>
      </c>
      <c r="Z805" s="36">
        <v>2.78</v>
      </c>
      <c r="AA805" s="38">
        <v>436</v>
      </c>
      <c r="AB805" s="38"/>
      <c r="AC805" s="49" t="s">
        <v>506</v>
      </c>
      <c r="AD805" s="49" t="s">
        <v>506</v>
      </c>
      <c r="AE805" s="48" t="str">
        <f t="shared" si="92"/>
        <v/>
      </c>
    </row>
    <row r="806" spans="1:31" ht="15" thickBot="1">
      <c r="A806" s="34">
        <v>804</v>
      </c>
      <c r="B806" s="34" t="s">
        <v>753</v>
      </c>
      <c r="C806" s="41" t="s">
        <v>1356</v>
      </c>
      <c r="D806" s="34" t="s">
        <v>576</v>
      </c>
      <c r="E806" s="80">
        <f t="shared" si="85"/>
        <v>1.5407200075371323</v>
      </c>
      <c r="F806" s="35">
        <f t="shared" si="86"/>
        <v>47.230579994682621</v>
      </c>
      <c r="G806" s="42" cm="1">
        <f t="array" ref="G80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46.937548911490111</v>
      </c>
      <c r="H806" s="81" cm="1">
        <f t="array" ref="H8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1.537300092377851</v>
      </c>
      <c r="I806" s="81" cm="1">
        <f t="array" ref="I8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1.5407200075371323</v>
      </c>
      <c r="J806" s="81" cm="1">
        <f t="array" ref="J8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1.5434399281894566</v>
      </c>
      <c r="K806" s="81" cm="1">
        <f t="array" ref="K8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1.548748607462739</v>
      </c>
      <c r="L806" s="81" cm="1">
        <f t="array" ref="L8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1.5552235860248089</v>
      </c>
      <c r="M806" s="37">
        <f t="shared" si="87"/>
        <v>1.1448515084887978E-2</v>
      </c>
      <c r="N806" s="43">
        <f t="shared" si="88"/>
        <v>3.419915159281306E-3</v>
      </c>
      <c r="O806" s="43">
        <f t="shared" si="89"/>
        <v>6.4749785620699107E-3</v>
      </c>
      <c r="P806" s="43">
        <f t="shared" si="90"/>
        <v>0.29872128690257732</v>
      </c>
      <c r="Q806" s="37">
        <f t="shared" si="91"/>
        <v>0.56557365859760034</v>
      </c>
      <c r="R806" s="37">
        <v>2.0000000000000001E-4</v>
      </c>
      <c r="S806" s="44" t="s">
        <v>1393</v>
      </c>
      <c r="T806" s="45">
        <v>0.12787426399999999</v>
      </c>
      <c r="U806" s="45">
        <v>1.2020135700000001</v>
      </c>
      <c r="V806" s="45">
        <v>0.92946936000000002</v>
      </c>
      <c r="W806" s="45">
        <v>4.2454603399999999E-2</v>
      </c>
      <c r="X806" s="45">
        <v>8.1138585399999994E-3</v>
      </c>
      <c r="Y806" s="45">
        <v>109.832978</v>
      </c>
      <c r="Z806" s="36">
        <v>2.54</v>
      </c>
      <c r="AA806" s="38">
        <v>460</v>
      </c>
      <c r="AB806" s="38">
        <v>633</v>
      </c>
      <c r="AC806" s="49" t="s">
        <v>506</v>
      </c>
      <c r="AD806" s="49" t="s">
        <v>506</v>
      </c>
      <c r="AE806" s="48" t="str">
        <f t="shared" si="92"/>
        <v/>
      </c>
    </row>
    <row r="807" spans="1:31" ht="15" thickBot="1">
      <c r="A807" s="34">
        <v>805</v>
      </c>
      <c r="B807" s="34" t="s">
        <v>753</v>
      </c>
      <c r="C807" s="41" t="s">
        <v>1356</v>
      </c>
      <c r="D807" s="34" t="s">
        <v>577</v>
      </c>
      <c r="E807" s="80">
        <f t="shared" si="85"/>
        <v>1.5407183308831611</v>
      </c>
      <c r="F807" s="35">
        <f t="shared" si="86"/>
        <v>47.19881367387881</v>
      </c>
      <c r="G807" s="42" cm="1">
        <f t="array" ref="G80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46.920171864552877</v>
      </c>
      <c r="H807" s="81" cm="1">
        <f t="array" ref="H8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1.5372893507370826</v>
      </c>
      <c r="I807" s="81" cm="1">
        <f t="array" ref="I8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1.5407183308831611</v>
      </c>
      <c r="J807" s="81" cm="1">
        <f t="array" ref="J8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1.5434416836423706</v>
      </c>
      <c r="K807" s="81" cm="1">
        <f t="array" ref="K8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1.5487455355178965</v>
      </c>
      <c r="L807" s="81" cm="1">
        <f t="array" ref="L8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1.5551949753829422</v>
      </c>
      <c r="M807" s="37">
        <f t="shared" si="87"/>
        <v>1.1456184780813894E-2</v>
      </c>
      <c r="N807" s="43">
        <f t="shared" si="88"/>
        <v>3.4289801460785085E-3</v>
      </c>
      <c r="O807" s="43">
        <f t="shared" si="89"/>
        <v>6.4494398650456475E-3</v>
      </c>
      <c r="P807" s="43">
        <f t="shared" si="90"/>
        <v>0.29931257322430338</v>
      </c>
      <c r="Q807" s="37">
        <f t="shared" si="91"/>
        <v>0.5629657681365936</v>
      </c>
      <c r="R807" s="37">
        <v>-3.2000000000000002E-3</v>
      </c>
      <c r="S807" s="44" t="s">
        <v>1394</v>
      </c>
      <c r="T807" s="45">
        <v>2.3287431000000001</v>
      </c>
      <c r="U807" s="45">
        <v>-7.8679800000000001E-3</v>
      </c>
      <c r="V807" s="45">
        <v>1.5763854000000001E-2</v>
      </c>
      <c r="W807" s="45">
        <v>1.9794235000000001E-4</v>
      </c>
      <c r="X807" s="45">
        <v>1.8002892000000002E-5</v>
      </c>
      <c r="Y807" s="45">
        <v>3.6533473999999999E-7</v>
      </c>
      <c r="Z807" s="36">
        <v>2.86</v>
      </c>
      <c r="AA807" s="38">
        <v>440</v>
      </c>
      <c r="AB807" s="38"/>
      <c r="AC807" s="49" t="s">
        <v>506</v>
      </c>
      <c r="AD807" s="49" t="s">
        <v>506</v>
      </c>
      <c r="AE807" s="48" t="str">
        <f t="shared" si="92"/>
        <v/>
      </c>
    </row>
    <row r="808" spans="1:31" ht="15" thickBot="1">
      <c r="A808" s="34">
        <v>806</v>
      </c>
      <c r="B808" s="34" t="s">
        <v>753</v>
      </c>
      <c r="C808" s="41" t="s">
        <v>1356</v>
      </c>
      <c r="D808" s="34" t="s">
        <v>578</v>
      </c>
      <c r="E808" s="80">
        <f t="shared" si="85"/>
        <v>1.5955100428402076</v>
      </c>
      <c r="F808" s="35">
        <f t="shared" si="86"/>
        <v>39.223232250502363</v>
      </c>
      <c r="G808" s="42" cm="1">
        <f t="array" ref="G80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38.947412606563148</v>
      </c>
      <c r="H808" s="81" cm="1">
        <f t="array" ref="H8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1.5910297861404226</v>
      </c>
      <c r="I808" s="81" cm="1">
        <f t="array" ref="I8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1.5955100428402076</v>
      </c>
      <c r="J808" s="81" cm="1">
        <f t="array" ref="J8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1.5991074539465129</v>
      </c>
      <c r="K808" s="81" cm="1">
        <f t="array" ref="K8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1.6062123707636615</v>
      </c>
      <c r="L808" s="81" cm="1">
        <f t="array" ref="L8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1.615035199233553</v>
      </c>
      <c r="M808" s="37">
        <f t="shared" si="87"/>
        <v>1.5182584623238959E-2</v>
      </c>
      <c r="N808" s="43">
        <f t="shared" si="88"/>
        <v>4.4802566997850235E-3</v>
      </c>
      <c r="O808" s="43">
        <f t="shared" si="89"/>
        <v>8.8228284698914639E-3</v>
      </c>
      <c r="P808" s="43">
        <f t="shared" si="90"/>
        <v>0.29509183126352523</v>
      </c>
      <c r="Q808" s="37">
        <f t="shared" si="91"/>
        <v>0.58111505312389</v>
      </c>
      <c r="R808" s="37">
        <v>2.0999999999999999E-3</v>
      </c>
      <c r="S808" s="44" t="s">
        <v>1393</v>
      </c>
      <c r="T808" s="45">
        <v>1.1741320399999999</v>
      </c>
      <c r="U808" s="45">
        <v>1.3603824799999999</v>
      </c>
      <c r="V808" s="45">
        <v>0.12523959100000001</v>
      </c>
      <c r="W808" s="45">
        <v>119.558629</v>
      </c>
      <c r="X808" s="45">
        <v>9.9293554899999997E-3</v>
      </c>
      <c r="Y808" s="45">
        <v>5.3848428099999998E-2</v>
      </c>
      <c r="Z808" s="36">
        <v>2.62</v>
      </c>
      <c r="AA808" s="38">
        <v>594</v>
      </c>
      <c r="AB808" s="38">
        <v>721</v>
      </c>
      <c r="AC808" s="49" t="s">
        <v>506</v>
      </c>
      <c r="AD808" s="49" t="s">
        <v>506</v>
      </c>
      <c r="AE808" s="48" t="str">
        <f t="shared" si="92"/>
        <v/>
      </c>
    </row>
    <row r="809" spans="1:31" ht="15" thickBot="1">
      <c r="A809" s="34">
        <v>807</v>
      </c>
      <c r="B809" s="34" t="s">
        <v>753</v>
      </c>
      <c r="C809" s="41" t="s">
        <v>1356</v>
      </c>
      <c r="D809" s="34" t="s">
        <v>709</v>
      </c>
      <c r="E809" s="80">
        <f t="shared" si="85"/>
        <v>1.5814400259577852</v>
      </c>
      <c r="F809" s="35">
        <f t="shared" si="86"/>
        <v>40.889474204765534</v>
      </c>
      <c r="G809" s="42" cm="1">
        <f t="array" ref="G80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40.608772062559822</v>
      </c>
      <c r="H809" s="81" cm="1">
        <f t="array" ref="H8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1.5772326857483796</v>
      </c>
      <c r="I809" s="81" cm="1">
        <f t="array" ref="I8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1.5814400259577852</v>
      </c>
      <c r="J809" s="81" cm="1">
        <f t="array" ref="J8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1.5848114391053789</v>
      </c>
      <c r="K809" s="81" cm="1">
        <f t="array" ref="K8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1.5914524828298011</v>
      </c>
      <c r="L809" s="81" cm="1">
        <f t="array" ref="L8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1.5996628390106951</v>
      </c>
      <c r="M809" s="37">
        <f t="shared" si="87"/>
        <v>1.4219797081421515E-2</v>
      </c>
      <c r="N809" s="43">
        <f t="shared" si="88"/>
        <v>4.2073402094056078E-3</v>
      </c>
      <c r="O809" s="43">
        <f t="shared" si="89"/>
        <v>8.2103561808939407E-3</v>
      </c>
      <c r="P809" s="43">
        <f t="shared" si="90"/>
        <v>0.295879061094521</v>
      </c>
      <c r="Q809" s="37">
        <f t="shared" si="91"/>
        <v>0.57738912404178788</v>
      </c>
      <c r="R809" s="37">
        <v>1.2999999999999999E-3</v>
      </c>
      <c r="S809" s="44" t="s">
        <v>1393</v>
      </c>
      <c r="T809" s="45">
        <v>1.2945054600000001</v>
      </c>
      <c r="U809" s="45">
        <v>0.15075229100000001</v>
      </c>
      <c r="V809" s="45">
        <v>1.0869806500000001</v>
      </c>
      <c r="W809" s="45">
        <v>8.9450380800000003E-3</v>
      </c>
      <c r="X809" s="45">
        <v>4.8371358099999998E-2</v>
      </c>
      <c r="Y809" s="45">
        <v>113.959763</v>
      </c>
      <c r="Z809" s="36">
        <v>2.6</v>
      </c>
      <c r="AA809" s="38">
        <v>573</v>
      </c>
      <c r="AB809" s="38">
        <v>720</v>
      </c>
      <c r="AC809" s="49" t="s">
        <v>506</v>
      </c>
      <c r="AD809" s="49" t="s">
        <v>506</v>
      </c>
      <c r="AE809" s="48" t="str">
        <f t="shared" si="92"/>
        <v/>
      </c>
    </row>
    <row r="810" spans="1:31" ht="15" thickBot="1">
      <c r="A810" s="34">
        <v>808</v>
      </c>
      <c r="B810" s="34" t="s">
        <v>753</v>
      </c>
      <c r="C810" s="41" t="s">
        <v>1356</v>
      </c>
      <c r="D810" s="34" t="s">
        <v>710</v>
      </c>
      <c r="E810" s="80">
        <f t="shared" si="85"/>
        <v>1.5814400252218275</v>
      </c>
      <c r="F810" s="35">
        <f t="shared" si="86"/>
        <v>40.746924742044655</v>
      </c>
      <c r="G810" s="42" cm="1">
        <f t="array" ref="G81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40.467230104529342</v>
      </c>
      <c r="H810" s="81" cm="1">
        <f t="array" ref="H8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1.5772182290185699</v>
      </c>
      <c r="I810" s="81" cm="1">
        <f t="array" ref="I8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1.5814400252218275</v>
      </c>
      <c r="J810" s="81" cm="1">
        <f t="array" ref="J8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1.5848231032964017</v>
      </c>
      <c r="K810" s="81" cm="1">
        <f t="array" ref="K8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1.5914877727670302</v>
      </c>
      <c r="L810" s="81" cm="1">
        <f t="array" ref="L8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1.5997325012180232</v>
      </c>
      <c r="M810" s="37">
        <f t="shared" si="87"/>
        <v>1.4269543748460345E-2</v>
      </c>
      <c r="N810" s="43">
        <f t="shared" si="88"/>
        <v>4.2217962032575773E-3</v>
      </c>
      <c r="O810" s="43">
        <f t="shared" si="89"/>
        <v>8.2447284509929997E-3</v>
      </c>
      <c r="P810" s="43">
        <f t="shared" si="90"/>
        <v>0.29586063000178969</v>
      </c>
      <c r="Q810" s="37">
        <f t="shared" si="91"/>
        <v>0.57778500814944345</v>
      </c>
      <c r="R810" s="37">
        <v>1.4E-3</v>
      </c>
      <c r="S810" s="44" t="s">
        <v>1393</v>
      </c>
      <c r="T810" s="45">
        <v>0.11356836300000001</v>
      </c>
      <c r="U810" s="45">
        <v>1.0761940699999999</v>
      </c>
      <c r="V810" s="45">
        <v>1.33131033</v>
      </c>
      <c r="W810" s="45">
        <v>5.2949632199999999E-2</v>
      </c>
      <c r="X810" s="45">
        <v>114.277366</v>
      </c>
      <c r="Y810" s="45">
        <v>9.7668736500000006E-3</v>
      </c>
      <c r="Z810" s="36">
        <v>2.61</v>
      </c>
      <c r="AA810" s="38">
        <v>545</v>
      </c>
      <c r="AB810" s="38">
        <v>681</v>
      </c>
      <c r="AC810" s="49" t="s">
        <v>506</v>
      </c>
      <c r="AD810" s="49" t="s">
        <v>506</v>
      </c>
      <c r="AE810" s="48" t="str">
        <f t="shared" si="92"/>
        <v/>
      </c>
    </row>
    <row r="811" spans="1:31" ht="15" thickBot="1">
      <c r="A811" s="34">
        <v>809</v>
      </c>
      <c r="B811" s="34" t="s">
        <v>753</v>
      </c>
      <c r="C811" s="41" t="s">
        <v>1356</v>
      </c>
      <c r="D811" s="34" t="s">
        <v>579</v>
      </c>
      <c r="E811" s="80">
        <f t="shared" si="85"/>
        <v>1.5814400248992875</v>
      </c>
      <c r="F811" s="35">
        <f t="shared" si="86"/>
        <v>40.886455343878211</v>
      </c>
      <c r="G811" s="42" cm="1">
        <f t="array" ref="G81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40.612547272796192</v>
      </c>
      <c r="H811" s="81" cm="1">
        <f t="array" ref="H8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1.5772297818276895</v>
      </c>
      <c r="I811" s="81" cm="1">
        <f t="array" ref="I8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1.5814400248992875</v>
      </c>
      <c r="J811" s="81" cm="1">
        <f t="array" ref="J8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1.5848146968433741</v>
      </c>
      <c r="K811" s="81" cm="1">
        <f t="array" ref="K8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1.5914506288052288</v>
      </c>
      <c r="L811" s="81" cm="1">
        <f t="array" ref="L8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1.5996176888673161</v>
      </c>
      <c r="M811" s="37">
        <f t="shared" si="87"/>
        <v>1.4220846977539336E-2</v>
      </c>
      <c r="N811" s="43">
        <f t="shared" si="88"/>
        <v>4.2102430715980077E-3</v>
      </c>
      <c r="O811" s="43">
        <f t="shared" si="89"/>
        <v>8.167060062087339E-3</v>
      </c>
      <c r="P811" s="43">
        <f t="shared" si="90"/>
        <v>0.29606134418348934</v>
      </c>
      <c r="Q811" s="37">
        <f t="shared" si="91"/>
        <v>0.57430194382841904</v>
      </c>
      <c r="R811" s="37">
        <v>-1.8E-3</v>
      </c>
      <c r="S811" s="44" t="s">
        <v>1393</v>
      </c>
      <c r="T811" s="45">
        <v>1.3114575900000001</v>
      </c>
      <c r="U811" s="45">
        <v>0.84004742499999996</v>
      </c>
      <c r="V811" s="45">
        <v>0.13240726899999999</v>
      </c>
      <c r="W811" s="45">
        <v>9.8857698500000001E-3</v>
      </c>
      <c r="X811" s="45">
        <v>102.880258</v>
      </c>
      <c r="Y811" s="45">
        <v>4.7752793000000002E-2</v>
      </c>
      <c r="Z811" s="36">
        <v>3.23</v>
      </c>
      <c r="AA811" s="38">
        <v>422</v>
      </c>
      <c r="AB811" s="38">
        <v>584</v>
      </c>
      <c r="AC811" s="49" t="s">
        <v>506</v>
      </c>
      <c r="AD811" s="49" t="s">
        <v>506</v>
      </c>
      <c r="AE811" s="48" t="str">
        <f t="shared" si="92"/>
        <v/>
      </c>
    </row>
    <row r="812" spans="1:31" ht="15" thickBot="1">
      <c r="A812" s="34">
        <v>810</v>
      </c>
      <c r="B812" s="34" t="s">
        <v>753</v>
      </c>
      <c r="C812" s="41" t="s">
        <v>1356</v>
      </c>
      <c r="D812" s="34" t="s">
        <v>580</v>
      </c>
      <c r="E812" s="80">
        <f t="shared" si="85"/>
        <v>1.5673200294528395</v>
      </c>
      <c r="F812" s="35">
        <f t="shared" si="86"/>
        <v>42.810642259348114</v>
      </c>
      <c r="G812" s="42" cm="1">
        <f t="array" ref="G81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42.514244737444798</v>
      </c>
      <c r="H812" s="81" cm="1">
        <f t="array" ref="H8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1.5633939300381472</v>
      </c>
      <c r="I812" s="81" cm="1">
        <f t="array" ref="I8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1.5673200294528395</v>
      </c>
      <c r="J812" s="81" cm="1">
        <f t="array" ref="J8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1.5704631097460018</v>
      </c>
      <c r="K812" s="81" cm="1">
        <f t="array" ref="K8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1.5766457758295744</v>
      </c>
      <c r="L812" s="81" cm="1">
        <f t="array" ref="L8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1.5842746278594535</v>
      </c>
      <c r="M812" s="37">
        <f t="shared" si="87"/>
        <v>1.3251845791427241E-2</v>
      </c>
      <c r="N812" s="43">
        <f t="shared" si="88"/>
        <v>3.9260994146923522E-3</v>
      </c>
      <c r="O812" s="43">
        <f t="shared" si="89"/>
        <v>7.628852029879063E-3</v>
      </c>
      <c r="P812" s="43">
        <f t="shared" si="90"/>
        <v>0.29626811815393955</v>
      </c>
      <c r="Q812" s="37">
        <f t="shared" si="91"/>
        <v>0.57568222192973661</v>
      </c>
      <c r="R812" s="37">
        <v>2.8E-3</v>
      </c>
      <c r="S812" s="44" t="s">
        <v>1393</v>
      </c>
      <c r="T812" s="45">
        <v>1.0119350600000001</v>
      </c>
      <c r="U812" s="45">
        <v>0.110711906</v>
      </c>
      <c r="V812" s="45">
        <v>1.29397308</v>
      </c>
      <c r="W812" s="45">
        <v>116.639064</v>
      </c>
      <c r="X812" s="45">
        <v>5.1103672000000003E-2</v>
      </c>
      <c r="Y812" s="45">
        <v>9.2373962800000008E-3</v>
      </c>
      <c r="Z812" s="36">
        <v>2.62</v>
      </c>
      <c r="AA812" s="38">
        <v>500</v>
      </c>
      <c r="AB812" s="38">
        <v>642</v>
      </c>
      <c r="AC812" s="49" t="s">
        <v>506</v>
      </c>
      <c r="AD812" s="49" t="s">
        <v>506</v>
      </c>
      <c r="AE812" s="48" t="str">
        <f t="shared" si="92"/>
        <v/>
      </c>
    </row>
    <row r="813" spans="1:31" ht="15" thickBot="1">
      <c r="A813" s="34">
        <v>811</v>
      </c>
      <c r="B813" s="34" t="s">
        <v>753</v>
      </c>
      <c r="C813" s="41" t="s">
        <v>1356</v>
      </c>
      <c r="D813" s="34" t="s">
        <v>581</v>
      </c>
      <c r="E813" s="80">
        <f t="shared" si="85"/>
        <v>1.6034199700275504</v>
      </c>
      <c r="F813" s="35">
        <f t="shared" si="86"/>
        <v>38.011347444047978</v>
      </c>
      <c r="G813" s="42" cm="1">
        <f t="array" ref="G81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37.739312711001105</v>
      </c>
      <c r="H813" s="81" cm="1">
        <f t="array" ref="H8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1.5987455215977326</v>
      </c>
      <c r="I813" s="81" cm="1">
        <f t="array" ref="I8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1.6034199700275504</v>
      </c>
      <c r="J813" s="81" cm="1">
        <f t="array" ref="J8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1.6071798320866806</v>
      </c>
      <c r="K813" s="81" cm="1">
        <f t="array" ref="K8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1.6146202540290355</v>
      </c>
      <c r="L813" s="81" cm="1">
        <f t="array" ref="L8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1.6238851621116634</v>
      </c>
      <c r="M813" s="37">
        <f t="shared" si="87"/>
        <v>1.5874732431302885E-2</v>
      </c>
      <c r="N813" s="43">
        <f t="shared" si="88"/>
        <v>4.6744484298177902E-3</v>
      </c>
      <c r="O813" s="43">
        <f t="shared" si="89"/>
        <v>9.2649080826279206E-3</v>
      </c>
      <c r="P813" s="43">
        <f t="shared" si="90"/>
        <v>0.29445840741229706</v>
      </c>
      <c r="Q813" s="37">
        <f t="shared" si="91"/>
        <v>0.58362609402844112</v>
      </c>
      <c r="R813" s="37">
        <v>2.7000000000000001E-3</v>
      </c>
      <c r="S813" s="44" t="s">
        <v>1393</v>
      </c>
      <c r="T813" s="45">
        <v>0.13237581700000001</v>
      </c>
      <c r="U813" s="45">
        <v>1.1556493400000001</v>
      </c>
      <c r="V813" s="45">
        <v>1.3754789300000001</v>
      </c>
      <c r="W813" s="45">
        <v>5.4590322500000003E-2</v>
      </c>
      <c r="X813" s="45">
        <v>116.78574</v>
      </c>
      <c r="Y813" s="45">
        <v>1.01495335E-2</v>
      </c>
      <c r="Z813" s="36">
        <v>2.63</v>
      </c>
      <c r="AA813" s="38">
        <v>592</v>
      </c>
      <c r="AB813" s="38">
        <v>715</v>
      </c>
      <c r="AC813" s="49" t="s">
        <v>506</v>
      </c>
      <c r="AD813" s="39" t="s">
        <v>1371</v>
      </c>
      <c r="AE813" s="48" t="str">
        <f t="shared" si="92"/>
        <v/>
      </c>
    </row>
    <row r="814" spans="1:31" ht="15" thickBot="1">
      <c r="A814" s="34">
        <v>812</v>
      </c>
      <c r="B814" s="34" t="s">
        <v>753</v>
      </c>
      <c r="C814" s="41" t="s">
        <v>1356</v>
      </c>
      <c r="D814" s="34" t="s">
        <v>582</v>
      </c>
      <c r="E814" s="80">
        <f t="shared" si="85"/>
        <v>1.6034168270193172</v>
      </c>
      <c r="F814" s="35">
        <f t="shared" si="86"/>
        <v>38.015338585723363</v>
      </c>
      <c r="G814" s="42" cm="1">
        <f t="array" ref="G81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37.751945221569734</v>
      </c>
      <c r="H814" s="81" cm="1">
        <f t="array" ref="H8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1.5987394423551451</v>
      </c>
      <c r="I814" s="81" cm="1">
        <f t="array" ref="I8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1.6034168270193172</v>
      </c>
      <c r="J814" s="81" cm="1">
        <f t="array" ref="J8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1.6071813235588186</v>
      </c>
      <c r="K814" s="81" cm="1">
        <f t="array" ref="K8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1.614612425457969</v>
      </c>
      <c r="L814" s="81" cm="1">
        <f t="array" ref="L8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1.6238016928908467</v>
      </c>
      <c r="M814" s="37">
        <f t="shared" si="87"/>
        <v>1.5872983102823923E-2</v>
      </c>
      <c r="N814" s="43">
        <f t="shared" si="88"/>
        <v>4.6773846641721128E-3</v>
      </c>
      <c r="O814" s="43">
        <f t="shared" si="89"/>
        <v>9.1892674328777346E-3</v>
      </c>
      <c r="P814" s="43">
        <f t="shared" si="90"/>
        <v>0.29467584220762955</v>
      </c>
      <c r="Q814" s="37">
        <f t="shared" si="91"/>
        <v>0.57892504347483964</v>
      </c>
      <c r="R814" s="37">
        <v>-2.2000000000000001E-3</v>
      </c>
      <c r="S814" s="44" t="s">
        <v>1394</v>
      </c>
      <c r="T814" s="45">
        <v>2.5059651000000001</v>
      </c>
      <c r="U814" s="45">
        <v>-7.8686118999999992E-3</v>
      </c>
      <c r="V814" s="45">
        <v>2.1574214000000001E-2</v>
      </c>
      <c r="W814" s="45">
        <v>5.9867966000000004E-4</v>
      </c>
      <c r="X814" s="45">
        <v>-9.5194606000000005E-7</v>
      </c>
      <c r="Y814" s="45">
        <v>2.9024857999999999E-6</v>
      </c>
      <c r="Z814" s="36">
        <v>3.43</v>
      </c>
      <c r="AA814" s="38">
        <v>420</v>
      </c>
      <c r="AB814" s="38"/>
      <c r="AC814" s="49" t="s">
        <v>506</v>
      </c>
      <c r="AD814" s="49" t="s">
        <v>506</v>
      </c>
      <c r="AE814" s="48" t="str">
        <f t="shared" si="92"/>
        <v/>
      </c>
    </row>
    <row r="815" spans="1:31" ht="15" thickBot="1">
      <c r="A815" s="34">
        <v>813</v>
      </c>
      <c r="B815" s="34" t="s">
        <v>753</v>
      </c>
      <c r="C815" s="41" t="s">
        <v>1356</v>
      </c>
      <c r="D815" s="34" t="s">
        <v>583</v>
      </c>
      <c r="E815" s="80">
        <f t="shared" si="85"/>
        <v>1.6129300143955521</v>
      </c>
      <c r="F815" s="35">
        <f t="shared" si="86"/>
        <v>37.004900324150398</v>
      </c>
      <c r="G815" s="42" cm="1">
        <f t="array" ref="G81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36.734621079977202</v>
      </c>
      <c r="H815" s="81" cm="1">
        <f t="array" ref="H8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1.6080624325636792</v>
      </c>
      <c r="I815" s="81" cm="1">
        <f t="array" ref="I8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1.6129300143955521</v>
      </c>
      <c r="J815" s="81" cm="1">
        <f t="array" ref="J8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1.6168506898819697</v>
      </c>
      <c r="K815" s="81" cm="1">
        <f t="array" ref="K8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1.6246259149410534</v>
      </c>
      <c r="L815" s="81" cm="1">
        <f t="array" ref="L8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1.6343439018417181</v>
      </c>
      <c r="M815" s="37">
        <f t="shared" si="87"/>
        <v>1.656348237737415E-2</v>
      </c>
      <c r="N815" s="43">
        <f t="shared" si="88"/>
        <v>4.8675818318728581E-3</v>
      </c>
      <c r="O815" s="43">
        <f t="shared" si="89"/>
        <v>9.7179869006647213E-3</v>
      </c>
      <c r="P815" s="43">
        <f t="shared" si="90"/>
        <v>0.29387430257552688</v>
      </c>
      <c r="Q815" s="37">
        <f t="shared" si="91"/>
        <v>0.5867115790782963</v>
      </c>
      <c r="R815" s="37">
        <v>4.0000000000000001E-3</v>
      </c>
      <c r="S815" s="44" t="s">
        <v>1393</v>
      </c>
      <c r="T815" s="45">
        <v>1.4047752099999999</v>
      </c>
      <c r="U815" s="45">
        <v>1.1749584500000001</v>
      </c>
      <c r="V815" s="45">
        <v>0.130830575</v>
      </c>
      <c r="W815" s="45">
        <v>1.0415344599999999E-2</v>
      </c>
      <c r="X815" s="45">
        <v>113.688956</v>
      </c>
      <c r="Y815" s="45">
        <v>5.6896242600000001E-2</v>
      </c>
      <c r="Z815" s="36">
        <v>2.65</v>
      </c>
      <c r="AA815" s="38">
        <v>601</v>
      </c>
      <c r="AB815" s="38">
        <v>717</v>
      </c>
      <c r="AC815" s="49" t="s">
        <v>506</v>
      </c>
      <c r="AD815" s="49" t="s">
        <v>506</v>
      </c>
      <c r="AE815" s="48" t="str">
        <f t="shared" si="92"/>
        <v/>
      </c>
    </row>
    <row r="816" spans="1:31" ht="15" thickBot="1">
      <c r="A816" s="34">
        <v>814</v>
      </c>
      <c r="B816" s="34" t="s">
        <v>753</v>
      </c>
      <c r="C816" s="41" t="s">
        <v>1356</v>
      </c>
      <c r="D816" s="34" t="s">
        <v>175</v>
      </c>
      <c r="E816" s="80">
        <f t="shared" si="85"/>
        <v>1.6129286226449864</v>
      </c>
      <c r="F816" s="35">
        <f t="shared" si="86"/>
        <v>36.986459565030152</v>
      </c>
      <c r="G816" s="42" cm="1">
        <f t="array" ref="G81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36.724621176059507</v>
      </c>
      <c r="H816" s="81" cm="1">
        <f t="array" ref="H8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1.6080551469573914</v>
      </c>
      <c r="I816" s="81" cm="1">
        <f t="array" ref="I8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1.6129286226449864</v>
      </c>
      <c r="J816" s="81" cm="1">
        <f t="array" ref="J8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1.6168561389475193</v>
      </c>
      <c r="K816" s="81" cm="1">
        <f t="array" ref="K8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1.6246268499495993</v>
      </c>
      <c r="L816" s="81" cm="1">
        <f t="array" ref="L8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1.634271157188905</v>
      </c>
      <c r="M816" s="37">
        <f t="shared" si="87"/>
        <v>1.6571702992207893E-2</v>
      </c>
      <c r="N816" s="43">
        <f t="shared" si="88"/>
        <v>4.8734756875949969E-3</v>
      </c>
      <c r="O816" s="43">
        <f t="shared" si="89"/>
        <v>9.6443072393057605E-3</v>
      </c>
      <c r="P816" s="43">
        <f t="shared" si="90"/>
        <v>0.29408418011634246</v>
      </c>
      <c r="Q816" s="37">
        <f t="shared" si="91"/>
        <v>0.58197442012088729</v>
      </c>
      <c r="R816" s="37">
        <v>-1.4E-3</v>
      </c>
      <c r="S816" s="44" t="s">
        <v>1394</v>
      </c>
      <c r="T816" s="45">
        <v>2.5326598200000001</v>
      </c>
      <c r="U816" s="45">
        <v>-7.7382535400000001E-3</v>
      </c>
      <c r="V816" s="45">
        <v>2.3173143199999999E-2</v>
      </c>
      <c r="W816" s="45">
        <v>4.0936285499999997E-4</v>
      </c>
      <c r="X816" s="45">
        <v>3.7804682900000003E-5</v>
      </c>
      <c r="Y816" s="45">
        <v>1.0346434599999999E-6</v>
      </c>
      <c r="Z816" s="36">
        <v>3.5</v>
      </c>
      <c r="AA816" s="38">
        <v>400</v>
      </c>
      <c r="AB816" s="38"/>
      <c r="AC816" s="49" t="s">
        <v>506</v>
      </c>
      <c r="AD816" s="49" t="s">
        <v>506</v>
      </c>
      <c r="AE816" s="48" t="str">
        <f t="shared" si="92"/>
        <v/>
      </c>
    </row>
    <row r="817" spans="1:31" ht="15" thickBot="1">
      <c r="A817" s="34">
        <v>815</v>
      </c>
      <c r="B817" s="34" t="s">
        <v>753</v>
      </c>
      <c r="C817" s="41" t="s">
        <v>1356</v>
      </c>
      <c r="D817" s="34" t="s">
        <v>1274</v>
      </c>
      <c r="E817" s="80">
        <f t="shared" si="85"/>
        <v>1.6165900397295889</v>
      </c>
      <c r="F817" s="35">
        <f t="shared" si="86"/>
        <v>36.652142792282071</v>
      </c>
      <c r="G817" s="42" cm="1">
        <f t="array" ref="G81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36.381040204544043</v>
      </c>
      <c r="H817" s="81" cm="1">
        <f t="array" ref="H8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1.6116518372352291</v>
      </c>
      <c r="I817" s="81" cm="1">
        <f t="array" ref="I8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1.6165900397295889</v>
      </c>
      <c r="J817" s="81" cm="1">
        <f t="array" ref="J8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1.6205715947905415</v>
      </c>
      <c r="K817" s="81" cm="1">
        <f t="array" ref="K8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1.6284745928166415</v>
      </c>
      <c r="L817" s="81" cm="1">
        <f t="array" ref="L8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1.638360861569446</v>
      </c>
      <c r="M817" s="37">
        <f t="shared" si="87"/>
        <v>1.6822755581412441E-2</v>
      </c>
      <c r="N817" s="43">
        <f t="shared" si="88"/>
        <v>4.9382024943598335E-3</v>
      </c>
      <c r="O817" s="43">
        <f t="shared" si="89"/>
        <v>9.8862687528045168E-3</v>
      </c>
      <c r="P817" s="43">
        <f t="shared" si="90"/>
        <v>0.29354302096715246</v>
      </c>
      <c r="Q817" s="37">
        <f t="shared" si="91"/>
        <v>0.58767237655927851</v>
      </c>
      <c r="R817" s="37">
        <v>4.4000000000000003E-3</v>
      </c>
      <c r="S817" s="44" t="s">
        <v>1393</v>
      </c>
      <c r="T817" s="45">
        <v>1.40512926</v>
      </c>
      <c r="U817" s="45">
        <v>0.14098772200000001</v>
      </c>
      <c r="V817" s="45">
        <v>1.52292764</v>
      </c>
      <c r="W817" s="45">
        <v>1.0340789899999999E-2</v>
      </c>
      <c r="X817" s="45">
        <v>5.6135528099999998E-2</v>
      </c>
      <c r="Y817" s="45">
        <v>149.77691100000001</v>
      </c>
      <c r="Z817" s="36">
        <v>2.68</v>
      </c>
      <c r="AA817" s="38">
        <v>610</v>
      </c>
      <c r="AB817" s="38">
        <v>728</v>
      </c>
      <c r="AC817" s="49" t="s">
        <v>506</v>
      </c>
      <c r="AD817" s="49" t="s">
        <v>506</v>
      </c>
      <c r="AE817" s="48" t="str">
        <f t="shared" si="92"/>
        <v/>
      </c>
    </row>
    <row r="818" spans="1:31" ht="15" thickBot="1">
      <c r="A818" s="34">
        <v>816</v>
      </c>
      <c r="B818" s="34" t="s">
        <v>753</v>
      </c>
      <c r="C818" s="41" t="s">
        <v>1356</v>
      </c>
      <c r="D818" s="34" t="s">
        <v>584</v>
      </c>
      <c r="E818" s="80">
        <f t="shared" si="85"/>
        <v>1.6165924464388708</v>
      </c>
      <c r="F818" s="35">
        <f t="shared" si="86"/>
        <v>36.627846897287249</v>
      </c>
      <c r="G818" s="42" cm="1">
        <f t="array" ref="G81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36.371407978279777</v>
      </c>
      <c r="H818" s="81" cm="1">
        <f t="array" ref="H8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1.6116422178811332</v>
      </c>
      <c r="I818" s="81" cm="1">
        <f t="array" ref="I8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1.6165924464388708</v>
      </c>
      <c r="J818" s="81" cm="1">
        <f t="array" ref="J8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1.6205829709567343</v>
      </c>
      <c r="K818" s="81" cm="1">
        <f t="array" ref="K8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1.6284761979992639</v>
      </c>
      <c r="L818" s="81" cm="1">
        <f t="array" ref="L8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1.6382631856490353</v>
      </c>
      <c r="M818" s="37">
        <f t="shared" si="87"/>
        <v>1.6833980118130754E-2</v>
      </c>
      <c r="N818" s="43">
        <f t="shared" si="88"/>
        <v>4.9502285577376348E-3</v>
      </c>
      <c r="O818" s="43">
        <f t="shared" si="89"/>
        <v>9.7869876497713726E-3</v>
      </c>
      <c r="P818" s="43">
        <f t="shared" si="90"/>
        <v>0.29406168493724638</v>
      </c>
      <c r="Q818" s="37">
        <f t="shared" si="91"/>
        <v>0.581382868524982</v>
      </c>
      <c r="R818" s="37">
        <v>-2.5999999999999999E-3</v>
      </c>
      <c r="S818" s="44" t="s">
        <v>1394</v>
      </c>
      <c r="T818" s="45">
        <v>2.5442822899999999</v>
      </c>
      <c r="U818" s="45">
        <v>-8.3530761099999996E-3</v>
      </c>
      <c r="V818" s="45">
        <v>2.2823180799999999E-2</v>
      </c>
      <c r="W818" s="45">
        <v>6.7021492200000003E-4</v>
      </c>
      <c r="X818" s="45">
        <v>1.04294821E-6</v>
      </c>
      <c r="Y818" s="45">
        <v>3.0329737600000001E-6</v>
      </c>
      <c r="Z818" s="36">
        <v>3.57</v>
      </c>
      <c r="AA818" s="38">
        <v>430</v>
      </c>
      <c r="AB818" s="38">
        <v>589</v>
      </c>
      <c r="AC818" s="49" t="s">
        <v>506</v>
      </c>
      <c r="AD818" s="49" t="s">
        <v>506</v>
      </c>
      <c r="AE818" s="48" t="str">
        <f t="shared" si="92"/>
        <v/>
      </c>
    </row>
    <row r="819" spans="1:31" ht="15" thickBot="1">
      <c r="A819" s="34">
        <v>817</v>
      </c>
      <c r="B819" s="34" t="s">
        <v>753</v>
      </c>
      <c r="C819" s="41" t="s">
        <v>1356</v>
      </c>
      <c r="D819" s="34" t="s">
        <v>585</v>
      </c>
      <c r="E819" s="80">
        <f t="shared" si="85"/>
        <v>1.6200500398336752</v>
      </c>
      <c r="F819" s="35">
        <f t="shared" si="86"/>
        <v>36.346337894505986</v>
      </c>
      <c r="G819" s="42" cm="1">
        <f t="array" ref="G81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36.077028652730789</v>
      </c>
      <c r="H819" s="81" cm="1">
        <f t="array" ref="H8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1.6150441395613755</v>
      </c>
      <c r="I819" s="81" cm="1">
        <f t="array" ref="I8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1.6200500398336752</v>
      </c>
      <c r="J819" s="81" cm="1">
        <f t="array" ref="J8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1.6240869103281208</v>
      </c>
      <c r="K819" s="81" cm="1">
        <f t="array" ref="K8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1.6321036309916634</v>
      </c>
      <c r="L819" s="81" cm="1">
        <f t="array" ref="L8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1.642143918571368</v>
      </c>
      <c r="M819" s="37">
        <f t="shared" si="87"/>
        <v>1.7059491430287954E-2</v>
      </c>
      <c r="N819" s="43">
        <f t="shared" si="88"/>
        <v>5.0059002722997459E-3</v>
      </c>
      <c r="O819" s="43">
        <f t="shared" si="89"/>
        <v>1.0040287579704543E-2</v>
      </c>
      <c r="P819" s="43">
        <f t="shared" si="90"/>
        <v>0.29343783739133711</v>
      </c>
      <c r="Q819" s="37">
        <f t="shared" si="91"/>
        <v>0.58854553904688522</v>
      </c>
      <c r="R819" s="37">
        <v>4.7000000000000002E-3</v>
      </c>
      <c r="S819" s="44" t="s">
        <v>1393</v>
      </c>
      <c r="T819" s="45">
        <v>0.13189879400000001</v>
      </c>
      <c r="U819" s="45">
        <v>1.4244182700000001</v>
      </c>
      <c r="V819" s="45">
        <v>1.2174631600000001</v>
      </c>
      <c r="W819" s="45">
        <v>5.7931950000000003E-2</v>
      </c>
      <c r="X819" s="45">
        <v>1.06270032E-2</v>
      </c>
      <c r="Y819" s="45">
        <v>117.376535</v>
      </c>
      <c r="Z819" s="36">
        <v>2.67</v>
      </c>
      <c r="AA819" s="38">
        <v>584</v>
      </c>
      <c r="AB819" s="38">
        <v>712</v>
      </c>
      <c r="AC819" s="49" t="s">
        <v>506</v>
      </c>
      <c r="AD819" s="39" t="s">
        <v>1371</v>
      </c>
      <c r="AE819" s="48" t="str">
        <f t="shared" si="92"/>
        <v/>
      </c>
    </row>
    <row r="820" spans="1:31" ht="15" thickBot="1">
      <c r="A820" s="34">
        <v>818</v>
      </c>
      <c r="B820" s="34" t="s">
        <v>753</v>
      </c>
      <c r="C820" s="41" t="s">
        <v>1356</v>
      </c>
      <c r="D820" s="34" t="s">
        <v>586</v>
      </c>
      <c r="E820" s="80">
        <f t="shared" si="85"/>
        <v>1.6200473205874288</v>
      </c>
      <c r="F820" s="35">
        <f t="shared" si="86"/>
        <v>36.357180686348251</v>
      </c>
      <c r="G820" s="42" cm="1">
        <f t="array" ref="G82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36.095429022583843</v>
      </c>
      <c r="H820" s="81" cm="1">
        <f t="array" ref="H8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1.615040047907313</v>
      </c>
      <c r="I820" s="81" cm="1">
        <f t="array" ref="I8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1.6200473205874288</v>
      </c>
      <c r="J820" s="81" cm="1">
        <f t="array" ref="J8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1.6240878633232279</v>
      </c>
      <c r="K820" s="81" cm="1">
        <f t="array" ref="K8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1.6320943768976863</v>
      </c>
      <c r="L820" s="81" cm="1">
        <f t="array" ref="L8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1.6420495439617644</v>
      </c>
      <c r="M820" s="37">
        <f t="shared" si="87"/>
        <v>1.7054328990373291E-2</v>
      </c>
      <c r="N820" s="43">
        <f t="shared" si="88"/>
        <v>5.0072726801158041E-3</v>
      </c>
      <c r="O820" s="43">
        <f t="shared" si="89"/>
        <v>9.9551670640780632E-3</v>
      </c>
      <c r="P820" s="43">
        <f t="shared" si="90"/>
        <v>0.29360713534623817</v>
      </c>
      <c r="Q820" s="37">
        <f t="shared" si="91"/>
        <v>0.5837325566838476</v>
      </c>
      <c r="R820" s="37">
        <v>0</v>
      </c>
      <c r="S820" s="44" t="s">
        <v>1394</v>
      </c>
      <c r="T820" s="45">
        <v>2.5544666999999999</v>
      </c>
      <c r="U820" s="45">
        <v>-8.4784779900000003E-3</v>
      </c>
      <c r="V820" s="45">
        <v>2.3283289200000001E-2</v>
      </c>
      <c r="W820" s="45">
        <v>5.8380948200000005E-4</v>
      </c>
      <c r="X820" s="45">
        <v>2.1963000999999999E-5</v>
      </c>
      <c r="Y820" s="45">
        <v>1.9653770800000001E-6</v>
      </c>
      <c r="Z820" s="36">
        <v>3.57</v>
      </c>
      <c r="AA820" s="38">
        <v>417</v>
      </c>
      <c r="AB820" s="38">
        <v>562</v>
      </c>
      <c r="AC820" s="49" t="s">
        <v>506</v>
      </c>
      <c r="AD820" s="49" t="s">
        <v>506</v>
      </c>
      <c r="AE820" s="48" t="str">
        <f t="shared" si="92"/>
        <v/>
      </c>
    </row>
    <row r="821" spans="1:31" ht="15" thickBot="1">
      <c r="A821" s="34">
        <v>819</v>
      </c>
      <c r="B821" s="34" t="s">
        <v>753</v>
      </c>
      <c r="C821" s="41" t="s">
        <v>1356</v>
      </c>
      <c r="D821" s="34" t="s">
        <v>1275</v>
      </c>
      <c r="E821" s="80">
        <f t="shared" si="85"/>
        <v>1.6243499974554017</v>
      </c>
      <c r="F821" s="35">
        <f t="shared" si="86"/>
        <v>35.923890993650815</v>
      </c>
      <c r="G821" s="42" cm="1">
        <f t="array" ref="G82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35.656171502448551</v>
      </c>
      <c r="H821" s="81" cm="1">
        <f t="array" ref="H8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1.6192546848528291</v>
      </c>
      <c r="I821" s="81" cm="1">
        <f t="array" ref="I8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1.6243499974554017</v>
      </c>
      <c r="J821" s="81" cm="1">
        <f t="array" ref="J8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1.628462475573812</v>
      </c>
      <c r="K821" s="81" cm="1">
        <f t="array" ref="K8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1.6366344836492832</v>
      </c>
      <c r="L821" s="81" cm="1">
        <f t="array" ref="L8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1.6468746402172834</v>
      </c>
      <c r="M821" s="37">
        <f t="shared" si="87"/>
        <v>1.7379798796454127E-2</v>
      </c>
      <c r="N821" s="43">
        <f t="shared" si="88"/>
        <v>5.0953126025725659E-3</v>
      </c>
      <c r="O821" s="43">
        <f t="shared" si="89"/>
        <v>1.0240156568000147E-2</v>
      </c>
      <c r="P821" s="43">
        <f t="shared" si="90"/>
        <v>0.29317442982206016</v>
      </c>
      <c r="Q821" s="37">
        <f t="shared" si="91"/>
        <v>0.58919879844002399</v>
      </c>
      <c r="R821" s="37">
        <v>4.5999999999999999E-3</v>
      </c>
      <c r="S821" s="44" t="s">
        <v>1393</v>
      </c>
      <c r="T821" s="45">
        <v>1.4354170900000001</v>
      </c>
      <c r="U821" s="45">
        <v>0.133104631</v>
      </c>
      <c r="V821" s="45">
        <v>1.2215186</v>
      </c>
      <c r="W821" s="45">
        <v>1.0839478899999999E-2</v>
      </c>
      <c r="X821" s="45">
        <v>5.8152846000000001E-2</v>
      </c>
      <c r="Y821" s="45">
        <v>120.768299</v>
      </c>
      <c r="Z821" s="36">
        <v>2.69</v>
      </c>
      <c r="AA821" s="38">
        <v>610</v>
      </c>
      <c r="AB821" s="38">
        <v>722</v>
      </c>
      <c r="AC821" s="49" t="s">
        <v>506</v>
      </c>
      <c r="AD821" s="49" t="s">
        <v>506</v>
      </c>
      <c r="AE821" s="48" t="str">
        <f t="shared" si="92"/>
        <v/>
      </c>
    </row>
    <row r="822" spans="1:31" ht="15" thickBot="1">
      <c r="A822" s="34">
        <v>820</v>
      </c>
      <c r="B822" s="34" t="s">
        <v>753</v>
      </c>
      <c r="C822" s="41" t="s">
        <v>1356</v>
      </c>
      <c r="D822" s="34" t="s">
        <v>177</v>
      </c>
      <c r="E822" s="80">
        <f t="shared" si="85"/>
        <v>1.624353350535229</v>
      </c>
      <c r="F822" s="35">
        <f t="shared" si="86"/>
        <v>35.938855648932311</v>
      </c>
      <c r="G822" s="42" cm="1">
        <f t="array" ref="G82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35.683967919328211</v>
      </c>
      <c r="H822" s="81" cm="1">
        <f t="array" ref="H8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1.6192536078304418</v>
      </c>
      <c r="I822" s="81" cm="1">
        <f t="array" ref="I8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1.624353350535229</v>
      </c>
      <c r="J822" s="81" cm="1">
        <f t="array" ref="J8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1.6284712470920437</v>
      </c>
      <c r="K822" s="81" cm="1">
        <f t="array" ref="K8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1.6366262631156909</v>
      </c>
      <c r="L822" s="81" cm="1">
        <f t="array" ref="L8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1.6467429861882092</v>
      </c>
      <c r="M822" s="37">
        <f t="shared" si="87"/>
        <v>1.7372655285249117E-2</v>
      </c>
      <c r="N822" s="43">
        <f t="shared" si="88"/>
        <v>5.0997427047871913E-3</v>
      </c>
      <c r="O822" s="43">
        <f t="shared" si="89"/>
        <v>1.0116723072518319E-2</v>
      </c>
      <c r="P822" s="43">
        <f t="shared" si="90"/>
        <v>0.29354998536794275</v>
      </c>
      <c r="Q822" s="37">
        <f t="shared" si="91"/>
        <v>0.58233602787872563</v>
      </c>
      <c r="R822" s="37">
        <v>-3.3999999999999998E-3</v>
      </c>
      <c r="S822" s="44" t="s">
        <v>1394</v>
      </c>
      <c r="T822" s="45">
        <v>2.5683752399999999</v>
      </c>
      <c r="U822" s="45">
        <v>-9.1404622800000009E-3</v>
      </c>
      <c r="V822" s="45">
        <v>2.2597963700000001E-2</v>
      </c>
      <c r="W822" s="45">
        <v>9.9985348799999998E-4</v>
      </c>
      <c r="X822" s="45">
        <v>-3.6633071199999997E-5</v>
      </c>
      <c r="Y822" s="45">
        <v>4.9332480299999996E-6</v>
      </c>
      <c r="Z822" s="36">
        <v>3.64</v>
      </c>
      <c r="AA822" s="38">
        <v>430</v>
      </c>
      <c r="AB822" s="38">
        <v>604</v>
      </c>
      <c r="AC822" s="49" t="s">
        <v>506</v>
      </c>
      <c r="AD822" s="49" t="s">
        <v>506</v>
      </c>
      <c r="AE822" s="48" t="str">
        <f t="shared" si="92"/>
        <v/>
      </c>
    </row>
    <row r="823" spans="1:31" ht="15" thickBot="1">
      <c r="A823" s="34">
        <v>821</v>
      </c>
      <c r="B823" s="34" t="s">
        <v>753</v>
      </c>
      <c r="C823" s="41" t="s">
        <v>1356</v>
      </c>
      <c r="D823" s="34" t="s">
        <v>1276</v>
      </c>
      <c r="E823" s="80">
        <f t="shared" si="85"/>
        <v>1.6249500589305004</v>
      </c>
      <c r="F823" s="35">
        <f t="shared" si="86"/>
        <v>35.585615933131585</v>
      </c>
      <c r="G823" s="42" cm="1">
        <f t="array" ref="G82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35.320515578051562</v>
      </c>
      <c r="H823" s="81" cm="1">
        <f t="array" ref="H8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1.6198032788569845</v>
      </c>
      <c r="I823" s="81" cm="1">
        <f t="array" ref="I8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1.6249500589305004</v>
      </c>
      <c r="J823" s="81" cm="1">
        <f t="array" ref="J8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1.6291051936274945</v>
      </c>
      <c r="K823" s="81" cm="1">
        <f t="array" ref="K8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1.6373651516121122</v>
      </c>
      <c r="L823" s="81" cm="1">
        <f t="array" ref="L8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1.6477229588219799</v>
      </c>
      <c r="M823" s="37">
        <f t="shared" si="87"/>
        <v>1.7561872755127661E-2</v>
      </c>
      <c r="N823" s="43">
        <f t="shared" si="88"/>
        <v>5.1467800735158775E-3</v>
      </c>
      <c r="O823" s="43">
        <f t="shared" si="89"/>
        <v>1.0357807209867786E-2</v>
      </c>
      <c r="P823" s="43">
        <f t="shared" si="90"/>
        <v>0.29306555999348854</v>
      </c>
      <c r="Q823" s="37">
        <f t="shared" si="91"/>
        <v>0.58978944639281405</v>
      </c>
      <c r="R823" s="37">
        <v>4.7000000000000002E-3</v>
      </c>
      <c r="S823" s="44" t="s">
        <v>1393</v>
      </c>
      <c r="T823" s="45">
        <v>1.4407163599999999</v>
      </c>
      <c r="U823" s="45">
        <v>0.12899918399999999</v>
      </c>
      <c r="V823" s="45">
        <v>1.1685363900000001</v>
      </c>
      <c r="W823" s="45">
        <v>1.10480895E-2</v>
      </c>
      <c r="X823" s="45">
        <v>5.9081167800000001E-2</v>
      </c>
      <c r="Y823" s="45">
        <v>115.021995</v>
      </c>
      <c r="Z823" s="36">
        <v>2.69</v>
      </c>
      <c r="AA823" s="38">
        <v>609</v>
      </c>
      <c r="AB823" s="38">
        <v>725</v>
      </c>
      <c r="AC823" s="49" t="s">
        <v>506</v>
      </c>
      <c r="AD823" s="49" t="s">
        <v>506</v>
      </c>
      <c r="AE823" s="48" t="str">
        <f t="shared" si="92"/>
        <v/>
      </c>
    </row>
    <row r="824" spans="1:31" ht="15" thickBot="1">
      <c r="A824" s="34">
        <v>822</v>
      </c>
      <c r="B824" s="34" t="s">
        <v>753</v>
      </c>
      <c r="C824" s="41" t="s">
        <v>1356</v>
      </c>
      <c r="D824" s="34" t="s">
        <v>587</v>
      </c>
      <c r="E824" s="80">
        <f t="shared" si="85"/>
        <v>1.6249544658571813</v>
      </c>
      <c r="F824" s="35">
        <f t="shared" si="86"/>
        <v>35.578257003384756</v>
      </c>
      <c r="G824" s="42" cm="1">
        <f t="array" ref="G82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35.319686260139441</v>
      </c>
      <c r="H824" s="81" cm="1">
        <f t="array" ref="H8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1.6198056139689732</v>
      </c>
      <c r="I824" s="81" cm="1">
        <f t="array" ref="I8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1.6249544658571813</v>
      </c>
      <c r="J824" s="81" cm="1">
        <f t="array" ref="J8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1.629116196860694</v>
      </c>
      <c r="K824" s="81" cm="1">
        <f t="array" ref="K8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1.6373712430496143</v>
      </c>
      <c r="L824" s="81" cm="1">
        <f t="array" ref="L8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1.6476431634527564</v>
      </c>
      <c r="M824" s="37">
        <f t="shared" si="87"/>
        <v>1.7565629080641187E-2</v>
      </c>
      <c r="N824" s="43">
        <f t="shared" si="88"/>
        <v>5.148851888208128E-3</v>
      </c>
      <c r="O824" s="43">
        <f t="shared" si="89"/>
        <v>1.0271920403142065E-2</v>
      </c>
      <c r="P824" s="43">
        <f t="shared" si="90"/>
        <v>0.29312083641129594</v>
      </c>
      <c r="Q824" s="37">
        <f t="shared" si="91"/>
        <v>0.58477384191509496</v>
      </c>
      <c r="R824" s="37">
        <v>-1.1000000000000001E-3</v>
      </c>
      <c r="S824" s="44" t="s">
        <v>1394</v>
      </c>
      <c r="T824" s="45">
        <v>2.5684972199999998</v>
      </c>
      <c r="U824" s="45">
        <v>-8.3623212300000006E-3</v>
      </c>
      <c r="V824" s="45">
        <v>2.3444829100000002E-2</v>
      </c>
      <c r="W824" s="45">
        <v>8.2892434300000002E-4</v>
      </c>
      <c r="X824" s="45">
        <v>-1.18355482E-5</v>
      </c>
      <c r="Y824" s="45">
        <v>4.09561662E-6</v>
      </c>
      <c r="Z824" s="36">
        <v>3.6</v>
      </c>
      <c r="AA824" s="38">
        <v>403</v>
      </c>
      <c r="AB824" s="38"/>
      <c r="AC824" s="49" t="s">
        <v>506</v>
      </c>
      <c r="AD824" s="49" t="s">
        <v>506</v>
      </c>
      <c r="AE824" s="48" t="str">
        <f t="shared" si="92"/>
        <v/>
      </c>
    </row>
    <row r="825" spans="1:31" ht="15" thickBot="1">
      <c r="A825" s="34">
        <v>823</v>
      </c>
      <c r="B825" s="34" t="s">
        <v>753</v>
      </c>
      <c r="C825" s="41" t="s">
        <v>1356</v>
      </c>
      <c r="D825" s="34" t="s">
        <v>588</v>
      </c>
      <c r="E825" s="80">
        <f t="shared" si="85"/>
        <v>1.6363645086202838</v>
      </c>
      <c r="F825" s="35">
        <f t="shared" si="86"/>
        <v>35.386642741040887</v>
      </c>
      <c r="G825" s="42" cm="1">
        <f t="array" ref="G82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35.137581183974319</v>
      </c>
      <c r="H825" s="81" cm="1">
        <f t="array" ref="H8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1.6310851827291362</v>
      </c>
      <c r="I825" s="81" cm="1">
        <f t="array" ref="I8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1.6363645086202838</v>
      </c>
      <c r="J825" s="81" cm="1">
        <f t="array" ref="J8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1.640625826693163</v>
      </c>
      <c r="K825" s="81" cm="1">
        <f t="array" ref="K8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1.6490683667592572</v>
      </c>
      <c r="L825" s="81" cm="1">
        <f t="array" ref="L8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1.6595676110303035</v>
      </c>
      <c r="M825" s="37">
        <f t="shared" si="87"/>
        <v>1.7983184030121002E-2</v>
      </c>
      <c r="N825" s="43">
        <f t="shared" si="88"/>
        <v>5.279325891147657E-3</v>
      </c>
      <c r="O825" s="43">
        <f t="shared" si="89"/>
        <v>1.0499244271046315E-2</v>
      </c>
      <c r="P825" s="43">
        <f t="shared" si="90"/>
        <v>0.29357014210081095</v>
      </c>
      <c r="Q825" s="37">
        <f t="shared" si="91"/>
        <v>0.58383678070916512</v>
      </c>
      <c r="R825" s="37">
        <v>-3.3E-3</v>
      </c>
      <c r="S825" s="44" t="s">
        <v>1394</v>
      </c>
      <c r="T825" s="45">
        <v>2.6027537000000001</v>
      </c>
      <c r="U825" s="45">
        <v>-8.4678902999999993E-3</v>
      </c>
      <c r="V825" s="45">
        <v>2.46596174E-2</v>
      </c>
      <c r="W825" s="45">
        <v>7.4451295999999998E-4</v>
      </c>
      <c r="X825" s="45">
        <v>-4.8532840500000001E-6</v>
      </c>
      <c r="Y825" s="45">
        <v>4.2592011400000001E-6</v>
      </c>
      <c r="Z825" s="36">
        <v>3.73</v>
      </c>
      <c r="AA825" s="38">
        <v>441</v>
      </c>
      <c r="AB825" s="38"/>
      <c r="AC825" s="49" t="s">
        <v>506</v>
      </c>
      <c r="AD825" s="49" t="s">
        <v>506</v>
      </c>
      <c r="AE825" s="48" t="str">
        <f t="shared" si="92"/>
        <v/>
      </c>
    </row>
    <row r="826" spans="1:31" ht="15" thickBot="1">
      <c r="A826" s="34">
        <v>824</v>
      </c>
      <c r="B826" s="34" t="s">
        <v>753</v>
      </c>
      <c r="C826" s="41" t="s">
        <v>1356</v>
      </c>
      <c r="D826" s="34" t="s">
        <v>589</v>
      </c>
      <c r="E826" s="80">
        <f t="shared" si="85"/>
        <v>1.6258800263428894</v>
      </c>
      <c r="F826" s="35">
        <f t="shared" si="86"/>
        <v>35.699415035642467</v>
      </c>
      <c r="G826" s="42" cm="1">
        <f t="array" ref="G82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35.434711823780475</v>
      </c>
      <c r="H826" s="81" cm="1">
        <f t="array" ref="H8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1.6207398096014132</v>
      </c>
      <c r="I826" s="81" cm="1">
        <f t="array" ref="I8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1.6258800263428894</v>
      </c>
      <c r="J826" s="81" cm="1">
        <f t="array" ref="J8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1.630028005172711</v>
      </c>
      <c r="K826" s="81" cm="1">
        <f t="array" ref="K8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1.6382717502709734</v>
      </c>
      <c r="L826" s="81" cm="1">
        <f t="array" ref="L8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1.6486068010496955</v>
      </c>
      <c r="M826" s="37">
        <f t="shared" si="87"/>
        <v>1.7531940669560209E-2</v>
      </c>
      <c r="N826" s="43">
        <f t="shared" si="88"/>
        <v>5.1402167414762445E-3</v>
      </c>
      <c r="O826" s="43">
        <f t="shared" si="89"/>
        <v>1.0335050778722099E-2</v>
      </c>
      <c r="P826" s="43">
        <f t="shared" si="90"/>
        <v>0.29319154327284108</v>
      </c>
      <c r="Q826" s="37">
        <f t="shared" si="91"/>
        <v>0.58949838888436956</v>
      </c>
      <c r="R826" s="37">
        <v>4.5999999999999999E-3</v>
      </c>
      <c r="S826" s="44" t="s">
        <v>1393</v>
      </c>
      <c r="T826" s="45">
        <v>0.141150321</v>
      </c>
      <c r="U826" s="45">
        <v>1.2390861900000001</v>
      </c>
      <c r="V826" s="45">
        <v>1.43200332</v>
      </c>
      <c r="W826" s="45">
        <v>5.7602527299999998E-2</v>
      </c>
      <c r="X826" s="45">
        <v>117.259382</v>
      </c>
      <c r="Y826" s="45">
        <v>1.06818976E-2</v>
      </c>
      <c r="Z826" s="36">
        <v>2.69</v>
      </c>
      <c r="AA826" s="38">
        <v>588</v>
      </c>
      <c r="AB826" s="38">
        <v>692</v>
      </c>
      <c r="AC826" s="49" t="s">
        <v>506</v>
      </c>
      <c r="AD826" s="49" t="s">
        <v>506</v>
      </c>
      <c r="AE826" s="48" t="str">
        <f t="shared" si="92"/>
        <v/>
      </c>
    </row>
    <row r="827" spans="1:31" ht="15" thickBot="1">
      <c r="A827" s="34">
        <v>825</v>
      </c>
      <c r="B827" s="34" t="s">
        <v>753</v>
      </c>
      <c r="C827" s="41" t="s">
        <v>1356</v>
      </c>
      <c r="D827" s="34" t="s">
        <v>590</v>
      </c>
      <c r="E827" s="80">
        <f t="shared" si="85"/>
        <v>1.6258841027740807</v>
      </c>
      <c r="F827" s="35">
        <f t="shared" si="86"/>
        <v>35.714122160353327</v>
      </c>
      <c r="G827" s="42" cm="1">
        <f t="array" ref="G82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35.458339671027659</v>
      </c>
      <c r="H827" s="81" cm="1">
        <f t="array" ref="H8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1.6207404536217078</v>
      </c>
      <c r="I827" s="81" cm="1">
        <f t="array" ref="I8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1.6258841027740807</v>
      </c>
      <c r="J827" s="81" cm="1">
        <f t="array" ref="J8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1.6300353013889406</v>
      </c>
      <c r="K827" s="81" cm="1">
        <f t="array" ref="K8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1.6382652887545417</v>
      </c>
      <c r="L827" s="81" cm="1">
        <f t="array" ref="L8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1.6485141571338282</v>
      </c>
      <c r="M827" s="37">
        <f t="shared" si="87"/>
        <v>1.7524835132833871E-2</v>
      </c>
      <c r="N827" s="43">
        <f t="shared" si="88"/>
        <v>5.1436491523728645E-3</v>
      </c>
      <c r="O827" s="43">
        <f t="shared" si="89"/>
        <v>1.0248868379286513E-2</v>
      </c>
      <c r="P827" s="43">
        <f t="shared" si="90"/>
        <v>0.29350627913959187</v>
      </c>
      <c r="Q827" s="37">
        <f t="shared" si="91"/>
        <v>0.58481967457055384</v>
      </c>
      <c r="R827" s="37">
        <v>-8.9999999999999998E-4</v>
      </c>
      <c r="S827" s="44" t="s">
        <v>1394</v>
      </c>
      <c r="T827" s="45">
        <v>2.5695707799999998</v>
      </c>
      <c r="U827" s="45">
        <v>-7.60403138E-3</v>
      </c>
      <c r="V827" s="45">
        <v>2.4968070500000002E-2</v>
      </c>
      <c r="W827" s="45">
        <v>3.3450194499999998E-4</v>
      </c>
      <c r="X827" s="45">
        <v>5.6815438000000002E-5</v>
      </c>
      <c r="Y827" s="45">
        <v>6.0732628500000005E-7</v>
      </c>
      <c r="Z827" s="36">
        <v>3.63</v>
      </c>
      <c r="AA827" s="38">
        <v>416</v>
      </c>
      <c r="AB827" s="38">
        <v>567</v>
      </c>
      <c r="AC827" s="49" t="s">
        <v>506</v>
      </c>
      <c r="AD827" s="49" t="s">
        <v>506</v>
      </c>
      <c r="AE827" s="48" t="str">
        <f t="shared" si="92"/>
        <v/>
      </c>
    </row>
    <row r="828" spans="1:31" ht="15" thickBot="1">
      <c r="A828" s="34">
        <v>826</v>
      </c>
      <c r="B828" s="34" t="s">
        <v>753</v>
      </c>
      <c r="C828" s="41" t="s">
        <v>1356</v>
      </c>
      <c r="D828" s="34" t="s">
        <v>591</v>
      </c>
      <c r="E828" s="80">
        <f t="shared" si="85"/>
        <v>1.6398000173280396</v>
      </c>
      <c r="F828" s="35">
        <f t="shared" si="86"/>
        <v>34.465000875416315</v>
      </c>
      <c r="G828" s="42" cm="1">
        <f t="array" ref="G82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34.203011165222449</v>
      </c>
      <c r="H828" s="81" cm="1">
        <f t="array" ref="H8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1.6343736493248029</v>
      </c>
      <c r="I828" s="81" cm="1">
        <f t="array" ref="I8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1.6398000173280396</v>
      </c>
      <c r="J828" s="81" cm="1">
        <f t="array" ref="J8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1.6441904003771051</v>
      </c>
      <c r="K828" s="81" cm="1">
        <f t="array" ref="K8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1.6529374096926259</v>
      </c>
      <c r="L828" s="81" cm="1">
        <f t="array" ref="L8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1.6639357418837637</v>
      </c>
      <c r="M828" s="37">
        <f t="shared" si="87"/>
        <v>1.8563760367823035E-2</v>
      </c>
      <c r="N828" s="43">
        <f t="shared" si="88"/>
        <v>5.4263680032367034E-3</v>
      </c>
      <c r="O828" s="43">
        <f t="shared" si="89"/>
        <v>1.0998332191137772E-2</v>
      </c>
      <c r="P828" s="43">
        <f t="shared" si="90"/>
        <v>0.29230974197675724</v>
      </c>
      <c r="Q828" s="37">
        <f t="shared" si="91"/>
        <v>0.59246251692633445</v>
      </c>
      <c r="R828" s="37">
        <v>5.4000000000000003E-3</v>
      </c>
      <c r="S828" s="44" t="s">
        <v>1393</v>
      </c>
      <c r="T828" s="45">
        <v>1.19880199</v>
      </c>
      <c r="U828" s="45">
        <v>0.146782039</v>
      </c>
      <c r="V828" s="45">
        <v>1.4665514799999999</v>
      </c>
      <c r="W828" s="45">
        <v>118.70308300000001</v>
      </c>
      <c r="X828" s="45">
        <v>5.8691996699999999E-2</v>
      </c>
      <c r="Y828" s="45">
        <v>1.1170918700000001E-2</v>
      </c>
      <c r="Z828" s="36">
        <v>2.76</v>
      </c>
      <c r="AA828" s="38">
        <v>597</v>
      </c>
      <c r="AB828" s="38">
        <v>701</v>
      </c>
      <c r="AC828" s="49" t="s">
        <v>506</v>
      </c>
      <c r="AD828" s="49" t="s">
        <v>506</v>
      </c>
      <c r="AE828" s="48" t="str">
        <f t="shared" si="92"/>
        <v/>
      </c>
    </row>
    <row r="829" spans="1:31" ht="15" thickBot="1">
      <c r="A829" s="34">
        <v>827</v>
      </c>
      <c r="B829" s="34" t="s">
        <v>753</v>
      </c>
      <c r="C829" s="41" t="s">
        <v>1356</v>
      </c>
      <c r="D829" s="34" t="s">
        <v>1277</v>
      </c>
      <c r="E829" s="80">
        <f t="shared" si="85"/>
        <v>1.6138503412359611</v>
      </c>
      <c r="F829" s="35">
        <f t="shared" si="86"/>
        <v>34.605136720821569</v>
      </c>
      <c r="G829" s="42" cm="1">
        <f t="array" ref="G82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34.332141978711832</v>
      </c>
      <c r="H829" s="81" cm="1">
        <f t="array" ref="H8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1.6086736411703466</v>
      </c>
      <c r="I829" s="81" cm="1">
        <f t="array" ref="I8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1.6138503412359611</v>
      </c>
      <c r="J829" s="81" cm="1">
        <f t="array" ref="J8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1.618043376224124</v>
      </c>
      <c r="K829" s="81" cm="1">
        <f t="array" ref="K8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1.6264123470216838</v>
      </c>
      <c r="L829" s="81" cm="1">
        <f t="array" ref="L8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1.6369678977489812</v>
      </c>
      <c r="M829" s="37">
        <f t="shared" si="87"/>
        <v>1.7738705851337189E-2</v>
      </c>
      <c r="N829" s="43">
        <f t="shared" si="88"/>
        <v>5.1767000656144369E-3</v>
      </c>
      <c r="O829" s="43">
        <f t="shared" si="89"/>
        <v>1.0555550727297414E-2</v>
      </c>
      <c r="P829" s="43">
        <f t="shared" si="90"/>
        <v>0.29183076313451606</v>
      </c>
      <c r="Q829" s="37">
        <f t="shared" si="91"/>
        <v>0.59505754341722228</v>
      </c>
      <c r="R829" s="37">
        <v>8.2000000000000007E-3</v>
      </c>
      <c r="S829" s="44" t="s">
        <v>1393</v>
      </c>
      <c r="T829" s="45">
        <v>0.14571856399999999</v>
      </c>
      <c r="U829" s="45">
        <v>1.3880957199999999</v>
      </c>
      <c r="V829" s="45">
        <v>1.2190739900000001</v>
      </c>
      <c r="W829" s="45">
        <v>5.8853170699999999E-2</v>
      </c>
      <c r="X829" s="45">
        <v>1.06276429E-2</v>
      </c>
      <c r="Y829" s="45">
        <v>126.468492</v>
      </c>
      <c r="Z829" s="36">
        <v>2.74</v>
      </c>
      <c r="AA829" s="38">
        <v>543</v>
      </c>
      <c r="AB829" s="38">
        <v>660</v>
      </c>
      <c r="AC829" s="49" t="s">
        <v>506</v>
      </c>
      <c r="AD829" s="49" t="s">
        <v>506</v>
      </c>
      <c r="AE829" s="48" t="str">
        <f t="shared" si="92"/>
        <v/>
      </c>
    </row>
    <row r="830" spans="1:31" ht="15" thickBot="1">
      <c r="A830" s="34">
        <v>828</v>
      </c>
      <c r="B830" s="34" t="s">
        <v>753</v>
      </c>
      <c r="C830" s="41" t="s">
        <v>1355</v>
      </c>
      <c r="D830" s="34" t="s">
        <v>711</v>
      </c>
      <c r="E830" s="80">
        <f t="shared" si="85"/>
        <v>1.5697000079545431</v>
      </c>
      <c r="F830" s="35">
        <f t="shared" si="86"/>
        <v>49.453242924266391</v>
      </c>
      <c r="G830" s="42" cm="1">
        <f t="array" ref="G83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49.158169717679122</v>
      </c>
      <c r="H830" s="81" cm="1">
        <f t="array" ref="H8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1.5662483224558814</v>
      </c>
      <c r="I830" s="81" cm="1">
        <f t="array" ref="I8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1.5697000079545431</v>
      </c>
      <c r="J830" s="81" cm="1">
        <f t="array" ref="J8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1.5724388767118942</v>
      </c>
      <c r="K830" s="81" cm="1">
        <f t="array" ref="K8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1.5777682951465903</v>
      </c>
      <c r="L830" s="81" cm="1">
        <f t="array" ref="L8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1.5842383438279972</v>
      </c>
      <c r="M830" s="37">
        <f t="shared" si="87"/>
        <v>1.1519972690708924E-2</v>
      </c>
      <c r="N830" s="43">
        <f t="shared" si="88"/>
        <v>3.4516854986617052E-3</v>
      </c>
      <c r="O830" s="43">
        <f t="shared" si="89"/>
        <v>6.4700486814068814E-3</v>
      </c>
      <c r="P830" s="43">
        <f t="shared" si="90"/>
        <v>0.29962618760768028</v>
      </c>
      <c r="Q830" s="37">
        <f t="shared" si="91"/>
        <v>0.56163750167785542</v>
      </c>
      <c r="R830" s="37">
        <v>2.0000000000000001E-4</v>
      </c>
      <c r="S830" s="44" t="s">
        <v>1393</v>
      </c>
      <c r="T830" s="45">
        <v>0.13185644699999999</v>
      </c>
      <c r="U830" s="45">
        <v>1.28686729</v>
      </c>
      <c r="V830" s="45">
        <v>1.0068252</v>
      </c>
      <c r="W830" s="45">
        <v>4.0422974600000001E-2</v>
      </c>
      <c r="X830" s="45">
        <v>8.0740738999999992E-3</v>
      </c>
      <c r="Y830" s="45">
        <v>113.574742</v>
      </c>
      <c r="Z830" s="36">
        <v>2.82</v>
      </c>
      <c r="AA830" s="38">
        <v>574</v>
      </c>
      <c r="AB830" s="38">
        <v>713</v>
      </c>
      <c r="AC830" s="49" t="s">
        <v>506</v>
      </c>
      <c r="AD830" s="49" t="s">
        <v>506</v>
      </c>
      <c r="AE830" s="48" t="str">
        <f t="shared" si="92"/>
        <v/>
      </c>
    </row>
    <row r="831" spans="1:31" ht="15" thickBot="1">
      <c r="A831" s="34">
        <v>829</v>
      </c>
      <c r="B831" s="34" t="s">
        <v>753</v>
      </c>
      <c r="C831" s="41" t="s">
        <v>1355</v>
      </c>
      <c r="D831" s="34" t="s">
        <v>592</v>
      </c>
      <c r="E831" s="80">
        <f t="shared" si="85"/>
        <v>1.5795700034614921</v>
      </c>
      <c r="F831" s="35">
        <f t="shared" si="86"/>
        <v>53.712279084968273</v>
      </c>
      <c r="G831" s="42" cm="1">
        <f t="array" ref="G83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53.422931306496572</v>
      </c>
      <c r="H831" s="81" cm="1">
        <f t="array" ref="H8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1.5763170226233112</v>
      </c>
      <c r="I831" s="81" cm="1">
        <f t="array" ref="I8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1.5795700034614921</v>
      </c>
      <c r="J831" s="81" cm="1">
        <f t="array" ref="J8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1.5821394630049042</v>
      </c>
      <c r="K831" s="81" cm="1">
        <f t="array" ref="K8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1.5871072928061247</v>
      </c>
      <c r="L831" s="81" cm="1">
        <f t="array" ref="L8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1.5930757680787835</v>
      </c>
      <c r="M831" s="37">
        <f t="shared" si="87"/>
        <v>1.0790270182813533E-2</v>
      </c>
      <c r="N831" s="43">
        <f t="shared" si="88"/>
        <v>3.25298083818093E-3</v>
      </c>
      <c r="O831" s="43">
        <f t="shared" si="89"/>
        <v>5.9684752726587575E-3</v>
      </c>
      <c r="P831" s="43">
        <f t="shared" si="90"/>
        <v>0.30147352967696722</v>
      </c>
      <c r="Q831" s="37">
        <f t="shared" si="91"/>
        <v>0.55313492355040306</v>
      </c>
      <c r="R831" s="37">
        <v>-1E-3</v>
      </c>
      <c r="S831" s="44" t="s">
        <v>1393</v>
      </c>
      <c r="T831" s="45">
        <v>1.16102167</v>
      </c>
      <c r="U831" s="45">
        <v>0.92601225499999995</v>
      </c>
      <c r="V831" s="45">
        <v>0.29093597799999998</v>
      </c>
      <c r="W831" s="45">
        <v>6.3700873600000003E-3</v>
      </c>
      <c r="X831" s="45">
        <v>107.34188899999999</v>
      </c>
      <c r="Y831" s="45">
        <v>2.6557339100000001E-2</v>
      </c>
      <c r="Z831" s="36">
        <v>3.14</v>
      </c>
      <c r="AA831" s="38">
        <v>595</v>
      </c>
      <c r="AB831" s="38">
        <v>750</v>
      </c>
      <c r="AC831" s="49" t="s">
        <v>506</v>
      </c>
      <c r="AD831" s="49" t="s">
        <v>506</v>
      </c>
      <c r="AE831" s="48" t="str">
        <f t="shared" si="92"/>
        <v/>
      </c>
    </row>
    <row r="832" spans="1:31" ht="15" thickBot="1">
      <c r="A832" s="34">
        <v>830</v>
      </c>
      <c r="B832" s="34" t="s">
        <v>753</v>
      </c>
      <c r="C832" s="41" t="s">
        <v>1355</v>
      </c>
      <c r="D832" s="34" t="s">
        <v>712</v>
      </c>
      <c r="E832" s="80">
        <f t="shared" si="85"/>
        <v>1.5826699906158692</v>
      </c>
      <c r="F832" s="35">
        <f t="shared" si="86"/>
        <v>46.598351935544422</v>
      </c>
      <c r="G832" s="42" cm="1">
        <f t="array" ref="G83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46.300175342457045</v>
      </c>
      <c r="H832" s="81" cm="1">
        <f t="array" ref="H8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1.5789421472955694</v>
      </c>
      <c r="I832" s="81" cm="1">
        <f t="array" ref="I8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1.5826699906158692</v>
      </c>
      <c r="J832" s="81" cm="1">
        <f t="array" ref="J8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1.5856405685311494</v>
      </c>
      <c r="K832" s="81" cm="1">
        <f t="array" ref="K8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1.591446237384889</v>
      </c>
      <c r="L832" s="81" cm="1">
        <f t="array" ref="L8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1.5985346930187747</v>
      </c>
      <c r="M832" s="37">
        <f t="shared" si="87"/>
        <v>1.2504090089319631E-2</v>
      </c>
      <c r="N832" s="43">
        <f t="shared" si="88"/>
        <v>3.7278433202998507E-3</v>
      </c>
      <c r="O832" s="43">
        <f t="shared" si="89"/>
        <v>7.0884556338857152E-3</v>
      </c>
      <c r="P832" s="43">
        <f t="shared" si="90"/>
        <v>0.29812991538536565</v>
      </c>
      <c r="Q832" s="37">
        <f t="shared" si="91"/>
        <v>0.5668909599380062</v>
      </c>
      <c r="R832" s="37">
        <v>5.0000000000000001E-4</v>
      </c>
      <c r="S832" s="44" t="s">
        <v>1393</v>
      </c>
      <c r="T832" s="45">
        <v>1.32811418</v>
      </c>
      <c r="U832" s="45">
        <v>0.12686519900000001</v>
      </c>
      <c r="V832" s="45">
        <v>1.0400482600000001</v>
      </c>
      <c r="W832" s="45">
        <v>8.6851075000000007E-3</v>
      </c>
      <c r="X832" s="45">
        <v>4.4078617399999999E-2</v>
      </c>
      <c r="Y832" s="45">
        <v>120.899619</v>
      </c>
      <c r="Z832" s="36">
        <v>2.91</v>
      </c>
      <c r="AA832" s="38">
        <v>577</v>
      </c>
      <c r="AB832" s="38">
        <v>726</v>
      </c>
      <c r="AC832" s="49" t="s">
        <v>506</v>
      </c>
      <c r="AD832" s="49" t="s">
        <v>506</v>
      </c>
      <c r="AE832" s="48" t="str">
        <f t="shared" si="92"/>
        <v/>
      </c>
    </row>
    <row r="833" spans="1:31" ht="15" thickBot="1">
      <c r="A833" s="34">
        <v>831</v>
      </c>
      <c r="B833" s="34" t="s">
        <v>753</v>
      </c>
      <c r="C833" s="41" t="s">
        <v>1355</v>
      </c>
      <c r="D833" s="34" t="s">
        <v>593</v>
      </c>
      <c r="E833" s="80">
        <f t="shared" si="85"/>
        <v>1.5827124543376623</v>
      </c>
      <c r="F833" s="35">
        <f t="shared" si="86"/>
        <v>46.506451216003761</v>
      </c>
      <c r="G833" s="42" cm="1">
        <f t="array" ref="G83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46.207933839820519</v>
      </c>
      <c r="H833" s="81" cm="1">
        <f t="array" ref="H8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1.578976311917035</v>
      </c>
      <c r="I833" s="81" cm="1">
        <f t="array" ref="I8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1.5827124543376623</v>
      </c>
      <c r="J833" s="81" cm="1">
        <f t="array" ref="J8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1.5856882771536815</v>
      </c>
      <c r="K833" s="81" cm="1">
        <f t="array" ref="K8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1.59150602422794</v>
      </c>
      <c r="L833" s="81" cm="1">
        <f t="array" ref="L8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1.5986200667403538</v>
      </c>
      <c r="M833" s="37">
        <f t="shared" si="87"/>
        <v>1.2529712310904939E-2</v>
      </c>
      <c r="N833" s="43">
        <f t="shared" si="88"/>
        <v>3.7361424206272531E-3</v>
      </c>
      <c r="O833" s="43">
        <f t="shared" si="89"/>
        <v>7.1140425124138762E-3</v>
      </c>
      <c r="P833" s="43">
        <f t="shared" si="90"/>
        <v>0.29818261807779817</v>
      </c>
      <c r="Q833" s="37">
        <f t="shared" si="91"/>
        <v>0.56777381123286741</v>
      </c>
      <c r="R833" s="37">
        <v>6.9999999999999999E-4</v>
      </c>
      <c r="S833" s="44" t="s">
        <v>1394</v>
      </c>
      <c r="T833" s="45">
        <v>2.4514719999999999</v>
      </c>
      <c r="U833" s="45">
        <v>-6.5118878999999999E-3</v>
      </c>
      <c r="V833" s="45">
        <v>1.9377341999999999E-2</v>
      </c>
      <c r="W833" s="45">
        <v>-3.0637646999999999E-4</v>
      </c>
      <c r="X833" s="45">
        <v>1.0174985E-4</v>
      </c>
      <c r="Y833" s="45">
        <v>-3.9270356000000002E-6</v>
      </c>
      <c r="Z833" s="36">
        <v>3.28</v>
      </c>
      <c r="AA833" s="38">
        <v>528</v>
      </c>
      <c r="AB833" s="38"/>
      <c r="AC833" s="49" t="s">
        <v>506</v>
      </c>
      <c r="AD833" s="49" t="s">
        <v>506</v>
      </c>
      <c r="AE833" s="48" t="str">
        <f t="shared" si="92"/>
        <v/>
      </c>
    </row>
    <row r="834" spans="1:31" ht="15" thickBot="1">
      <c r="A834" s="34">
        <v>832</v>
      </c>
      <c r="B834" s="34" t="s">
        <v>753</v>
      </c>
      <c r="C834" s="41" t="s">
        <v>1355</v>
      </c>
      <c r="D834" s="34" t="s">
        <v>594</v>
      </c>
      <c r="E834" s="80">
        <f t="shared" si="85"/>
        <v>1.6056200033253814</v>
      </c>
      <c r="F834" s="35">
        <f t="shared" si="86"/>
        <v>43.876156591588817</v>
      </c>
      <c r="G834" s="42" cm="1">
        <f t="array" ref="G83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43.584719393862578</v>
      </c>
      <c r="H834" s="81" cm="1">
        <f t="array" ref="H8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1.6015192310657602</v>
      </c>
      <c r="I834" s="81" cm="1">
        <f t="array" ref="I8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1.6056200033253814</v>
      </c>
      <c r="J834" s="81" cm="1">
        <f t="array" ref="J8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1.608895757841083</v>
      </c>
      <c r="K834" s="81" cm="1">
        <f t="array" ref="K8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1.6153221721246742</v>
      </c>
      <c r="L834" s="81" cm="1">
        <f t="array" ref="L8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1.6232215144710214</v>
      </c>
      <c r="M834" s="37">
        <f t="shared" si="87"/>
        <v>1.3802941058913998E-2</v>
      </c>
      <c r="N834" s="43">
        <f t="shared" si="88"/>
        <v>4.1007722596211327E-3</v>
      </c>
      <c r="O834" s="43">
        <f t="shared" si="89"/>
        <v>7.899342346347149E-3</v>
      </c>
      <c r="P834" s="43">
        <f t="shared" si="90"/>
        <v>0.29709409336156201</v>
      </c>
      <c r="Q834" s="37">
        <f t="shared" si="91"/>
        <v>0.57229414460519779</v>
      </c>
      <c r="R834" s="37">
        <v>1.2999999999999999E-3</v>
      </c>
      <c r="S834" s="44" t="s">
        <v>1393</v>
      </c>
      <c r="T834" s="45">
        <v>1.06904566</v>
      </c>
      <c r="U834" s="45">
        <v>0.10415750999999999</v>
      </c>
      <c r="V834" s="45">
        <v>1.41843612</v>
      </c>
      <c r="W834" s="45">
        <v>112.00396499999999</v>
      </c>
      <c r="X834" s="45">
        <v>5.1610358699999997E-2</v>
      </c>
      <c r="Y834" s="45">
        <v>9.5649317899999999E-3</v>
      </c>
      <c r="Z834" s="36">
        <v>2.97</v>
      </c>
      <c r="AA834" s="38">
        <v>576</v>
      </c>
      <c r="AB834" s="38">
        <v>692</v>
      </c>
      <c r="AC834" s="49" t="s">
        <v>506</v>
      </c>
      <c r="AD834" s="49" t="s">
        <v>506</v>
      </c>
      <c r="AE834" s="48" t="str">
        <f t="shared" si="92"/>
        <v/>
      </c>
    </row>
    <row r="835" spans="1:31" ht="15" thickBot="1">
      <c r="A835" s="34">
        <v>833</v>
      </c>
      <c r="B835" s="34" t="s">
        <v>753</v>
      </c>
      <c r="C835" s="41" t="s">
        <v>1355</v>
      </c>
      <c r="D835" s="34" t="s">
        <v>595</v>
      </c>
      <c r="E835" s="80">
        <f t="shared" ref="E835:E898" si="93">I835</f>
        <v>1.6080100138160385</v>
      </c>
      <c r="F835" s="35">
        <f t="shared" ref="F835:F898" si="94">(I835-1)/M835</f>
        <v>46.202980074511522</v>
      </c>
      <c r="G835" s="42" cm="1">
        <f t="array" ref="G83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45.903259216477942</v>
      </c>
      <c r="H835" s="81" cm="1">
        <f t="array" ref="H8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1.6040900750999698</v>
      </c>
      <c r="I835" s="81" cm="1">
        <f t="array" ref="I8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1.6080100138160385</v>
      </c>
      <c r="J835" s="81" cm="1">
        <f t="array" ref="J8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1.611135548632999</v>
      </c>
      <c r="K835" s="81" cm="1">
        <f t="array" ref="K8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1.6172496161693013</v>
      </c>
      <c r="L835" s="81" cm="1">
        <f t="array" ref="L8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1.6247253402061326</v>
      </c>
      <c r="M835" s="37">
        <f t="shared" ref="M835:M898" si="95">K835-H835</f>
        <v>1.3159541069331482E-2</v>
      </c>
      <c r="N835" s="43">
        <f t="shared" ref="N835:N898" si="96">I835-H835</f>
        <v>3.9199387160686605E-3</v>
      </c>
      <c r="O835" s="43">
        <f t="shared" ref="O835:O898" si="97">L835-K835</f>
        <v>7.4757240368312772E-3</v>
      </c>
      <c r="P835" s="43">
        <f t="shared" ref="P835:P898" si="98">(I835-H835)/M835</f>
        <v>0.2978780715388426</v>
      </c>
      <c r="Q835" s="37">
        <f t="shared" ref="Q835:Q898" si="99">(L835-K835)/M835</f>
        <v>0.56808394741466861</v>
      </c>
      <c r="R835" s="37">
        <v>1E-3</v>
      </c>
      <c r="S835" s="44" t="s">
        <v>1393</v>
      </c>
      <c r="T835" s="45">
        <v>1.06475107</v>
      </c>
      <c r="U835" s="45">
        <v>1.3863880900000001</v>
      </c>
      <c r="V835" s="45">
        <v>0.14616146199999999</v>
      </c>
      <c r="W835" s="45">
        <v>115.35395</v>
      </c>
      <c r="X835" s="45">
        <v>8.5330094700000001E-3</v>
      </c>
      <c r="Y835" s="45">
        <v>4.3743470299999997E-2</v>
      </c>
      <c r="Z835" s="36">
        <v>3.11</v>
      </c>
      <c r="AA835" s="38">
        <v>597</v>
      </c>
      <c r="AB835" s="38">
        <v>726</v>
      </c>
      <c r="AC835" s="49" t="s">
        <v>506</v>
      </c>
      <c r="AD835" s="49" t="s">
        <v>506</v>
      </c>
      <c r="AE835" s="48" t="str">
        <f t="shared" si="92"/>
        <v/>
      </c>
    </row>
    <row r="836" spans="1:31" ht="15" thickBot="1">
      <c r="A836" s="34">
        <v>834</v>
      </c>
      <c r="B836" s="34" t="s">
        <v>753</v>
      </c>
      <c r="C836" s="41" t="s">
        <v>1355</v>
      </c>
      <c r="D836" s="34" t="s">
        <v>713</v>
      </c>
      <c r="E836" s="80">
        <f t="shared" si="93"/>
        <v>1.614130018482401</v>
      </c>
      <c r="F836" s="35">
        <f t="shared" si="94"/>
        <v>39.985811342603419</v>
      </c>
      <c r="G836" s="42" cm="1">
        <f t="array" ref="G83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39.704476681813517</v>
      </c>
      <c r="H836" s="81" cm="1">
        <f t="array" ref="H8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1.6095957942537855</v>
      </c>
      <c r="I836" s="81" cm="1">
        <f t="array" ref="I8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1.614130018482401</v>
      </c>
      <c r="J836" s="81" cm="1">
        <f t="array" ref="J8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1.6177710952489428</v>
      </c>
      <c r="K836" s="81" cm="1">
        <f t="array" ref="K8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1.6249544926986028</v>
      </c>
      <c r="L836" s="81" cm="1">
        <f t="array" ref="L8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1.6338496892318417</v>
      </c>
      <c r="M836" s="37">
        <f t="shared" si="95"/>
        <v>1.5358698444817298E-2</v>
      </c>
      <c r="N836" s="43">
        <f t="shared" si="96"/>
        <v>4.534224228615491E-3</v>
      </c>
      <c r="O836" s="43">
        <f t="shared" si="97"/>
        <v>8.8951965332388916E-3</v>
      </c>
      <c r="P836" s="43">
        <f t="shared" si="98"/>
        <v>0.29522190600373027</v>
      </c>
      <c r="Q836" s="37">
        <f t="shared" si="99"/>
        <v>0.57916343401094139</v>
      </c>
      <c r="R836" s="37">
        <v>1.5E-3</v>
      </c>
      <c r="S836" s="44" t="s">
        <v>1393</v>
      </c>
      <c r="T836" s="45">
        <v>1.08754258</v>
      </c>
      <c r="U836" s="45">
        <v>1.4161800099999999</v>
      </c>
      <c r="V836" s="45">
        <v>0.12698713</v>
      </c>
      <c r="W836" s="45">
        <v>117.53598100000001</v>
      </c>
      <c r="X836" s="45">
        <v>1.00875311E-2</v>
      </c>
      <c r="Y836" s="45">
        <v>5.2600668199999999E-2</v>
      </c>
      <c r="Z836" s="36">
        <v>2.88</v>
      </c>
      <c r="AA836" s="38">
        <v>587</v>
      </c>
      <c r="AB836" s="38">
        <v>712</v>
      </c>
      <c r="AC836" s="49" t="s">
        <v>506</v>
      </c>
      <c r="AD836" s="49" t="s">
        <v>506</v>
      </c>
      <c r="AE836" s="48" t="str">
        <f t="shared" si="92"/>
        <v/>
      </c>
    </row>
    <row r="837" spans="1:31" ht="15" thickBot="1">
      <c r="A837" s="34">
        <v>835</v>
      </c>
      <c r="B837" s="34" t="s">
        <v>753</v>
      </c>
      <c r="C837" s="41" t="s">
        <v>1355</v>
      </c>
      <c r="D837" s="34" t="s">
        <v>596</v>
      </c>
      <c r="E837" s="80">
        <f t="shared" si="93"/>
        <v>1.614130816196756</v>
      </c>
      <c r="F837" s="35">
        <f t="shared" si="94"/>
        <v>40.026222577733513</v>
      </c>
      <c r="G837" s="42" cm="1">
        <f t="array" ref="G83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39.745779311553861</v>
      </c>
      <c r="H837" s="81" cm="1">
        <f t="array" ref="H8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1.6096032593251095</v>
      </c>
      <c r="I837" s="81" cm="1">
        <f t="array" ref="I8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1.614130816196756</v>
      </c>
      <c r="J837" s="81" cm="1">
        <f t="array" ref="J8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1.61777148499673</v>
      </c>
      <c r="K837" s="81" cm="1">
        <f t="array" ref="K8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1.6249464712658335</v>
      </c>
      <c r="L837" s="81" cm="1">
        <f t="array" ref="L8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1.6337944892516079</v>
      </c>
      <c r="M837" s="37">
        <f t="shared" si="95"/>
        <v>1.5343211940723966E-2</v>
      </c>
      <c r="N837" s="43">
        <f t="shared" si="96"/>
        <v>4.5275568716465209E-3</v>
      </c>
      <c r="O837" s="43">
        <f t="shared" si="97"/>
        <v>8.8480179857743924E-3</v>
      </c>
      <c r="P837" s="43">
        <f t="shared" si="98"/>
        <v>0.29508533735556863</v>
      </c>
      <c r="Q837" s="37">
        <f t="shared" si="99"/>
        <v>0.57667312554615602</v>
      </c>
      <c r="R837" s="37">
        <v>1E-4</v>
      </c>
      <c r="S837" s="44" t="s">
        <v>1394</v>
      </c>
      <c r="T837" s="45">
        <v>2.5436415999999999</v>
      </c>
      <c r="U837" s="45">
        <v>-8.6925215999999993E-3</v>
      </c>
      <c r="V837" s="45">
        <v>2.0049192E-2</v>
      </c>
      <c r="W837" s="45">
        <v>8.9795352000000004E-4</v>
      </c>
      <c r="X837" s="45">
        <v>-4.9734473000000002E-5</v>
      </c>
      <c r="Y837" s="45">
        <v>5.3556E-6</v>
      </c>
      <c r="Z837" s="36">
        <v>3.56</v>
      </c>
      <c r="AA837" s="38">
        <v>474</v>
      </c>
      <c r="AB837" s="38"/>
      <c r="AC837" s="49" t="s">
        <v>506</v>
      </c>
      <c r="AD837" s="49" t="s">
        <v>506</v>
      </c>
      <c r="AE837" s="48" t="str">
        <f t="shared" si="92"/>
        <v/>
      </c>
    </row>
    <row r="838" spans="1:31" ht="15" thickBot="1">
      <c r="A838" s="34">
        <v>836</v>
      </c>
      <c r="B838" s="34" t="s">
        <v>753</v>
      </c>
      <c r="C838" s="41" t="s">
        <v>1355</v>
      </c>
      <c r="D838" s="34" t="s">
        <v>597</v>
      </c>
      <c r="E838" s="80">
        <f t="shared" si="93"/>
        <v>1.6260400233820842</v>
      </c>
      <c r="F838" s="35">
        <f t="shared" si="94"/>
        <v>39.072113230555388</v>
      </c>
      <c r="G838" s="42" cm="1">
        <f t="array" ref="G83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38.7919524437389</v>
      </c>
      <c r="H838" s="81" cm="1">
        <f t="array" ref="H8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1.6213187819027179</v>
      </c>
      <c r="I838" s="81" cm="1">
        <f t="array" ref="I8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1.6260400233820842</v>
      </c>
      <c r="J838" s="81" cm="1">
        <f t="array" ref="J8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1.6298373720077464</v>
      </c>
      <c r="K838" s="81" cm="1">
        <f t="array" ref="K8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1.6373414633401915</v>
      </c>
      <c r="L838" s="81" cm="1">
        <f t="array" ref="L8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1.6466528962581837</v>
      </c>
      <c r="M838" s="37">
        <f t="shared" si="95"/>
        <v>1.602268143747354E-2</v>
      </c>
      <c r="N838" s="43">
        <f t="shared" si="96"/>
        <v>4.721241479366256E-3</v>
      </c>
      <c r="O838" s="43">
        <f t="shared" si="97"/>
        <v>9.3114329179921906E-3</v>
      </c>
      <c r="P838" s="43">
        <f t="shared" si="98"/>
        <v>0.29465988559969164</v>
      </c>
      <c r="Q838" s="37">
        <f t="shared" si="99"/>
        <v>0.58114073816725764</v>
      </c>
      <c r="R838" s="37">
        <v>1.9E-3</v>
      </c>
      <c r="S838" s="44" t="s">
        <v>1393</v>
      </c>
      <c r="T838" s="45">
        <v>1.1882850700000001</v>
      </c>
      <c r="U838" s="45">
        <v>1.43848614</v>
      </c>
      <c r="V838" s="45">
        <v>0.14000238500000001</v>
      </c>
      <c r="W838" s="45">
        <v>128.44696200000001</v>
      </c>
      <c r="X838" s="45">
        <v>1.0163755199999999E-2</v>
      </c>
      <c r="Y838" s="45">
        <v>5.2458257299999998E-2</v>
      </c>
      <c r="Z838" s="36">
        <v>2.96</v>
      </c>
      <c r="AA838" s="38">
        <v>570</v>
      </c>
      <c r="AB838" s="38">
        <v>702</v>
      </c>
      <c r="AC838" s="49" t="s">
        <v>506</v>
      </c>
      <c r="AD838" s="49" t="s">
        <v>506</v>
      </c>
      <c r="AE838" s="48" t="str">
        <f t="shared" si="92"/>
        <v/>
      </c>
    </row>
    <row r="839" spans="1:31" ht="15" thickBot="1">
      <c r="A839" s="34">
        <v>837</v>
      </c>
      <c r="B839" s="34" t="s">
        <v>753</v>
      </c>
      <c r="C839" s="41" t="s">
        <v>1355</v>
      </c>
      <c r="D839" s="34" t="s">
        <v>598</v>
      </c>
      <c r="E839" s="80">
        <f t="shared" si="93"/>
        <v>1.6223000147935493</v>
      </c>
      <c r="F839" s="35">
        <f t="shared" si="94"/>
        <v>53.171505478383878</v>
      </c>
      <c r="G839" s="42" cm="1">
        <f t="array" ref="G83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52.879334847308819</v>
      </c>
      <c r="H839" s="81" cm="1">
        <f t="array" ref="H8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1.6187752873116745</v>
      </c>
      <c r="I839" s="81" cm="1">
        <f t="array" ref="I8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1.6223000147935493</v>
      </c>
      <c r="J839" s="81" cm="1">
        <f t="array" ref="J8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1.625086592647607</v>
      </c>
      <c r="K839" s="81" cm="1">
        <f t="array" ref="K8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1.6304789246112905</v>
      </c>
      <c r="L839" s="81" cm="1">
        <f t="array" ref="L8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1.6369662956881896</v>
      </c>
      <c r="M839" s="37">
        <f t="shared" si="95"/>
        <v>1.1703637299615988E-2</v>
      </c>
      <c r="N839" s="43">
        <f t="shared" si="96"/>
        <v>3.5247274818748231E-3</v>
      </c>
      <c r="O839" s="43">
        <f t="shared" si="97"/>
        <v>6.4873710768991177E-3</v>
      </c>
      <c r="P839" s="43">
        <f t="shared" si="98"/>
        <v>0.30116513282502988</v>
      </c>
      <c r="Q839" s="37">
        <f t="shared" si="99"/>
        <v>0.55430383827017415</v>
      </c>
      <c r="R839" s="37">
        <v>-8.9999999999999998E-4</v>
      </c>
      <c r="S839" s="44" t="s">
        <v>1393</v>
      </c>
      <c r="T839" s="45">
        <v>1.05607188</v>
      </c>
      <c r="U839" s="45">
        <v>1.45456542</v>
      </c>
      <c r="V839" s="45">
        <v>0.12903571799999999</v>
      </c>
      <c r="W839" s="45">
        <v>114.460233</v>
      </c>
      <c r="X839" s="45">
        <v>8.4026804899999998E-3</v>
      </c>
      <c r="Y839" s="45">
        <v>3.6305429E-2</v>
      </c>
      <c r="Z839" s="36">
        <v>3.57</v>
      </c>
      <c r="AA839" s="38">
        <v>672</v>
      </c>
      <c r="AB839" s="38">
        <v>802</v>
      </c>
      <c r="AC839" s="49" t="s">
        <v>506</v>
      </c>
      <c r="AD839" s="49" t="s">
        <v>506</v>
      </c>
      <c r="AE839" s="48" t="str">
        <f t="shared" si="92"/>
        <v/>
      </c>
    </row>
    <row r="840" spans="1:31" ht="15" thickBot="1">
      <c r="A840" s="34">
        <v>838</v>
      </c>
      <c r="B840" s="34" t="s">
        <v>753</v>
      </c>
      <c r="C840" s="41" t="s">
        <v>1355</v>
      </c>
      <c r="D840" s="34" t="s">
        <v>599</v>
      </c>
      <c r="E840" s="80">
        <f t="shared" si="93"/>
        <v>1.6396155377835144</v>
      </c>
      <c r="F840" s="35">
        <f t="shared" si="94"/>
        <v>48.231036402957983</v>
      </c>
      <c r="G840" s="42" cm="1">
        <f t="array" ref="G84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47.94157399336283</v>
      </c>
      <c r="H840" s="81" cm="1">
        <f t="array" ref="H8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1.6356475973579077</v>
      </c>
      <c r="I840" s="81" cm="1">
        <f t="array" ref="I8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1.6396155377835144</v>
      </c>
      <c r="J840" s="81" cm="1">
        <f t="array" ref="J8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1.6427701893444446</v>
      </c>
      <c r="K840" s="81" cm="1">
        <f t="array" ref="K8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1.6489090900706018</v>
      </c>
      <c r="L840" s="81" cm="1">
        <f t="array" ref="L8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1.6563569462570074</v>
      </c>
      <c r="M840" s="37">
        <f t="shared" si="95"/>
        <v>1.3261492712694167E-2</v>
      </c>
      <c r="N840" s="43">
        <f t="shared" si="96"/>
        <v>3.9679404256067752E-3</v>
      </c>
      <c r="O840" s="43">
        <f t="shared" si="97"/>
        <v>7.4478561864055326E-3</v>
      </c>
      <c r="P840" s="43">
        <f t="shared" si="98"/>
        <v>0.29920767681066424</v>
      </c>
      <c r="Q840" s="37">
        <f t="shared" si="99"/>
        <v>0.56161522294366573</v>
      </c>
      <c r="R840" s="37">
        <v>-2E-3</v>
      </c>
      <c r="S840" s="44" t="s">
        <v>1394</v>
      </c>
      <c r="T840" s="45">
        <v>2.6324147</v>
      </c>
      <c r="U840" s="45">
        <v>-8.7251762000000004E-3</v>
      </c>
      <c r="V840" s="45">
        <v>1.9124301999999999E-2</v>
      </c>
      <c r="W840" s="45">
        <v>4.4859331000000001E-4</v>
      </c>
      <c r="X840" s="45">
        <v>-1.7473295000000001E-5</v>
      </c>
      <c r="Y840" s="45">
        <v>2.8601145E-6</v>
      </c>
      <c r="Z840" s="36">
        <v>3.83</v>
      </c>
      <c r="AA840" s="38">
        <v>621</v>
      </c>
      <c r="AB840" s="38"/>
      <c r="AC840" s="49" t="s">
        <v>506</v>
      </c>
      <c r="AD840" s="49" t="s">
        <v>506</v>
      </c>
      <c r="AE840" s="48" t="str">
        <f t="shared" si="92"/>
        <v/>
      </c>
    </row>
    <row r="841" spans="1:31" ht="15" thickBot="1">
      <c r="A841" s="34">
        <v>839</v>
      </c>
      <c r="B841" s="34" t="s">
        <v>753</v>
      </c>
      <c r="C841" s="41" t="s">
        <v>1355</v>
      </c>
      <c r="D841" s="34" t="s">
        <v>600</v>
      </c>
      <c r="E841" s="80">
        <f t="shared" si="93"/>
        <v>1.6569100200466818</v>
      </c>
      <c r="F841" s="35">
        <f t="shared" si="94"/>
        <v>51.12199491205115</v>
      </c>
      <c r="G841" s="42" cm="1">
        <f t="array" ref="G84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50.824162665471945</v>
      </c>
      <c r="H841" s="81" cm="1">
        <f t="array" ref="H8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1.6530535144695928</v>
      </c>
      <c r="I841" s="81" cm="1">
        <f t="array" ref="I8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1.6569100200466818</v>
      </c>
      <c r="J841" s="81" cm="1">
        <f t="array" ref="J8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1.6599676535671486</v>
      </c>
      <c r="K841" s="81" cm="1">
        <f t="array" ref="K8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1.6659033655205311</v>
      </c>
      <c r="L841" s="81" cm="1">
        <f t="array" ref="L8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1.6730746324318599</v>
      </c>
      <c r="M841" s="37">
        <f t="shared" si="95"/>
        <v>1.2849851050938277E-2</v>
      </c>
      <c r="N841" s="43">
        <f t="shared" si="96"/>
        <v>3.8565055770889423E-3</v>
      </c>
      <c r="O841" s="43">
        <f t="shared" si="97"/>
        <v>7.1712669113288552E-3</v>
      </c>
      <c r="P841" s="43">
        <f t="shared" si="98"/>
        <v>0.3001206443406475</v>
      </c>
      <c r="Q841" s="37">
        <f t="shared" si="99"/>
        <v>0.55808171494760006</v>
      </c>
      <c r="R841" s="37">
        <v>-5.9999999999999995E-4</v>
      </c>
      <c r="S841" s="44" t="s">
        <v>1393</v>
      </c>
      <c r="T841" s="45">
        <v>0.17555174600000001</v>
      </c>
      <c r="U841" s="45">
        <v>1.51566987</v>
      </c>
      <c r="V841" s="45">
        <v>1.11140587</v>
      </c>
      <c r="W841" s="45">
        <v>3.6080466399999997E-2</v>
      </c>
      <c r="X841" s="45">
        <v>8.2304367900000001E-3</v>
      </c>
      <c r="Y841" s="45">
        <v>113.99153699999999</v>
      </c>
      <c r="Z841" s="36">
        <v>3.77</v>
      </c>
      <c r="AA841" s="38">
        <v>652</v>
      </c>
      <c r="AB841" s="38">
        <v>757</v>
      </c>
      <c r="AC841" s="49" t="s">
        <v>506</v>
      </c>
      <c r="AD841" s="49" t="s">
        <v>506</v>
      </c>
      <c r="AE841" s="48" t="str">
        <f t="shared" si="92"/>
        <v/>
      </c>
    </row>
    <row r="842" spans="1:31" ht="15" thickBot="1">
      <c r="A842" s="34">
        <v>840</v>
      </c>
      <c r="B842" s="34" t="s">
        <v>753</v>
      </c>
      <c r="C842" s="41" t="s">
        <v>1355</v>
      </c>
      <c r="D842" s="34" t="s">
        <v>601</v>
      </c>
      <c r="E842" s="80">
        <f t="shared" si="93"/>
        <v>1.6642600259465383</v>
      </c>
      <c r="F842" s="35">
        <f t="shared" si="94"/>
        <v>35.484693024891385</v>
      </c>
      <c r="G842" s="42" cm="1">
        <f t="array" ref="G84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35.217135454242765</v>
      </c>
      <c r="H842" s="81" cm="1">
        <f t="array" ref="H8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1.6587798606947062</v>
      </c>
      <c r="I842" s="81" cm="1">
        <f t="array" ref="I8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1.6642600259465383</v>
      </c>
      <c r="J842" s="81" cm="1">
        <f t="array" ref="J8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1.6686900963584936</v>
      </c>
      <c r="K842" s="81" cm="1">
        <f t="array" ref="K8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1.6774994822926887</v>
      </c>
      <c r="L842" s="81" cm="1">
        <f t="array" ref="L8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1.6885352853305682</v>
      </c>
      <c r="M842" s="37">
        <f t="shared" si="95"/>
        <v>1.8719621597982572E-2</v>
      </c>
      <c r="N842" s="43">
        <f t="shared" si="96"/>
        <v>5.4801652518321475E-3</v>
      </c>
      <c r="O842" s="43">
        <f t="shared" si="97"/>
        <v>1.1035803037879433E-2</v>
      </c>
      <c r="P842" s="43">
        <f t="shared" si="98"/>
        <v>0.29274978787085892</v>
      </c>
      <c r="Q842" s="37">
        <f t="shared" si="99"/>
        <v>0.58953130970707068</v>
      </c>
      <c r="R842" s="37">
        <v>4.1999999999999997E-3</v>
      </c>
      <c r="S842" s="44" t="s">
        <v>1393</v>
      </c>
      <c r="T842" s="45">
        <v>0.151466661</v>
      </c>
      <c r="U842" s="45">
        <v>1.5402013299999999</v>
      </c>
      <c r="V842" s="45">
        <v>1.18737385</v>
      </c>
      <c r="W842" s="45">
        <v>5.7183104499999998E-2</v>
      </c>
      <c r="X842" s="45">
        <v>1.1158713799999999E-2</v>
      </c>
      <c r="Y842" s="45">
        <v>120.12894799999999</v>
      </c>
      <c r="Z842" s="36">
        <v>3.11</v>
      </c>
      <c r="AA842" s="38">
        <v>605</v>
      </c>
      <c r="AB842" s="38">
        <v>724</v>
      </c>
      <c r="AC842" s="49" t="s">
        <v>506</v>
      </c>
      <c r="AD842" s="49" t="s">
        <v>506</v>
      </c>
      <c r="AE842" s="48" t="str">
        <f t="shared" si="92"/>
        <v/>
      </c>
    </row>
    <row r="843" spans="1:31" ht="15" thickBot="1">
      <c r="A843" s="34">
        <v>841</v>
      </c>
      <c r="B843" s="34" t="s">
        <v>753</v>
      </c>
      <c r="C843" s="41" t="s">
        <v>1355</v>
      </c>
      <c r="D843" s="34" t="s">
        <v>602</v>
      </c>
      <c r="E843" s="80">
        <f t="shared" si="93"/>
        <v>1.6710299873315115</v>
      </c>
      <c r="F843" s="35">
        <f t="shared" si="94"/>
        <v>47.289535791071614</v>
      </c>
      <c r="G843" s="42" cm="1">
        <f t="array" ref="G84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46.995710387680852</v>
      </c>
      <c r="H843" s="81" cm="1">
        <f t="array" ref="H8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1.6667941993056887</v>
      </c>
      <c r="I843" s="81" cm="1">
        <f t="array" ref="I8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1.6710299873315115</v>
      </c>
      <c r="J843" s="81" cm="1">
        <f t="array" ref="J8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1.6744041498373321</v>
      </c>
      <c r="K843" s="81" cm="1">
        <f t="array" ref="K8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1.6809840190217495</v>
      </c>
      <c r="L843" s="81" cm="1">
        <f t="array" ref="L8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1.6889749372667773</v>
      </c>
      <c r="M843" s="37">
        <f t="shared" si="95"/>
        <v>1.4189819716060814E-2</v>
      </c>
      <c r="N843" s="43">
        <f t="shared" si="96"/>
        <v>4.2357880258228064E-3</v>
      </c>
      <c r="O843" s="43">
        <f t="shared" si="97"/>
        <v>7.9909182450277338E-3</v>
      </c>
      <c r="P843" s="43">
        <f t="shared" si="98"/>
        <v>0.29850893884356472</v>
      </c>
      <c r="Q843" s="37">
        <f t="shared" si="99"/>
        <v>0.56314445179195449</v>
      </c>
      <c r="R843" s="37">
        <v>-2E-3</v>
      </c>
      <c r="S843" s="44" t="s">
        <v>1393</v>
      </c>
      <c r="T843" s="45">
        <v>0.26513561099999999</v>
      </c>
      <c r="U843" s="45">
        <v>1.46645391</v>
      </c>
      <c r="V843" s="45">
        <v>1.6821220800000001</v>
      </c>
      <c r="W843" s="45">
        <v>3.4292863700000002E-2</v>
      </c>
      <c r="X843" s="45">
        <v>7.9932664400000006E-3</v>
      </c>
      <c r="Y843" s="45">
        <v>179.12416200000001</v>
      </c>
      <c r="Z843" s="36">
        <v>3.58</v>
      </c>
      <c r="AA843" s="38">
        <v>583</v>
      </c>
      <c r="AB843" s="38">
        <v>728</v>
      </c>
      <c r="AC843" s="49" t="s">
        <v>506</v>
      </c>
      <c r="AD843" s="49" t="s">
        <v>506</v>
      </c>
      <c r="AE843" s="48" t="str">
        <f t="shared" si="92"/>
        <v/>
      </c>
    </row>
    <row r="844" spans="1:31" ht="15" thickBot="1">
      <c r="A844" s="34">
        <v>842</v>
      </c>
      <c r="B844" s="34" t="s">
        <v>753</v>
      </c>
      <c r="C844" s="41" t="s">
        <v>1355</v>
      </c>
      <c r="D844" s="34" t="s">
        <v>603</v>
      </c>
      <c r="E844" s="80">
        <f t="shared" si="93"/>
        <v>1.6667199858666384</v>
      </c>
      <c r="F844" s="35">
        <f t="shared" si="94"/>
        <v>48.422315360293751</v>
      </c>
      <c r="G844" s="42" cm="1">
        <f t="array" ref="G84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48.130265564450561</v>
      </c>
      <c r="H844" s="81" cm="1">
        <f t="array" ref="H8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1.6626016079193988</v>
      </c>
      <c r="I844" s="81" cm="1">
        <f t="array" ref="I8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1.6667199858666384</v>
      </c>
      <c r="J844" s="81" cm="1">
        <f t="array" ref="J8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1.6699954985093948</v>
      </c>
      <c r="K844" s="81" cm="1">
        <f t="array" ref="K8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1.6763704659532579</v>
      </c>
      <c r="L844" s="81" cm="1">
        <f t="array" ref="L8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1.6840914472835216</v>
      </c>
      <c r="M844" s="37">
        <f t="shared" si="95"/>
        <v>1.3768858033859077E-2</v>
      </c>
      <c r="N844" s="43">
        <f t="shared" si="96"/>
        <v>4.118377947239571E-3</v>
      </c>
      <c r="O844" s="43">
        <f t="shared" si="97"/>
        <v>7.7209813302636654E-3</v>
      </c>
      <c r="P844" s="43">
        <f t="shared" si="98"/>
        <v>0.29910817128857342</v>
      </c>
      <c r="Q844" s="37">
        <f t="shared" si="99"/>
        <v>0.56075684063826903</v>
      </c>
      <c r="R844" s="37">
        <v>-2.5999999999999999E-3</v>
      </c>
      <c r="S844" s="44" t="s">
        <v>1393</v>
      </c>
      <c r="T844" s="45">
        <v>0.18224763999999999</v>
      </c>
      <c r="U844" s="45">
        <v>1.5366480499999999</v>
      </c>
      <c r="V844" s="45">
        <v>1.2307216999999999</v>
      </c>
      <c r="W844" s="45">
        <v>3.6848458899999999E-2</v>
      </c>
      <c r="X844" s="45">
        <v>8.8564742000000005E-3</v>
      </c>
      <c r="Y844" s="45">
        <v>134.12469400000001</v>
      </c>
      <c r="Z844" s="36">
        <v>3.59</v>
      </c>
      <c r="AA844" s="38">
        <v>589</v>
      </c>
      <c r="AB844" s="38">
        <v>724</v>
      </c>
      <c r="AC844" s="49" t="s">
        <v>506</v>
      </c>
      <c r="AD844" s="49" t="s">
        <v>506</v>
      </c>
      <c r="AE844" s="48" t="str">
        <f t="shared" si="92"/>
        <v/>
      </c>
    </row>
    <row r="845" spans="1:31" ht="15" thickBot="1">
      <c r="A845" s="34">
        <v>843</v>
      </c>
      <c r="B845" s="34" t="s">
        <v>753</v>
      </c>
      <c r="C845" s="41" t="s">
        <v>1355</v>
      </c>
      <c r="D845" s="34" t="s">
        <v>604</v>
      </c>
      <c r="E845" s="80">
        <f t="shared" si="93"/>
        <v>1.6675537617934328</v>
      </c>
      <c r="F845" s="35">
        <f t="shared" si="94"/>
        <v>41.957725039663011</v>
      </c>
      <c r="G845" s="42" cm="1">
        <f t="array" ref="G84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41.671457852367517</v>
      </c>
      <c r="H845" s="81" cm="1">
        <f t="array" ref="H8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1.6628422227683683</v>
      </c>
      <c r="I845" s="81" cm="1">
        <f t="array" ref="I8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1.6675537617934328</v>
      </c>
      <c r="J845" s="81" cm="1">
        <f t="array" ref="J8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1.6713297143280637</v>
      </c>
      <c r="K845" s="81" cm="1">
        <f t="array" ref="K8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1.678752374264008</v>
      </c>
      <c r="L845" s="81" cm="1">
        <f t="array" ref="L8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1.6878877722140113</v>
      </c>
      <c r="M845" s="37">
        <f t="shared" si="95"/>
        <v>1.5910151495639679E-2</v>
      </c>
      <c r="N845" s="43">
        <f t="shared" si="96"/>
        <v>4.7115390250644928E-3</v>
      </c>
      <c r="O845" s="43">
        <f t="shared" si="97"/>
        <v>9.1353979500032878E-3</v>
      </c>
      <c r="P845" s="43">
        <f t="shared" si="98"/>
        <v>0.29613413966270102</v>
      </c>
      <c r="Q845" s="37">
        <f t="shared" si="99"/>
        <v>0.5741867355887168</v>
      </c>
      <c r="R845" s="37">
        <v>-1.4E-3</v>
      </c>
      <c r="S845" s="44" t="s">
        <v>1394</v>
      </c>
      <c r="T845" s="45">
        <v>2.7114815000000001</v>
      </c>
      <c r="U845" s="45">
        <v>-8.3031046999999993E-3</v>
      </c>
      <c r="V845" s="45">
        <v>2.3733194999999999E-2</v>
      </c>
      <c r="W845" s="45">
        <v>2.8197729000000002E-4</v>
      </c>
      <c r="X845" s="45">
        <v>3.9409899000000001E-5</v>
      </c>
      <c r="Y845" s="45">
        <v>7.1756264999999995E-7</v>
      </c>
      <c r="Z845" s="36">
        <v>3.8</v>
      </c>
      <c r="AA845" s="38">
        <v>584</v>
      </c>
      <c r="AB845" s="38"/>
      <c r="AC845" s="49" t="s">
        <v>506</v>
      </c>
      <c r="AD845" s="49" t="s">
        <v>506</v>
      </c>
      <c r="AE845" s="48" t="str">
        <f t="shared" si="92"/>
        <v/>
      </c>
    </row>
    <row r="846" spans="1:31" ht="15" thickBot="1">
      <c r="A846" s="34">
        <v>844</v>
      </c>
      <c r="B846" s="34" t="s">
        <v>753</v>
      </c>
      <c r="C846" s="41" t="s">
        <v>1355</v>
      </c>
      <c r="D846" s="34" t="s">
        <v>605</v>
      </c>
      <c r="E846" s="80">
        <f t="shared" si="93"/>
        <v>1.701540010545622</v>
      </c>
      <c r="F846" s="35">
        <f t="shared" si="94"/>
        <v>41.148972849934459</v>
      </c>
      <c r="G846" s="42" cm="1">
        <f t="array" ref="G84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40.863223381127305</v>
      </c>
      <c r="H846" s="81" cm="1">
        <f t="array" ref="H8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1.6964995278567274</v>
      </c>
      <c r="I846" s="81" cm="1">
        <f t="array" ref="I8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1.701540010545622</v>
      </c>
      <c r="J846" s="81" cm="1">
        <f t="array" ref="J8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1.7055846031239592</v>
      </c>
      <c r="K846" s="81" cm="1">
        <f t="array" ref="K8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1.7135483133295522</v>
      </c>
      <c r="L846" s="81" cm="1">
        <f t="array" ref="L8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1.7233695097654083</v>
      </c>
      <c r="M846" s="37">
        <f t="shared" si="95"/>
        <v>1.7048785472824735E-2</v>
      </c>
      <c r="N846" s="43">
        <f t="shared" si="96"/>
        <v>5.0404826888945653E-3</v>
      </c>
      <c r="O846" s="43">
        <f t="shared" si="97"/>
        <v>9.8211964358561055E-3</v>
      </c>
      <c r="P846" s="43">
        <f t="shared" si="98"/>
        <v>0.29565054337324775</v>
      </c>
      <c r="Q846" s="37">
        <f t="shared" si="99"/>
        <v>0.57606428631006035</v>
      </c>
      <c r="R846" s="37">
        <v>4.0000000000000002E-4</v>
      </c>
      <c r="S846" s="44" t="s">
        <v>1393</v>
      </c>
      <c r="T846" s="45">
        <v>0.15546301800000001</v>
      </c>
      <c r="U846" s="45">
        <v>1.22204789</v>
      </c>
      <c r="V846" s="45">
        <v>1.6661163999999999</v>
      </c>
      <c r="W846" s="45">
        <v>5.0049662000000002E-2</v>
      </c>
      <c r="X846" s="45">
        <v>119.80173499999999</v>
      </c>
      <c r="Y846" s="45">
        <v>1.0220632699999999E-2</v>
      </c>
      <c r="Z846" s="36">
        <v>3.64</v>
      </c>
      <c r="AA846" s="38">
        <v>594</v>
      </c>
      <c r="AB846" s="38">
        <v>736</v>
      </c>
      <c r="AC846" s="49" t="s">
        <v>506</v>
      </c>
      <c r="AD846" s="39" t="s">
        <v>1371</v>
      </c>
      <c r="AE846" s="48" t="str">
        <f t="shared" si="92"/>
        <v/>
      </c>
    </row>
    <row r="847" spans="1:31" ht="15" thickBot="1">
      <c r="A847" s="34">
        <v>845</v>
      </c>
      <c r="B847" s="34" t="s">
        <v>753</v>
      </c>
      <c r="C847" s="41" t="s">
        <v>1355</v>
      </c>
      <c r="D847" s="34" t="s">
        <v>606</v>
      </c>
      <c r="E847" s="80">
        <f t="shared" si="93"/>
        <v>1.7234097637375296</v>
      </c>
      <c r="F847" s="35">
        <f t="shared" si="94"/>
        <v>37.992034519786742</v>
      </c>
      <c r="G847" s="42" cm="1">
        <f t="array" ref="G84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37.712591185468447</v>
      </c>
      <c r="H847" s="81" cm="1">
        <f t="array" ref="H8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1.7178130371307996</v>
      </c>
      <c r="I847" s="81" cm="1">
        <f t="array" ref="I8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1.7234097637375296</v>
      </c>
      <c r="J847" s="81" cm="1">
        <f t="array" ref="J8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1.7279207050838961</v>
      </c>
      <c r="K847" s="81" cm="1">
        <f t="array" ref="K8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1.7368541275299139</v>
      </c>
      <c r="L847" s="81" cm="1">
        <f t="array" ref="L8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1.7479700829175857</v>
      </c>
      <c r="M847" s="37">
        <f t="shared" si="95"/>
        <v>1.904109039911428E-2</v>
      </c>
      <c r="N847" s="43">
        <f t="shared" si="96"/>
        <v>5.5967266067300514E-3</v>
      </c>
      <c r="O847" s="43">
        <f t="shared" si="97"/>
        <v>1.111595538767185E-2</v>
      </c>
      <c r="P847" s="43">
        <f t="shared" si="98"/>
        <v>0.2939288921705025</v>
      </c>
      <c r="Q847" s="37">
        <f t="shared" si="99"/>
        <v>0.58378775346757039</v>
      </c>
      <c r="R847" s="37">
        <v>2.8E-3</v>
      </c>
      <c r="S847" s="44" t="s">
        <v>1393</v>
      </c>
      <c r="T847" s="45">
        <v>1.7144748299999999</v>
      </c>
      <c r="U847" s="45">
        <v>0.17291964100000001</v>
      </c>
      <c r="V847" s="45">
        <v>1.3758666399999999</v>
      </c>
      <c r="W847" s="45">
        <v>1.06695401E-2</v>
      </c>
      <c r="X847" s="45">
        <v>5.3625748799999998E-2</v>
      </c>
      <c r="Y847" s="45">
        <v>127.687623</v>
      </c>
      <c r="Z847" s="36">
        <v>3.62</v>
      </c>
      <c r="AA847" s="38">
        <v>607</v>
      </c>
      <c r="AB847" s="38">
        <v>738</v>
      </c>
      <c r="AC847" s="49" t="s">
        <v>506</v>
      </c>
      <c r="AD847" s="39" t="s">
        <v>1371</v>
      </c>
      <c r="AE847" s="48" t="str">
        <f t="shared" si="92"/>
        <v/>
      </c>
    </row>
    <row r="848" spans="1:31" ht="15" thickBot="1">
      <c r="A848" s="34">
        <v>846</v>
      </c>
      <c r="B848" s="34" t="s">
        <v>753</v>
      </c>
      <c r="C848" s="41" t="s">
        <v>1355</v>
      </c>
      <c r="D848" s="34" t="s">
        <v>607</v>
      </c>
      <c r="E848" s="80">
        <f t="shared" si="93"/>
        <v>1.6584400136294464</v>
      </c>
      <c r="F848" s="35">
        <f t="shared" si="94"/>
        <v>50.852876642036556</v>
      </c>
      <c r="G848" s="42" cm="1">
        <f t="array" ref="G84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50.561191650965959</v>
      </c>
      <c r="H848" s="81" cm="1">
        <f t="array" ref="H8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1.6545520479261253</v>
      </c>
      <c r="I848" s="81" cm="1">
        <f t="array" ref="I8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1.6584400136294464</v>
      </c>
      <c r="J848" s="81" cm="1">
        <f t="array" ref="J8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1.6615212572420213</v>
      </c>
      <c r="K848" s="81" cm="1">
        <f t="array" ref="K8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1.667499988280893</v>
      </c>
      <c r="L848" s="81" cm="1">
        <f t="array" ref="L8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1.6747228136003556</v>
      </c>
      <c r="M848" s="37">
        <f t="shared" si="95"/>
        <v>1.2947940354767651E-2</v>
      </c>
      <c r="N848" s="43">
        <f t="shared" si="96"/>
        <v>3.8879657033210613E-3</v>
      </c>
      <c r="O848" s="43">
        <f t="shared" si="97"/>
        <v>7.2228253194626113E-3</v>
      </c>
      <c r="P848" s="43">
        <f t="shared" si="98"/>
        <v>0.30027676964772598</v>
      </c>
      <c r="Q848" s="37">
        <f t="shared" si="99"/>
        <v>0.55783585045655892</v>
      </c>
      <c r="R848" s="37">
        <v>-1.2999999999999999E-3</v>
      </c>
      <c r="S848" s="44" t="s">
        <v>1393</v>
      </c>
      <c r="T848" s="45">
        <v>1.63431974</v>
      </c>
      <c r="U848" s="45">
        <v>0.98837947500000001</v>
      </c>
      <c r="V848" s="45">
        <v>6.1198401800000003E-2</v>
      </c>
      <c r="W848" s="45">
        <v>9.8316132200000003E-3</v>
      </c>
      <c r="X848" s="45">
        <v>102.398826</v>
      </c>
      <c r="Y848" s="45">
        <v>4.9903884199999998E-2</v>
      </c>
      <c r="Z848" s="36">
        <v>3.77</v>
      </c>
      <c r="AA848" s="38">
        <v>652</v>
      </c>
      <c r="AB848" s="38">
        <v>781</v>
      </c>
      <c r="AC848" s="49" t="s">
        <v>506</v>
      </c>
      <c r="AD848" s="39" t="s">
        <v>1371</v>
      </c>
      <c r="AE848" s="48" t="str">
        <f t="shared" si="92"/>
        <v/>
      </c>
    </row>
    <row r="849" spans="1:31" ht="15" thickBot="1">
      <c r="A849" s="34">
        <v>847</v>
      </c>
      <c r="B849" s="34" t="s">
        <v>753</v>
      </c>
      <c r="C849" s="41" t="s">
        <v>1355</v>
      </c>
      <c r="D849" s="34" t="s">
        <v>608</v>
      </c>
      <c r="E849" s="80">
        <f t="shared" si="93"/>
        <v>1.6827260980946515</v>
      </c>
      <c r="F849" s="35">
        <f t="shared" si="94"/>
        <v>44.529086242929303</v>
      </c>
      <c r="G849" s="42" cm="1">
        <f t="array" ref="G84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44.237036981745952</v>
      </c>
      <c r="H849" s="81" cm="1">
        <f t="array" ref="H8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1.678164971476461</v>
      </c>
      <c r="I849" s="81" cm="1">
        <f t="array" ref="I8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1.6827260980946515</v>
      </c>
      <c r="J849" s="81" cm="1">
        <f t="array" ref="J8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1.6863661768080866</v>
      </c>
      <c r="K849" s="81" cm="1">
        <f t="array" ref="K8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1.6934971095394347</v>
      </c>
      <c r="L849" s="81" cm="1">
        <f t="array" ref="L8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1.7022487039586953</v>
      </c>
      <c r="M849" s="37">
        <f t="shared" si="95"/>
        <v>1.5332138062973621E-2</v>
      </c>
      <c r="N849" s="43">
        <f t="shared" si="96"/>
        <v>4.5611266181904142E-3</v>
      </c>
      <c r="O849" s="43">
        <f t="shared" si="97"/>
        <v>8.7515944192606554E-3</v>
      </c>
      <c r="P849" s="43">
        <f t="shared" si="98"/>
        <v>0.29748796935277516</v>
      </c>
      <c r="Q849" s="37">
        <f t="shared" si="99"/>
        <v>0.57080065306712413</v>
      </c>
      <c r="R849" s="37">
        <v>4.0000000000000002E-4</v>
      </c>
      <c r="S849" s="44" t="s">
        <v>1394</v>
      </c>
      <c r="T849" s="45">
        <v>2.7590164000000001</v>
      </c>
      <c r="U849" s="45">
        <v>-5.8180526E-3</v>
      </c>
      <c r="V849" s="45">
        <v>2.6609945999999999E-2</v>
      </c>
      <c r="W849" s="45">
        <v>-7.5485994000000002E-4</v>
      </c>
      <c r="X849" s="45">
        <v>1.7640458999999999E-4</v>
      </c>
      <c r="Y849" s="45">
        <v>-6.7271173E-6</v>
      </c>
      <c r="Z849" s="36">
        <v>4.1399999999999997</v>
      </c>
      <c r="AA849" s="38">
        <v>601</v>
      </c>
      <c r="AB849" s="38"/>
      <c r="AC849" s="49" t="s">
        <v>506</v>
      </c>
      <c r="AD849" s="49" t="s">
        <v>506</v>
      </c>
      <c r="AE849" s="48" t="str">
        <f t="shared" si="92"/>
        <v/>
      </c>
    </row>
    <row r="850" spans="1:31" ht="15" thickBot="1">
      <c r="A850" s="34">
        <v>848</v>
      </c>
      <c r="B850" s="34" t="s">
        <v>753</v>
      </c>
      <c r="C850" s="41" t="s">
        <v>1355</v>
      </c>
      <c r="D850" s="34" t="s">
        <v>609</v>
      </c>
      <c r="E850" s="80">
        <f t="shared" si="93"/>
        <v>1.6700299373319483</v>
      </c>
      <c r="F850" s="35">
        <f t="shared" si="94"/>
        <v>47.195631184126462</v>
      </c>
      <c r="G850" s="42" cm="1">
        <f t="array" ref="G85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46.90268230397249</v>
      </c>
      <c r="H850" s="81" cm="1">
        <f t="array" ref="H8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1.6657919625055013</v>
      </c>
      <c r="I850" s="81" cm="1">
        <f t="array" ref="I8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1.6700299373319483</v>
      </c>
      <c r="J850" s="81" cm="1">
        <f t="array" ref="J8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1.6734056277726435</v>
      </c>
      <c r="K850" s="81" cm="1">
        <f t="array" ref="K8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1.6799888260820881</v>
      </c>
      <c r="L850" s="81" cm="1">
        <f t="array" ref="L8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1.6879863281139162</v>
      </c>
      <c r="M850" s="37">
        <f t="shared" si="95"/>
        <v>1.4196863576586782E-2</v>
      </c>
      <c r="N850" s="43">
        <f t="shared" si="96"/>
        <v>4.2379748264469441E-3</v>
      </c>
      <c r="O850" s="43">
        <f t="shared" si="97"/>
        <v>7.9975020318281409E-3</v>
      </c>
      <c r="P850" s="43">
        <f t="shared" si="98"/>
        <v>0.29851486587756876</v>
      </c>
      <c r="Q850" s="37">
        <f t="shared" si="99"/>
        <v>0.56332879362294364</v>
      </c>
      <c r="R850" s="37">
        <v>-2E-3</v>
      </c>
      <c r="S850" s="44" t="s">
        <v>1393</v>
      </c>
      <c r="T850" s="45">
        <v>1.51688354</v>
      </c>
      <c r="U850" s="45">
        <v>0.21137155299999999</v>
      </c>
      <c r="V850" s="45">
        <v>1.35763017</v>
      </c>
      <c r="W850" s="45">
        <v>8.57006565E-3</v>
      </c>
      <c r="X850" s="45">
        <v>3.7016006099999998E-2</v>
      </c>
      <c r="Y850" s="45">
        <v>144.34922900000001</v>
      </c>
      <c r="Z850" s="36">
        <v>3.57</v>
      </c>
      <c r="AA850" s="38">
        <v>583</v>
      </c>
      <c r="AB850" s="38">
        <v>728</v>
      </c>
      <c r="AC850" s="49" t="s">
        <v>506</v>
      </c>
      <c r="AD850" s="39" t="s">
        <v>1371</v>
      </c>
      <c r="AE850" s="48" t="str">
        <f t="shared" si="92"/>
        <v/>
      </c>
    </row>
    <row r="851" spans="1:31" ht="15" thickBot="1">
      <c r="A851" s="34">
        <v>849</v>
      </c>
      <c r="B851" s="34" t="s">
        <v>753</v>
      </c>
      <c r="C851" s="41" t="s">
        <v>1356</v>
      </c>
      <c r="D851" s="34" t="s">
        <v>610</v>
      </c>
      <c r="E851" s="80">
        <f t="shared" si="93"/>
        <v>1.6476900199667837</v>
      </c>
      <c r="F851" s="35">
        <f t="shared" si="94"/>
        <v>33.840739517250093</v>
      </c>
      <c r="G851" s="42" cm="1">
        <f t="array" ref="G85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33.58388359154273</v>
      </c>
      <c r="H851" s="81" cm="1">
        <f t="array" ref="H8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1.6421003810484345</v>
      </c>
      <c r="I851" s="81" cm="1">
        <f t="array" ref="I8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1.6476900199667837</v>
      </c>
      <c r="J851" s="81" cm="1">
        <f t="array" ref="J8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1.6522165083024034</v>
      </c>
      <c r="K851" s="81" cm="1">
        <f t="array" ref="K8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1.6612397387931619</v>
      </c>
      <c r="L851" s="81" cm="1">
        <f t="array" ref="L8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1.6725893092874202</v>
      </c>
      <c r="M851" s="37">
        <f t="shared" si="95"/>
        <v>1.9139357744727414E-2</v>
      </c>
      <c r="N851" s="43">
        <f t="shared" si="96"/>
        <v>5.5896389183491824E-3</v>
      </c>
      <c r="O851" s="43">
        <f t="shared" si="97"/>
        <v>1.1349570494258332E-2</v>
      </c>
      <c r="P851" s="43">
        <f t="shared" si="98"/>
        <v>0.29204945081759798</v>
      </c>
      <c r="Q851" s="37">
        <f t="shared" si="99"/>
        <v>0.59299641323570307</v>
      </c>
      <c r="R851" s="37">
        <v>4.8999999999999998E-3</v>
      </c>
      <c r="S851" s="44" t="s">
        <v>1393</v>
      </c>
      <c r="T851" s="45">
        <v>1.06294164</v>
      </c>
      <c r="U851" s="45">
        <v>0.146910876</v>
      </c>
      <c r="V851" s="45">
        <v>1.4892254300000001</v>
      </c>
      <c r="W851" s="45">
        <v>108.400406</v>
      </c>
      <c r="X851" s="45">
        <v>5.9179712799999999E-2</v>
      </c>
      <c r="Y851" s="45">
        <v>1.15933111E-2</v>
      </c>
      <c r="Z851" s="36">
        <v>2.73</v>
      </c>
      <c r="AA851" s="38">
        <v>546</v>
      </c>
      <c r="AB851" s="38">
        <v>644</v>
      </c>
      <c r="AC851" s="49" t="s">
        <v>506</v>
      </c>
      <c r="AD851" s="39" t="s">
        <v>1371</v>
      </c>
      <c r="AE851" s="48" t="str">
        <f t="shared" si="92"/>
        <v/>
      </c>
    </row>
    <row r="852" spans="1:31" ht="15" thickBot="1">
      <c r="A852" s="34">
        <v>850</v>
      </c>
      <c r="B852" s="34" t="s">
        <v>753</v>
      </c>
      <c r="C852" s="41" t="s">
        <v>1356</v>
      </c>
      <c r="D852" s="34" t="s">
        <v>714</v>
      </c>
      <c r="E852" s="80">
        <f t="shared" si="93"/>
        <v>1.6476899592513863</v>
      </c>
      <c r="F852" s="35">
        <f t="shared" si="94"/>
        <v>33.888416445296009</v>
      </c>
      <c r="G852" s="42" cm="1">
        <f t="array" ref="G85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33.628736991820162</v>
      </c>
      <c r="H852" s="81" cm="1">
        <f t="array" ref="H8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1.642109915196367</v>
      </c>
      <c r="I852" s="81" cm="1">
        <f t="array" ref="I8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1.6476899592513863</v>
      </c>
      <c r="J852" s="81" cm="1">
        <f t="array" ref="J8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1.6522089362218015</v>
      </c>
      <c r="K852" s="81" cm="1">
        <f t="array" ref="K8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1.6612223443739567</v>
      </c>
      <c r="L852" s="81" cm="1">
        <f t="array" ref="L8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1.6725735552706111</v>
      </c>
      <c r="M852" s="37">
        <f t="shared" si="95"/>
        <v>1.9112429177589707E-2</v>
      </c>
      <c r="N852" s="43">
        <f t="shared" si="96"/>
        <v>5.5800440550193287E-3</v>
      </c>
      <c r="O852" s="43">
        <f t="shared" si="97"/>
        <v>1.1351210896654473E-2</v>
      </c>
      <c r="P852" s="43">
        <f t="shared" si="98"/>
        <v>0.2919589133945471</v>
      </c>
      <c r="Q852" s="37">
        <f t="shared" si="99"/>
        <v>0.59391774803614938</v>
      </c>
      <c r="R852" s="37">
        <v>5.7999999999999996E-3</v>
      </c>
      <c r="S852" s="44" t="s">
        <v>1393</v>
      </c>
      <c r="T852" s="45">
        <v>0.15752709400000001</v>
      </c>
      <c r="U852" s="45">
        <v>1.4792285000000001</v>
      </c>
      <c r="V852" s="45">
        <v>1.1816638500000001</v>
      </c>
      <c r="W852" s="45">
        <v>5.8546669400000001E-2</v>
      </c>
      <c r="X852" s="45">
        <v>1.11805229E-2</v>
      </c>
      <c r="Y852" s="45">
        <v>115.15384299999999</v>
      </c>
      <c r="Z852" s="36">
        <v>2.79</v>
      </c>
      <c r="AA852" s="38">
        <v>601</v>
      </c>
      <c r="AB852" s="38">
        <v>694</v>
      </c>
      <c r="AC852" s="49" t="s">
        <v>506</v>
      </c>
      <c r="AD852" s="39" t="s">
        <v>1371</v>
      </c>
      <c r="AE852" s="48" t="str">
        <f t="shared" si="92"/>
        <v/>
      </c>
    </row>
    <row r="853" spans="1:31" ht="15" thickBot="1">
      <c r="A853" s="34">
        <v>851</v>
      </c>
      <c r="B853" s="34" t="s">
        <v>753</v>
      </c>
      <c r="C853" s="41" t="s">
        <v>1356</v>
      </c>
      <c r="D853" s="34" t="s">
        <v>611</v>
      </c>
      <c r="E853" s="80">
        <f t="shared" si="93"/>
        <v>1.6476931683927931</v>
      </c>
      <c r="F853" s="35">
        <f t="shared" si="94"/>
        <v>33.837293836651178</v>
      </c>
      <c r="G853" s="42" cm="1">
        <f t="array" ref="G85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33.587834450361086</v>
      </c>
      <c r="H853" s="81" cm="1">
        <f t="array" ref="H8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1.6420985698612944</v>
      </c>
      <c r="I853" s="81" cm="1">
        <f t="array" ref="I8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1.6476931683927931</v>
      </c>
      <c r="J853" s="81" cm="1">
        <f t="array" ref="J8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1.6522249410504624</v>
      </c>
      <c r="K853" s="81" cm="1">
        <f t="array" ref="K8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1.6612399696292404</v>
      </c>
      <c r="L853" s="81" cm="1">
        <f t="array" ref="L8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1.672511181365901</v>
      </c>
      <c r="M853" s="37">
        <f t="shared" si="95"/>
        <v>1.9141399767945932E-2</v>
      </c>
      <c r="N853" s="43">
        <f t="shared" si="96"/>
        <v>5.5945985314986846E-3</v>
      </c>
      <c r="O853" s="43">
        <f t="shared" si="97"/>
        <v>1.127121173666068E-2</v>
      </c>
      <c r="P853" s="43">
        <f t="shared" si="98"/>
        <v>0.29227739869198927</v>
      </c>
      <c r="Q853" s="37">
        <f t="shared" si="99"/>
        <v>0.58883947220701072</v>
      </c>
      <c r="R853" s="37">
        <v>5.9999999999999995E-4</v>
      </c>
      <c r="S853" s="44" t="s">
        <v>1394</v>
      </c>
      <c r="T853" s="45">
        <v>2.6356161</v>
      </c>
      <c r="U853" s="45">
        <v>-8.839642E-3</v>
      </c>
      <c r="V853" s="45">
        <v>2.5644780999999998E-2</v>
      </c>
      <c r="W853" s="45">
        <v>9.6522374000000005E-4</v>
      </c>
      <c r="X853" s="45">
        <v>-1.8304797999999999E-5</v>
      </c>
      <c r="Y853" s="45">
        <v>5.5563517000000004E-6</v>
      </c>
      <c r="Z853" s="36">
        <v>3.84</v>
      </c>
      <c r="AA853" s="38">
        <v>430</v>
      </c>
      <c r="AB853" s="38">
        <v>571</v>
      </c>
      <c r="AC853" s="49" t="s">
        <v>506</v>
      </c>
      <c r="AD853" s="49" t="s">
        <v>506</v>
      </c>
      <c r="AE853" s="48" t="str">
        <f t="shared" si="92"/>
        <v/>
      </c>
    </row>
    <row r="854" spans="1:31" ht="15" thickBot="1">
      <c r="A854" s="34">
        <v>852</v>
      </c>
      <c r="B854" s="34" t="s">
        <v>753</v>
      </c>
      <c r="C854" s="41" t="s">
        <v>1356</v>
      </c>
      <c r="D854" s="34" t="s">
        <v>612</v>
      </c>
      <c r="E854" s="80">
        <f t="shared" si="93"/>
        <v>1.672699816995344</v>
      </c>
      <c r="F854" s="35">
        <f t="shared" si="94"/>
        <v>32.171590197271478</v>
      </c>
      <c r="G854" s="42" cm="1">
        <f t="array" ref="G85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31.91973610839921</v>
      </c>
      <c r="H854" s="81" cm="1">
        <f t="array" ref="H8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1.6666173079428792</v>
      </c>
      <c r="I854" s="81" cm="1">
        <f t="array" ref="I8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1.672699816995344</v>
      </c>
      <c r="J854" s="81" cm="1">
        <f t="array" ref="J8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1.6776403062362422</v>
      </c>
      <c r="K854" s="81" cm="1">
        <f t="array" ref="K8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1.687527055110192</v>
      </c>
      <c r="L854" s="81" cm="1">
        <f t="array" ref="L8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1.7000365929713801</v>
      </c>
      <c r="M854" s="37">
        <f t="shared" si="95"/>
        <v>2.0909747167312753E-2</v>
      </c>
      <c r="N854" s="43">
        <f t="shared" si="96"/>
        <v>6.0825090524647685E-3</v>
      </c>
      <c r="O854" s="43">
        <f t="shared" si="97"/>
        <v>1.2509537861188136E-2</v>
      </c>
      <c r="P854" s="43">
        <f t="shared" si="98"/>
        <v>0.29089347679790578</v>
      </c>
      <c r="Q854" s="37">
        <f t="shared" si="99"/>
        <v>0.59826346828065535</v>
      </c>
      <c r="R854" s="37">
        <v>7.3000000000000001E-3</v>
      </c>
      <c r="S854" s="44" t="s">
        <v>1393</v>
      </c>
      <c r="T854" s="45">
        <v>0.16764338000000001</v>
      </c>
      <c r="U854" s="45">
        <v>1.54335076</v>
      </c>
      <c r="V854" s="45">
        <v>1.1731312300000001</v>
      </c>
      <c r="W854" s="45">
        <v>6.0517771099999999E-2</v>
      </c>
      <c r="X854" s="45">
        <v>1.1852427299999999E-2</v>
      </c>
      <c r="Y854" s="45">
        <v>113.6711</v>
      </c>
      <c r="Z854" s="36">
        <v>2.9</v>
      </c>
      <c r="AA854" s="38">
        <v>589</v>
      </c>
      <c r="AB854" s="38">
        <v>691</v>
      </c>
      <c r="AC854" s="49" t="s">
        <v>506</v>
      </c>
      <c r="AD854" s="39" t="s">
        <v>1371</v>
      </c>
      <c r="AE854" s="48" t="str">
        <f t="shared" si="92"/>
        <v/>
      </c>
    </row>
    <row r="855" spans="1:31" ht="15" thickBot="1">
      <c r="A855" s="34">
        <v>853</v>
      </c>
      <c r="B855" s="34" t="s">
        <v>753</v>
      </c>
      <c r="C855" s="41" t="s">
        <v>1356</v>
      </c>
      <c r="D855" s="34" t="s">
        <v>613</v>
      </c>
      <c r="E855" s="80">
        <f t="shared" si="93"/>
        <v>1.6727070910159012</v>
      </c>
      <c r="F855" s="35">
        <f t="shared" si="94"/>
        <v>32.181387164755449</v>
      </c>
      <c r="G855" s="42" cm="1">
        <f t="array" ref="G85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31.948461662606874</v>
      </c>
      <c r="H855" s="81" cm="1">
        <f t="array" ref="H8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1.6666064940002621</v>
      </c>
      <c r="I855" s="81" cm="1">
        <f t="array" ref="I8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1.6727070910159012</v>
      </c>
      <c r="J855" s="81" cm="1">
        <f t="array" ref="J8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1.6776551239866448</v>
      </c>
      <c r="K855" s="81" cm="1">
        <f t="array" ref="K8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1.6875101016530931</v>
      </c>
      <c r="L855" s="81" cm="1">
        <f t="array" ref="L8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1.6998556913505167</v>
      </c>
      <c r="M855" s="37">
        <f t="shared" si="95"/>
        <v>2.0903607652831058E-2</v>
      </c>
      <c r="N855" s="43">
        <f t="shared" si="96"/>
        <v>6.100597015639142E-3</v>
      </c>
      <c r="O855" s="43">
        <f t="shared" si="97"/>
        <v>1.2345589697423609E-2</v>
      </c>
      <c r="P855" s="43">
        <f t="shared" si="98"/>
        <v>0.29184421736947946</v>
      </c>
      <c r="Q855" s="37">
        <f t="shared" si="99"/>
        <v>0.59059612591569077</v>
      </c>
      <c r="R855" s="37">
        <v>-1.4E-3</v>
      </c>
      <c r="S855" s="44" t="s">
        <v>1394</v>
      </c>
      <c r="T855" s="45">
        <v>2.70820441</v>
      </c>
      <c r="U855" s="45">
        <v>-7.9417115900000008E-3</v>
      </c>
      <c r="V855" s="45">
        <v>2.92224783E-2</v>
      </c>
      <c r="W855" s="45">
        <v>8.8493161499999997E-4</v>
      </c>
      <c r="X855" s="45">
        <v>6.6862055999999998E-7</v>
      </c>
      <c r="Y855" s="45">
        <v>5.6590276600000003E-6</v>
      </c>
      <c r="Z855" s="36">
        <v>4.08</v>
      </c>
      <c r="AA855" s="38">
        <v>430</v>
      </c>
      <c r="AB855" s="38">
        <v>586</v>
      </c>
      <c r="AC855" s="49" t="s">
        <v>506</v>
      </c>
      <c r="AD855" s="49" t="s">
        <v>506</v>
      </c>
      <c r="AE855" s="48" t="str">
        <f t="shared" si="92"/>
        <v/>
      </c>
    </row>
    <row r="856" spans="1:31" ht="15" thickBot="1">
      <c r="A856" s="34">
        <v>854</v>
      </c>
      <c r="B856" s="34" t="s">
        <v>753</v>
      </c>
      <c r="C856" s="41" t="s">
        <v>1356</v>
      </c>
      <c r="D856" s="34" t="s">
        <v>614</v>
      </c>
      <c r="E856" s="80">
        <f t="shared" si="93"/>
        <v>1.7173602517938056</v>
      </c>
      <c r="F856" s="35">
        <f t="shared" si="94"/>
        <v>29.499483433528585</v>
      </c>
      <c r="G856" s="42" cm="1">
        <f t="array" ref="G85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29.264726990129617</v>
      </c>
      <c r="H856" s="81" cm="1">
        <f t="array" ref="H8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1.7103243372263492</v>
      </c>
      <c r="I856" s="81" cm="1">
        <f t="array" ref="I8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1.7173602517938056</v>
      </c>
      <c r="J856" s="81" cm="1">
        <f t="array" ref="J8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1.7230996828889269</v>
      </c>
      <c r="K856" s="81" cm="1">
        <f t="array" ref="K8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1.7346420597183461</v>
      </c>
      <c r="L856" s="81" cm="1">
        <f t="array" ref="L8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1.7493484967728279</v>
      </c>
      <c r="M856" s="37">
        <f t="shared" si="95"/>
        <v>2.4317722491996818E-2</v>
      </c>
      <c r="N856" s="43">
        <f t="shared" si="96"/>
        <v>7.0359145674563361E-3</v>
      </c>
      <c r="O856" s="43">
        <f t="shared" si="97"/>
        <v>1.4706437054481825E-2</v>
      </c>
      <c r="P856" s="43">
        <f t="shared" si="98"/>
        <v>0.28933279297729952</v>
      </c>
      <c r="Q856" s="37">
        <f t="shared" si="99"/>
        <v>0.60476210546945119</v>
      </c>
      <c r="R856" s="37">
        <v>9.2999999999999992E-3</v>
      </c>
      <c r="S856" s="44" t="s">
        <v>1393</v>
      </c>
      <c r="T856" s="45">
        <v>0.20362474799999999</v>
      </c>
      <c r="U856" s="45">
        <v>1.6420257599999999</v>
      </c>
      <c r="V856" s="45">
        <v>1.38768085</v>
      </c>
      <c r="W856" s="45">
        <v>6.2071273199999999E-2</v>
      </c>
      <c r="X856" s="45">
        <v>1.2713999199999999E-2</v>
      </c>
      <c r="Y856" s="45">
        <v>128.25446700000001</v>
      </c>
      <c r="Z856" s="36">
        <v>3.06</v>
      </c>
      <c r="AA856" s="38">
        <v>591</v>
      </c>
      <c r="AB856" s="38">
        <v>683</v>
      </c>
      <c r="AC856" s="49" t="s">
        <v>506</v>
      </c>
      <c r="AD856" s="39" t="s">
        <v>1371</v>
      </c>
      <c r="AE856" s="48" t="str">
        <f t="shared" si="92"/>
        <v/>
      </c>
    </row>
    <row r="857" spans="1:31" ht="15" thickBot="1">
      <c r="A857" s="34">
        <v>855</v>
      </c>
      <c r="B857" s="34" t="s">
        <v>753</v>
      </c>
      <c r="C857" s="41" t="s">
        <v>1356</v>
      </c>
      <c r="D857" s="34" t="s">
        <v>615</v>
      </c>
      <c r="E857" s="80">
        <f t="shared" si="93"/>
        <v>1.7173647539643455</v>
      </c>
      <c r="F857" s="35">
        <f t="shared" si="94"/>
        <v>29.510755927833067</v>
      </c>
      <c r="G857" s="42" cm="1">
        <f t="array" ref="G85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29.287053560207465</v>
      </c>
      <c r="H857" s="81" cm="1">
        <f t="array" ref="H8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1.7103223296352656</v>
      </c>
      <c r="I857" s="81" cm="1">
        <f t="array" ref="I8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1.7173647539643455</v>
      </c>
      <c r="J857" s="81" cm="1">
        <f t="array" ref="J8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1.7231127478334176</v>
      </c>
      <c r="K857" s="81" cm="1">
        <f t="array" ref="K8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1.7346309158239293</v>
      </c>
      <c r="L857" s="81" cm="1">
        <f t="array" ref="L8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1.7491563670060051</v>
      </c>
      <c r="M857" s="37">
        <f t="shared" si="95"/>
        <v>2.4308586188663606E-2</v>
      </c>
      <c r="N857" s="43">
        <f t="shared" si="96"/>
        <v>7.042424329079866E-3</v>
      </c>
      <c r="O857" s="43">
        <f t="shared" si="97"/>
        <v>1.4525451182075821E-2</v>
      </c>
      <c r="P857" s="43">
        <f t="shared" si="98"/>
        <v>0.28970933457101367</v>
      </c>
      <c r="Q857" s="37">
        <f t="shared" si="99"/>
        <v>0.59754405580567316</v>
      </c>
      <c r="R857" s="37">
        <v>1.1999999999999999E-3</v>
      </c>
      <c r="S857" s="44" t="s">
        <v>1394</v>
      </c>
      <c r="T857" s="45">
        <v>2.8475851900000002</v>
      </c>
      <c r="U857" s="45">
        <v>-1.0508828099999999E-2</v>
      </c>
      <c r="V857" s="45">
        <v>3.09450925E-2</v>
      </c>
      <c r="W857" s="45">
        <v>2.13696398E-3</v>
      </c>
      <c r="X857" s="45">
        <v>-1.3104012E-4</v>
      </c>
      <c r="Y857" s="45">
        <v>1.42428874E-5</v>
      </c>
      <c r="Z857" s="36">
        <v>4.46</v>
      </c>
      <c r="AA857" s="38">
        <v>435</v>
      </c>
      <c r="AB857" s="38">
        <v>574</v>
      </c>
      <c r="AC857" s="49" t="s">
        <v>506</v>
      </c>
      <c r="AD857" s="49" t="s">
        <v>506</v>
      </c>
      <c r="AE857" s="48" t="str">
        <f t="shared" si="92"/>
        <v/>
      </c>
    </row>
    <row r="858" spans="1:31" ht="15" thickBot="1">
      <c r="A858" s="34">
        <v>856</v>
      </c>
      <c r="B858" s="34" t="s">
        <v>753</v>
      </c>
      <c r="C858" s="41" t="s">
        <v>1356</v>
      </c>
      <c r="D858" s="34" t="s">
        <v>715</v>
      </c>
      <c r="E858" s="80">
        <f t="shared" si="93"/>
        <v>1.7282500362635433</v>
      </c>
      <c r="F858" s="35">
        <f t="shared" si="94"/>
        <v>28.319156631026004</v>
      </c>
      <c r="G858" s="42" cm="1">
        <f t="array" ref="G85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28.092625051303699</v>
      </c>
      <c r="H858" s="81" cm="1">
        <f t="array" ref="H8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1.7208277665530738</v>
      </c>
      <c r="I858" s="81" cm="1">
        <f t="array" ref="I8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1.7282500362635433</v>
      </c>
      <c r="J858" s="81" cm="1">
        <f t="array" ref="J8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1.734315821646452</v>
      </c>
      <c r="K858" s="81" cm="1">
        <f t="array" ref="K8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1.7465435760226851</v>
      </c>
      <c r="L858" s="81" cm="1">
        <f t="array" ref="L8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1.76218310440172</v>
      </c>
      <c r="M858" s="37">
        <f t="shared" si="95"/>
        <v>2.5715809469611273E-2</v>
      </c>
      <c r="N858" s="43">
        <f t="shared" si="96"/>
        <v>7.4222697104695534E-3</v>
      </c>
      <c r="O858" s="43">
        <f t="shared" si="97"/>
        <v>1.5639528379034928E-2</v>
      </c>
      <c r="P858" s="43">
        <f t="shared" si="98"/>
        <v>0.28862671887659425</v>
      </c>
      <c r="Q858" s="37">
        <f t="shared" si="99"/>
        <v>0.60816784311286698</v>
      </c>
      <c r="R858" s="37">
        <v>1.0699999999999999E-2</v>
      </c>
      <c r="S858" s="44" t="s">
        <v>1393</v>
      </c>
      <c r="T858" s="45">
        <v>1.6723809300000001</v>
      </c>
      <c r="U858" s="45">
        <v>1.3413443700000001</v>
      </c>
      <c r="V858" s="45">
        <v>0.20430547099999999</v>
      </c>
      <c r="W858" s="45">
        <v>1.33653851E-2</v>
      </c>
      <c r="X858" s="45">
        <v>122.464022</v>
      </c>
      <c r="Y858" s="45">
        <v>6.4119232499999998E-2</v>
      </c>
      <c r="Z858" s="36">
        <v>3.05</v>
      </c>
      <c r="AA858" s="38">
        <v>593</v>
      </c>
      <c r="AB858" s="38">
        <v>684</v>
      </c>
      <c r="AC858" s="49" t="s">
        <v>506</v>
      </c>
      <c r="AD858" s="39" t="s">
        <v>1371</v>
      </c>
      <c r="AE858" s="48" t="str">
        <f t="shared" si="92"/>
        <v/>
      </c>
    </row>
    <row r="859" spans="1:31" ht="15" thickBot="1">
      <c r="A859" s="34">
        <v>857</v>
      </c>
      <c r="B859" s="34" t="s">
        <v>753</v>
      </c>
      <c r="C859" s="41" t="s">
        <v>1356</v>
      </c>
      <c r="D859" s="34" t="s">
        <v>716</v>
      </c>
      <c r="E859" s="80">
        <f t="shared" si="93"/>
        <v>1.7282500362635433</v>
      </c>
      <c r="F859" s="35">
        <f t="shared" si="94"/>
        <v>28.319156631026004</v>
      </c>
      <c r="G859" s="42" cm="1">
        <f t="array" ref="G85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28.092625051303699</v>
      </c>
      <c r="H859" s="81" cm="1">
        <f t="array" ref="H8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1.7208277665530738</v>
      </c>
      <c r="I859" s="81" cm="1">
        <f t="array" ref="I8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1.7282500362635433</v>
      </c>
      <c r="J859" s="81" cm="1">
        <f t="array" ref="J8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1.734315821646452</v>
      </c>
      <c r="K859" s="81" cm="1">
        <f t="array" ref="K8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1.7465435760226851</v>
      </c>
      <c r="L859" s="81" cm="1">
        <f t="array" ref="L8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1.76218310440172</v>
      </c>
      <c r="M859" s="37">
        <f t="shared" si="95"/>
        <v>2.5715809469611273E-2</v>
      </c>
      <c r="N859" s="43">
        <f t="shared" si="96"/>
        <v>7.4222697104695534E-3</v>
      </c>
      <c r="O859" s="43">
        <f t="shared" si="97"/>
        <v>1.5639528379034928E-2</v>
      </c>
      <c r="P859" s="43">
        <f t="shared" si="98"/>
        <v>0.28862671887659425</v>
      </c>
      <c r="Q859" s="37">
        <f t="shared" si="99"/>
        <v>0.60816784311286698</v>
      </c>
      <c r="R859" s="37">
        <v>1.0699999999999999E-2</v>
      </c>
      <c r="S859" s="44" t="s">
        <v>1393</v>
      </c>
      <c r="T859" s="45">
        <v>1.6723809300000001</v>
      </c>
      <c r="U859" s="45">
        <v>1.3413443700000001</v>
      </c>
      <c r="V859" s="45">
        <v>0.20430547099999999</v>
      </c>
      <c r="W859" s="45">
        <v>1.33653851E-2</v>
      </c>
      <c r="X859" s="45">
        <v>122.464022</v>
      </c>
      <c r="Y859" s="45">
        <v>6.4119232499999998E-2</v>
      </c>
      <c r="Z859" s="36">
        <v>3.05</v>
      </c>
      <c r="AA859" s="38">
        <v>593</v>
      </c>
      <c r="AB859" s="38">
        <v>684</v>
      </c>
      <c r="AC859" s="49" t="s">
        <v>506</v>
      </c>
      <c r="AD859" s="39" t="s">
        <v>1371</v>
      </c>
      <c r="AE859" s="48" t="str">
        <f t="shared" si="92"/>
        <v>Transmission improved type.</v>
      </c>
    </row>
    <row r="860" spans="1:31" ht="15" thickBot="1">
      <c r="A860" s="34">
        <v>858</v>
      </c>
      <c r="B860" s="34" t="s">
        <v>753</v>
      </c>
      <c r="C860" s="41" t="s">
        <v>1356</v>
      </c>
      <c r="D860" s="34" t="s">
        <v>616</v>
      </c>
      <c r="E860" s="80">
        <f t="shared" si="93"/>
        <v>1.7282511203714439</v>
      </c>
      <c r="F860" s="35">
        <f t="shared" si="94"/>
        <v>28.324258370218043</v>
      </c>
      <c r="G860" s="42" cm="1">
        <f t="array" ref="G86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28.10544734779856</v>
      </c>
      <c r="H860" s="81" cm="1">
        <f t="array" ref="H8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1.7208244620896127</v>
      </c>
      <c r="I860" s="81" cm="1">
        <f t="array" ref="I8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1.7282511203714439</v>
      </c>
      <c r="J860" s="81" cm="1">
        <f t="array" ref="J8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1.7343280752774231</v>
      </c>
      <c r="K860" s="81" cm="1">
        <f t="array" ref="K8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1.7465356779263237</v>
      </c>
      <c r="L860" s="81" cm="1">
        <f t="array" ref="L8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1.7620579253162942</v>
      </c>
      <c r="M860" s="37">
        <f t="shared" si="95"/>
        <v>2.5711215836710988E-2</v>
      </c>
      <c r="N860" s="43">
        <f t="shared" si="96"/>
        <v>7.4266582818311999E-3</v>
      </c>
      <c r="O860" s="43">
        <f t="shared" si="97"/>
        <v>1.5522247389970545E-2</v>
      </c>
      <c r="P860" s="43">
        <f t="shared" si="98"/>
        <v>0.2888489727205848</v>
      </c>
      <c r="Q860" s="37">
        <f t="shared" si="99"/>
        <v>0.60371502804653721</v>
      </c>
      <c r="R860" s="37">
        <v>6.4000000000000003E-3</v>
      </c>
      <c r="S860" s="44" t="s">
        <v>1394</v>
      </c>
      <c r="T860" s="45">
        <v>2.89234898</v>
      </c>
      <c r="U860" s="45">
        <v>-1.7933941599999999E-2</v>
      </c>
      <c r="V860" s="45">
        <v>2.3009472199999999E-2</v>
      </c>
      <c r="W860" s="45">
        <v>5.6390617199999996E-3</v>
      </c>
      <c r="X860" s="45">
        <v>-6.9815495099999998E-4</v>
      </c>
      <c r="Y860" s="45">
        <v>5.2528997900000001E-5</v>
      </c>
      <c r="Z860" s="36">
        <v>4.51</v>
      </c>
      <c r="AA860" s="38">
        <v>407</v>
      </c>
      <c r="AB860" s="38"/>
      <c r="AC860" s="49" t="s">
        <v>506</v>
      </c>
      <c r="AD860" s="49" t="s">
        <v>506</v>
      </c>
      <c r="AE860" s="48" t="str">
        <f t="shared" si="92"/>
        <v/>
      </c>
    </row>
    <row r="861" spans="1:31" ht="15" thickBot="1">
      <c r="A861" s="34">
        <v>859</v>
      </c>
      <c r="B861" s="34" t="s">
        <v>753</v>
      </c>
      <c r="C861" s="41" t="s">
        <v>1356</v>
      </c>
      <c r="D861" s="34" t="s">
        <v>617</v>
      </c>
      <c r="E861" s="80">
        <f t="shared" si="93"/>
        <v>1.7400000239289708</v>
      </c>
      <c r="F861" s="35">
        <f t="shared" si="94"/>
        <v>28.296008270581446</v>
      </c>
      <c r="G861" s="42" cm="1">
        <f t="array" ref="G86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28.070166005827286</v>
      </c>
      <c r="H861" s="81" cm="1">
        <f t="array" ref="H8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1.7324515699678431</v>
      </c>
      <c r="I861" s="81" cm="1">
        <f t="array" ref="I8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1.7400000239289708</v>
      </c>
      <c r="J861" s="81" cm="1">
        <f t="array" ref="J8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1.7461690303341295</v>
      </c>
      <c r="K861" s="81" cm="1">
        <f t="array" ref="K8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1.7586036694743423</v>
      </c>
      <c r="L861" s="81" cm="1">
        <f t="array" ref="L8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1.7745023352973996</v>
      </c>
      <c r="M861" s="37">
        <f t="shared" si="95"/>
        <v>2.6152099506499216E-2</v>
      </c>
      <c r="N861" s="43">
        <f t="shared" si="96"/>
        <v>7.548453961127688E-3</v>
      </c>
      <c r="O861" s="43">
        <f t="shared" si="97"/>
        <v>1.5898665823057323E-2</v>
      </c>
      <c r="P861" s="43">
        <f t="shared" si="98"/>
        <v>0.28863663352350644</v>
      </c>
      <c r="Q861" s="37">
        <f t="shared" si="99"/>
        <v>0.60793076361254472</v>
      </c>
      <c r="R861" s="37">
        <v>1.04E-2</v>
      </c>
      <c r="S861" s="44" t="s">
        <v>1393</v>
      </c>
      <c r="T861" s="45">
        <v>1.70024855</v>
      </c>
      <c r="U861" s="45">
        <v>1.3632288400000001</v>
      </c>
      <c r="V861" s="45">
        <v>0.21451342200000001</v>
      </c>
      <c r="W861" s="45">
        <v>1.33277515E-2</v>
      </c>
      <c r="X861" s="45">
        <v>122.33381</v>
      </c>
      <c r="Y861" s="45">
        <v>6.3576287100000003E-2</v>
      </c>
      <c r="Z861" s="36">
        <v>3.16</v>
      </c>
      <c r="AA861" s="38">
        <v>612</v>
      </c>
      <c r="AB861" s="38">
        <v>703</v>
      </c>
      <c r="AC861" s="49" t="s">
        <v>506</v>
      </c>
      <c r="AD861" s="39" t="s">
        <v>1371</v>
      </c>
      <c r="AE861" s="48" t="str">
        <f t="shared" ref="AE861:AE924" si="100">IF(RIGHT(D861,2)="GT","Transmission improved type.","")</f>
        <v/>
      </c>
    </row>
    <row r="862" spans="1:31" ht="15" thickBot="1">
      <c r="A862" s="34">
        <v>860</v>
      </c>
      <c r="B862" s="34" t="s">
        <v>753</v>
      </c>
      <c r="C862" s="41" t="s">
        <v>1356</v>
      </c>
      <c r="D862" s="34" t="s">
        <v>618</v>
      </c>
      <c r="E862" s="80">
        <f t="shared" si="93"/>
        <v>1.7399990470744284</v>
      </c>
      <c r="F862" s="35">
        <f t="shared" si="94"/>
        <v>28.245405316330402</v>
      </c>
      <c r="G862" s="42" cm="1">
        <f t="array" ref="G86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28.029169373694504</v>
      </c>
      <c r="H862" s="81" cm="1">
        <f t="array" ref="H8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1.7324297167367211</v>
      </c>
      <c r="I862" s="81" cm="1">
        <f t="array" ref="I8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1.7399990470744284</v>
      </c>
      <c r="J862" s="81" cm="1">
        <f t="array" ref="J8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1.7461893777590813</v>
      </c>
      <c r="K862" s="81" cm="1">
        <f t="array" ref="K8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1.7586286343584339</v>
      </c>
      <c r="L862" s="81" cm="1">
        <f t="array" ref="L8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1.7743927118141587</v>
      </c>
      <c r="M862" s="37">
        <f t="shared" si="95"/>
        <v>2.6198917621712781E-2</v>
      </c>
      <c r="N862" s="43">
        <f t="shared" si="96"/>
        <v>7.5693303377073473E-3</v>
      </c>
      <c r="O862" s="43">
        <f t="shared" si="97"/>
        <v>1.5764077455724834E-2</v>
      </c>
      <c r="P862" s="43">
        <f t="shared" si="98"/>
        <v>0.28891767389024275</v>
      </c>
      <c r="Q862" s="37">
        <f t="shared" si="99"/>
        <v>0.60170720345561524</v>
      </c>
      <c r="R862" s="37">
        <v>3.8999999999999998E-3</v>
      </c>
      <c r="S862" s="44" t="s">
        <v>1394</v>
      </c>
      <c r="T862" s="45">
        <v>2.9160431999999998</v>
      </c>
      <c r="U862" s="45">
        <v>-1.0435646999999999E-2</v>
      </c>
      <c r="V862" s="45">
        <v>3.3907871999999999E-2</v>
      </c>
      <c r="W862" s="45">
        <v>2.2728802000000002E-3</v>
      </c>
      <c r="X862" s="45">
        <v>-1.3563213E-4</v>
      </c>
      <c r="Y862" s="45">
        <v>1.6527591999999999E-5</v>
      </c>
      <c r="Z862" s="36">
        <v>4.6500000000000004</v>
      </c>
      <c r="AA862" s="38">
        <v>430</v>
      </c>
      <c r="AB862" s="38"/>
      <c r="AC862" s="49" t="s">
        <v>506</v>
      </c>
      <c r="AD862" s="49" t="s">
        <v>506</v>
      </c>
      <c r="AE862" s="48" t="str">
        <f t="shared" si="100"/>
        <v/>
      </c>
    </row>
    <row r="863" spans="1:31" ht="15" thickBot="1">
      <c r="A863" s="34">
        <v>861</v>
      </c>
      <c r="B863" s="34" t="s">
        <v>753</v>
      </c>
      <c r="C863" s="41" t="s">
        <v>1356</v>
      </c>
      <c r="D863" s="34" t="s">
        <v>619</v>
      </c>
      <c r="E863" s="80">
        <f t="shared" si="93"/>
        <v>1.7552003808515206</v>
      </c>
      <c r="F863" s="35">
        <f t="shared" si="94"/>
        <v>27.530397095949059</v>
      </c>
      <c r="G863" s="42" cm="1">
        <f t="array" ref="G86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27.308496463593276</v>
      </c>
      <c r="H863" s="81" cm="1">
        <f t="array" ref="H8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1.7473005180246968</v>
      </c>
      <c r="I863" s="81" cm="1">
        <f t="array" ref="I8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1.7552003808515206</v>
      </c>
      <c r="J863" s="81" cm="1">
        <f t="array" ref="J8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1.7616685054865602</v>
      </c>
      <c r="K863" s="81" cm="1">
        <f t="array" ref="K8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1.7747320286643542</v>
      </c>
      <c r="L863" s="81" cm="1">
        <f t="array" ref="L8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1.7914640549582064</v>
      </c>
      <c r="M863" s="37">
        <f t="shared" si="95"/>
        <v>2.743151063965743E-2</v>
      </c>
      <c r="N863" s="43">
        <f t="shared" si="96"/>
        <v>7.8998628268238669E-3</v>
      </c>
      <c r="O863" s="43">
        <f t="shared" si="97"/>
        <v>1.6732026293852176E-2</v>
      </c>
      <c r="P863" s="43">
        <f t="shared" si="98"/>
        <v>0.28798497212191893</v>
      </c>
      <c r="Q863" s="37">
        <f t="shared" si="99"/>
        <v>0.6099564298024065</v>
      </c>
      <c r="R863" s="37">
        <v>1.11E-2</v>
      </c>
      <c r="S863" s="44" t="s">
        <v>1393</v>
      </c>
      <c r="T863" s="45">
        <v>1.64768548</v>
      </c>
      <c r="U863" s="45">
        <v>0.314478021</v>
      </c>
      <c r="V863" s="45">
        <v>2.0386492399999998</v>
      </c>
      <c r="W863" s="45">
        <v>1.18179362E-2</v>
      </c>
      <c r="X863" s="45">
        <v>5.85408205E-2</v>
      </c>
      <c r="Y863" s="45">
        <v>173.96447699999999</v>
      </c>
      <c r="Z863" s="36">
        <v>3.24</v>
      </c>
      <c r="AA863" s="38">
        <v>619</v>
      </c>
      <c r="AB863" s="38">
        <v>710</v>
      </c>
      <c r="AC863" s="49" t="s">
        <v>506</v>
      </c>
      <c r="AD863" s="39" t="s">
        <v>1371</v>
      </c>
      <c r="AE863" s="48" t="str">
        <f t="shared" si="100"/>
        <v/>
      </c>
    </row>
    <row r="864" spans="1:31" ht="15" thickBot="1">
      <c r="A864" s="34">
        <v>862</v>
      </c>
      <c r="B864" s="34" t="s">
        <v>753</v>
      </c>
      <c r="C864" s="41" t="s">
        <v>1356</v>
      </c>
      <c r="D864" s="34" t="s">
        <v>620</v>
      </c>
      <c r="E864" s="80">
        <f t="shared" si="93"/>
        <v>1.755205291929177</v>
      </c>
      <c r="F864" s="35">
        <f t="shared" si="94"/>
        <v>27.546586938839869</v>
      </c>
      <c r="G864" s="42" cm="1">
        <f t="array" ref="G86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27.338490380605247</v>
      </c>
      <c r="H864" s="81" cm="1">
        <f t="array" ref="H8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1.7472912594973338</v>
      </c>
      <c r="I864" s="81" cm="1">
        <f t="array" ref="I8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1.755205291929177</v>
      </c>
      <c r="J864" s="81" cm="1">
        <f t="array" ref="J8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1.7616829493626791</v>
      </c>
      <c r="K864" s="81" cm="1">
        <f t="array" ref="K8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1.7747068262100418</v>
      </c>
      <c r="L864" s="81" cm="1">
        <f t="array" ref="L8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1.7912170812241457</v>
      </c>
      <c r="M864" s="37">
        <f t="shared" si="95"/>
        <v>2.7415566712708062E-2</v>
      </c>
      <c r="N864" s="43">
        <f t="shared" si="96"/>
        <v>7.9140324318431876E-3</v>
      </c>
      <c r="O864" s="43">
        <f t="shared" si="97"/>
        <v>1.6510255014103858E-2</v>
      </c>
      <c r="P864" s="43">
        <f t="shared" si="98"/>
        <v>0.28866929926255219</v>
      </c>
      <c r="Q864" s="37">
        <f t="shared" si="99"/>
        <v>0.60222191235794464</v>
      </c>
      <c r="R864" s="37">
        <v>2E-3</v>
      </c>
      <c r="S864" s="44" t="s">
        <v>1394</v>
      </c>
      <c r="T864" s="45">
        <v>2.9628599499999999</v>
      </c>
      <c r="U864" s="45">
        <v>-1.04077823E-2</v>
      </c>
      <c r="V864" s="45">
        <v>3.5644123799999997E-2</v>
      </c>
      <c r="W864" s="45">
        <v>2.4569920500000001E-3</v>
      </c>
      <c r="X864" s="45">
        <v>-1.4961589300000001E-4</v>
      </c>
      <c r="Y864" s="45">
        <v>1.7782775099999998E-5</v>
      </c>
      <c r="Z864" s="36">
        <v>4.78</v>
      </c>
      <c r="AA864" s="38">
        <v>420</v>
      </c>
      <c r="AB864" s="38">
        <v>556</v>
      </c>
      <c r="AC864" s="49" t="s">
        <v>506</v>
      </c>
      <c r="AD864" s="39" t="s">
        <v>1371</v>
      </c>
      <c r="AE864" s="48" t="str">
        <f t="shared" si="100"/>
        <v/>
      </c>
    </row>
    <row r="865" spans="1:31" ht="15" thickBot="1">
      <c r="A865" s="34">
        <v>863</v>
      </c>
      <c r="B865" s="34" t="s">
        <v>753</v>
      </c>
      <c r="C865" s="41" t="s">
        <v>1356</v>
      </c>
      <c r="D865" s="34" t="s">
        <v>621</v>
      </c>
      <c r="E865" s="80">
        <f t="shared" si="93"/>
        <v>1.8051799563562025</v>
      </c>
      <c r="F865" s="35">
        <f t="shared" si="94"/>
        <v>25.456581541643594</v>
      </c>
      <c r="G865" s="42" cm="1">
        <f t="array" ref="G86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25.253588644549314</v>
      </c>
      <c r="H865" s="81" cm="1">
        <f t="array" ref="H8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1.796108412024275</v>
      </c>
      <c r="I865" s="81" cm="1">
        <f t="array" ref="I8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1.8051799563562025</v>
      </c>
      <c r="J865" s="81" cm="1">
        <f t="array" ref="J8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1.8126320908977283</v>
      </c>
      <c r="K865" s="81" cm="1">
        <f t="array" ref="K8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1.8277379517187164</v>
      </c>
      <c r="L865" s="81" cm="1">
        <f t="array" ref="L8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1.8471939859736726</v>
      </c>
      <c r="M865" s="37">
        <f t="shared" si="95"/>
        <v>3.1629539694441489E-2</v>
      </c>
      <c r="N865" s="43">
        <f t="shared" si="96"/>
        <v>9.0715443319275835E-3</v>
      </c>
      <c r="O865" s="43">
        <f t="shared" si="97"/>
        <v>1.9456034254956123E-2</v>
      </c>
      <c r="P865" s="43">
        <f t="shared" si="98"/>
        <v>0.2868060812633893</v>
      </c>
      <c r="Q865" s="37">
        <f t="shared" si="99"/>
        <v>0.61512226997015984</v>
      </c>
      <c r="R865" s="37">
        <v>1.2699999999999999E-2</v>
      </c>
      <c r="S865" s="44" t="s">
        <v>1393</v>
      </c>
      <c r="T865" s="45">
        <v>1.65846092</v>
      </c>
      <c r="U865" s="45">
        <v>0.29879644500000002</v>
      </c>
      <c r="V865" s="45">
        <v>1.8184834000000001</v>
      </c>
      <c r="W865" s="45">
        <v>144.87469899999999</v>
      </c>
      <c r="X865" s="45">
        <v>6.3542459900000001E-2</v>
      </c>
      <c r="Y865" s="45">
        <v>1.41908346E-2</v>
      </c>
      <c r="Z865" s="36">
        <v>3.35</v>
      </c>
      <c r="AA865" s="38">
        <v>580</v>
      </c>
      <c r="AB865" s="38">
        <v>678</v>
      </c>
      <c r="AC865" s="49" t="s">
        <v>506</v>
      </c>
      <c r="AD865" s="39" t="s">
        <v>1371</v>
      </c>
      <c r="AE865" s="48" t="str">
        <f t="shared" si="100"/>
        <v/>
      </c>
    </row>
    <row r="866" spans="1:31" ht="15" thickBot="1">
      <c r="A866" s="34">
        <v>864</v>
      </c>
      <c r="B866" s="34" t="s">
        <v>753</v>
      </c>
      <c r="C866" s="41" t="s">
        <v>1356</v>
      </c>
      <c r="D866" s="34" t="s">
        <v>717</v>
      </c>
      <c r="E866" s="80">
        <f t="shared" si="93"/>
        <v>1.8051799563562025</v>
      </c>
      <c r="F866" s="35">
        <f t="shared" si="94"/>
        <v>25.456581541643594</v>
      </c>
      <c r="G866" s="42" cm="1">
        <f t="array" ref="G86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25.253588644549314</v>
      </c>
      <c r="H866" s="81" cm="1">
        <f t="array" ref="H8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1.796108412024275</v>
      </c>
      <c r="I866" s="81" cm="1">
        <f t="array" ref="I8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1.8051799563562025</v>
      </c>
      <c r="J866" s="81" cm="1">
        <f t="array" ref="J8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1.8126320908977283</v>
      </c>
      <c r="K866" s="81" cm="1">
        <f t="array" ref="K8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1.8277379517187164</v>
      </c>
      <c r="L866" s="81" cm="1">
        <f t="array" ref="L8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1.8471939859736726</v>
      </c>
      <c r="M866" s="37">
        <f t="shared" si="95"/>
        <v>3.1629539694441489E-2</v>
      </c>
      <c r="N866" s="43">
        <f t="shared" si="96"/>
        <v>9.0715443319275835E-3</v>
      </c>
      <c r="O866" s="43">
        <f t="shared" si="97"/>
        <v>1.9456034254956123E-2</v>
      </c>
      <c r="P866" s="43">
        <f t="shared" si="98"/>
        <v>0.2868060812633893</v>
      </c>
      <c r="Q866" s="37">
        <f t="shared" si="99"/>
        <v>0.61512226997015984</v>
      </c>
      <c r="R866" s="37">
        <v>1.2699999999999999E-2</v>
      </c>
      <c r="S866" s="44" t="s">
        <v>1393</v>
      </c>
      <c r="T866" s="45">
        <v>1.65846092</v>
      </c>
      <c r="U866" s="45">
        <v>0.29879644500000002</v>
      </c>
      <c r="V866" s="45">
        <v>1.8184834000000001</v>
      </c>
      <c r="W866" s="45">
        <v>144.87469899999999</v>
      </c>
      <c r="X866" s="45">
        <v>6.3542459900000001E-2</v>
      </c>
      <c r="Y866" s="45">
        <v>1.41908346E-2</v>
      </c>
      <c r="Z866" s="36">
        <v>3.35</v>
      </c>
      <c r="AA866" s="38">
        <v>580</v>
      </c>
      <c r="AB866" s="38">
        <v>678</v>
      </c>
      <c r="AC866" s="49" t="s">
        <v>506</v>
      </c>
      <c r="AD866" s="39" t="s">
        <v>1371</v>
      </c>
      <c r="AE866" s="48" t="str">
        <f t="shared" si="100"/>
        <v>Transmission improved type.</v>
      </c>
    </row>
    <row r="867" spans="1:31" ht="15" thickBot="1">
      <c r="A867" s="34">
        <v>865</v>
      </c>
      <c r="B867" s="34" t="s">
        <v>753</v>
      </c>
      <c r="C867" s="41" t="s">
        <v>1356</v>
      </c>
      <c r="D867" s="34" t="s">
        <v>622</v>
      </c>
      <c r="E867" s="80">
        <f t="shared" si="93"/>
        <v>1.8062774019817758</v>
      </c>
      <c r="F867" s="35">
        <f t="shared" si="94"/>
        <v>25.380467065201003</v>
      </c>
      <c r="G867" s="42" cm="1">
        <f t="array" ref="G86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25.184854608466495</v>
      </c>
      <c r="H867" s="81" cm="1">
        <f t="array" ref="H8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1.7971591932658322</v>
      </c>
      <c r="I867" s="81" cm="1">
        <f t="array" ref="I8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1.8062774019817758</v>
      </c>
      <c r="J867" s="81" cm="1">
        <f t="array" ref="J8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1.8137719773302703</v>
      </c>
      <c r="K867" s="81" cm="1">
        <f t="array" ref="K8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1.8289268277979507</v>
      </c>
      <c r="L867" s="81" cm="1">
        <f t="array" ref="L8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1.8483176480119825</v>
      </c>
      <c r="M867" s="37">
        <f t="shared" si="95"/>
        <v>3.1767634532118505E-2</v>
      </c>
      <c r="N867" s="43">
        <f t="shared" si="96"/>
        <v>9.1182087159435987E-3</v>
      </c>
      <c r="O867" s="43">
        <f t="shared" si="97"/>
        <v>1.9390820214031823E-2</v>
      </c>
      <c r="P867" s="43">
        <f t="shared" si="98"/>
        <v>0.28702825533719484</v>
      </c>
      <c r="Q867" s="37">
        <f t="shared" si="99"/>
        <v>0.61039547009478567</v>
      </c>
      <c r="R867" s="37">
        <v>7.3000000000000001E-3</v>
      </c>
      <c r="S867" s="44" t="s">
        <v>1394</v>
      </c>
      <c r="T867" s="45">
        <v>3.1221966000000001</v>
      </c>
      <c r="U867" s="45">
        <v>-1.0649791E-2</v>
      </c>
      <c r="V867" s="45">
        <v>4.2191870999999999E-2</v>
      </c>
      <c r="W867" s="45">
        <v>2.8937659999999999E-3</v>
      </c>
      <c r="X867" s="45">
        <v>-1.6523594E-4</v>
      </c>
      <c r="Y867" s="45">
        <v>2.329181E-5</v>
      </c>
      <c r="Z867" s="36">
        <v>5.19</v>
      </c>
      <c r="AA867" s="38">
        <v>430</v>
      </c>
      <c r="AB867" s="38">
        <v>549</v>
      </c>
      <c r="AC867" s="49" t="s">
        <v>506</v>
      </c>
      <c r="AD867" s="49" t="s">
        <v>506</v>
      </c>
      <c r="AE867" s="48" t="str">
        <f t="shared" si="100"/>
        <v/>
      </c>
    </row>
    <row r="868" spans="1:31" ht="15" thickBot="1">
      <c r="A868" s="34">
        <v>866</v>
      </c>
      <c r="B868" s="34" t="s">
        <v>753</v>
      </c>
      <c r="C868" s="41" t="s">
        <v>1356</v>
      </c>
      <c r="D868" s="34" t="s">
        <v>623</v>
      </c>
      <c r="E868" s="80">
        <f t="shared" si="93"/>
        <v>1.8051895712560886</v>
      </c>
      <c r="F868" s="35">
        <f t="shared" si="94"/>
        <v>25.47155677390553</v>
      </c>
      <c r="G868" s="42" cm="1">
        <f t="array" ref="G86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25.276133910897112</v>
      </c>
      <c r="H868" s="81" cm="1">
        <f t="array" ref="H8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1.796110801335798</v>
      </c>
      <c r="I868" s="81" cm="1">
        <f t="array" ref="I8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1.8051895712560886</v>
      </c>
      <c r="J868" s="81" cm="1">
        <f t="array" ref="J8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1.8126472983710347</v>
      </c>
      <c r="K868" s="81" cm="1">
        <f t="array" ref="K8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1.8277221228739056</v>
      </c>
      <c r="L868" s="81" cm="1">
        <f t="array" ref="L8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1.8470095047843751</v>
      </c>
      <c r="M868" s="37">
        <f t="shared" si="95"/>
        <v>3.1611321538107529E-2</v>
      </c>
      <c r="N868" s="43">
        <f t="shared" si="96"/>
        <v>9.0787699202905525E-3</v>
      </c>
      <c r="O868" s="43">
        <f t="shared" si="97"/>
        <v>1.9287381910469525E-2</v>
      </c>
      <c r="P868" s="43">
        <f t="shared" si="98"/>
        <v>0.28719994858000708</v>
      </c>
      <c r="Q868" s="37">
        <f t="shared" si="99"/>
        <v>0.61014158763399173</v>
      </c>
      <c r="R868" s="37">
        <v>7.4000000000000003E-3</v>
      </c>
      <c r="S868" s="44" t="s">
        <v>1394</v>
      </c>
      <c r="T868" s="45">
        <v>3.1172452700000002</v>
      </c>
      <c r="U868" s="45">
        <v>-9.7795867800000002E-3</v>
      </c>
      <c r="V868" s="45">
        <v>4.3175256400000001E-2</v>
      </c>
      <c r="W868" s="45">
        <v>2.5227957699999999E-3</v>
      </c>
      <c r="X868" s="45">
        <v>-1.1739974E-4</v>
      </c>
      <c r="Y868" s="45">
        <v>2.0788115700000001E-5</v>
      </c>
      <c r="Z868" s="36">
        <v>5.19</v>
      </c>
      <c r="AA868" s="38">
        <v>430</v>
      </c>
      <c r="AB868" s="38">
        <v>549</v>
      </c>
      <c r="AC868" s="49" t="s">
        <v>506</v>
      </c>
      <c r="AD868" s="39" t="s">
        <v>1371</v>
      </c>
      <c r="AE868" s="48" t="str">
        <f t="shared" si="100"/>
        <v/>
      </c>
    </row>
    <row r="869" spans="1:31" ht="15" thickBot="1">
      <c r="A869" s="34">
        <v>867</v>
      </c>
      <c r="B869" s="34" t="s">
        <v>753</v>
      </c>
      <c r="C869" s="41" t="s">
        <v>1356</v>
      </c>
      <c r="D869" s="34" t="s">
        <v>718</v>
      </c>
      <c r="E869" s="80">
        <f t="shared" si="93"/>
        <v>1.8051895712560886</v>
      </c>
      <c r="F869" s="35">
        <f t="shared" si="94"/>
        <v>25.47155677390553</v>
      </c>
      <c r="G869" s="42" cm="1">
        <f t="array" ref="G86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25.276133910897112</v>
      </c>
      <c r="H869" s="81" cm="1">
        <f t="array" ref="H8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1.796110801335798</v>
      </c>
      <c r="I869" s="81" cm="1">
        <f t="array" ref="I8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1.8051895712560886</v>
      </c>
      <c r="J869" s="81" cm="1">
        <f t="array" ref="J8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1.8126472983710347</v>
      </c>
      <c r="K869" s="81" cm="1">
        <f t="array" ref="K8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1.8277221228739056</v>
      </c>
      <c r="L869" s="81" cm="1">
        <f t="array" ref="L8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1.8470095047843751</v>
      </c>
      <c r="M869" s="37">
        <f t="shared" si="95"/>
        <v>3.1611321538107529E-2</v>
      </c>
      <c r="N869" s="43">
        <f t="shared" si="96"/>
        <v>9.0787699202905525E-3</v>
      </c>
      <c r="O869" s="43">
        <f t="shared" si="97"/>
        <v>1.9287381910469525E-2</v>
      </c>
      <c r="P869" s="43">
        <f t="shared" si="98"/>
        <v>0.28719994858000708</v>
      </c>
      <c r="Q869" s="37">
        <f t="shared" si="99"/>
        <v>0.61014158763399173</v>
      </c>
      <c r="R869" s="37">
        <v>7.4000000000000003E-3</v>
      </c>
      <c r="S869" s="44" t="s">
        <v>1394</v>
      </c>
      <c r="T869" s="45">
        <v>3.1172452700000002</v>
      </c>
      <c r="U869" s="45">
        <v>-9.7795867800000002E-3</v>
      </c>
      <c r="V869" s="45">
        <v>4.3175256400000001E-2</v>
      </c>
      <c r="W869" s="45">
        <v>2.5227957699999999E-3</v>
      </c>
      <c r="X869" s="45">
        <v>-1.1739974E-4</v>
      </c>
      <c r="Y869" s="45">
        <v>2.0788115700000001E-5</v>
      </c>
      <c r="Z869" s="36">
        <v>5.19</v>
      </c>
      <c r="AA869" s="38">
        <v>430</v>
      </c>
      <c r="AB869" s="38">
        <v>549</v>
      </c>
      <c r="AC869" s="49" t="s">
        <v>506</v>
      </c>
      <c r="AD869" s="49" t="s">
        <v>506</v>
      </c>
      <c r="AE869" s="48" t="str">
        <f t="shared" si="100"/>
        <v>Transmission improved type.</v>
      </c>
    </row>
    <row r="870" spans="1:31" ht="15" thickBot="1">
      <c r="A870" s="34">
        <v>868</v>
      </c>
      <c r="B870" s="34" t="s">
        <v>753</v>
      </c>
      <c r="C870" s="41" t="s">
        <v>1356</v>
      </c>
      <c r="D870" s="34" t="s">
        <v>1278</v>
      </c>
      <c r="E870" s="80">
        <f t="shared" si="93"/>
        <v>1.8051895712560886</v>
      </c>
      <c r="F870" s="35">
        <f t="shared" si="94"/>
        <v>25.47155677390553</v>
      </c>
      <c r="G870" s="42" cm="1">
        <f t="array" ref="G87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25.276133910897112</v>
      </c>
      <c r="H870" s="81" cm="1">
        <f t="array" ref="H8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1.796110801335798</v>
      </c>
      <c r="I870" s="81" cm="1">
        <f t="array" ref="I8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1.8051895712560886</v>
      </c>
      <c r="J870" s="81" cm="1">
        <f t="array" ref="J8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1.8126472983710347</v>
      </c>
      <c r="K870" s="81" cm="1">
        <f t="array" ref="K8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1.8277221228739056</v>
      </c>
      <c r="L870" s="81" cm="1">
        <f t="array" ref="L8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1.8470095047843751</v>
      </c>
      <c r="M870" s="37">
        <f t="shared" si="95"/>
        <v>3.1611321538107529E-2</v>
      </c>
      <c r="N870" s="43">
        <f t="shared" si="96"/>
        <v>9.0787699202905525E-3</v>
      </c>
      <c r="O870" s="43">
        <f t="shared" si="97"/>
        <v>1.9287381910469525E-2</v>
      </c>
      <c r="P870" s="43">
        <f t="shared" si="98"/>
        <v>0.28719994858000708</v>
      </c>
      <c r="Q870" s="37">
        <f t="shared" si="99"/>
        <v>0.61014158763399173</v>
      </c>
      <c r="R870" s="37">
        <v>7.4000000000000003E-3</v>
      </c>
      <c r="S870" s="44" t="s">
        <v>1394</v>
      </c>
      <c r="T870" s="45">
        <v>3.1172452700000002</v>
      </c>
      <c r="U870" s="45">
        <v>-9.7795867800000002E-3</v>
      </c>
      <c r="V870" s="45">
        <v>4.3175256400000001E-2</v>
      </c>
      <c r="W870" s="45">
        <v>2.5227957699999999E-3</v>
      </c>
      <c r="X870" s="45">
        <v>-1.1739974E-4</v>
      </c>
      <c r="Y870" s="45">
        <v>2.0788115700000001E-5</v>
      </c>
      <c r="Z870" s="36">
        <v>5.19</v>
      </c>
      <c r="AA870" s="38">
        <v>430</v>
      </c>
      <c r="AB870" s="38">
        <v>549</v>
      </c>
      <c r="AC870" s="49" t="s">
        <v>506</v>
      </c>
      <c r="AD870" s="49" t="s">
        <v>506</v>
      </c>
      <c r="AE870" s="48" t="str">
        <f t="shared" si="100"/>
        <v/>
      </c>
    </row>
    <row r="871" spans="1:31" ht="15" thickBot="1">
      <c r="A871" s="34">
        <v>869</v>
      </c>
      <c r="B871" s="34" t="s">
        <v>753</v>
      </c>
      <c r="C871" s="41" t="s">
        <v>1356</v>
      </c>
      <c r="D871" s="34" t="s">
        <v>624</v>
      </c>
      <c r="E871" s="80">
        <f t="shared" si="93"/>
        <v>1.6544601557076475</v>
      </c>
      <c r="F871" s="35">
        <f t="shared" si="94"/>
        <v>33.651620024250477</v>
      </c>
      <c r="G871" s="42" cm="1">
        <f t="array" ref="G87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33.406191760205623</v>
      </c>
      <c r="H871" s="81" cm="1">
        <f t="array" ref="H8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1.6487748687722037</v>
      </c>
      <c r="I871" s="81" cm="1">
        <f t="array" ref="I8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1.6544601557076475</v>
      </c>
      <c r="J871" s="81" cm="1">
        <f t="array" ref="J8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1.659065398967511</v>
      </c>
      <c r="K871" s="81" cm="1">
        <f t="array" ref="K8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1.6682229712777004</v>
      </c>
      <c r="L871" s="81" cm="1">
        <f t="array" ref="L8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1.6796634840630962</v>
      </c>
      <c r="M871" s="37">
        <f t="shared" si="95"/>
        <v>1.9448102505496667E-2</v>
      </c>
      <c r="N871" s="43">
        <f t="shared" si="96"/>
        <v>5.6852869354437896E-3</v>
      </c>
      <c r="O871" s="43">
        <f t="shared" si="97"/>
        <v>1.1440512785395818E-2</v>
      </c>
      <c r="P871" s="43">
        <f t="shared" si="98"/>
        <v>0.29233118931972629</v>
      </c>
      <c r="Q871" s="37">
        <f t="shared" si="99"/>
        <v>0.58825856055429349</v>
      </c>
      <c r="R871" s="37">
        <v>-1E-4</v>
      </c>
      <c r="S871" s="44" t="s">
        <v>1394</v>
      </c>
      <c r="T871" s="45">
        <v>2.6567172999999999</v>
      </c>
      <c r="U871" s="45">
        <v>-9.1117044000000001E-3</v>
      </c>
      <c r="V871" s="45">
        <v>2.5815197000000002E-2</v>
      </c>
      <c r="W871" s="45">
        <v>1.1203564E-3</v>
      </c>
      <c r="X871" s="45">
        <v>-4.1066816999999998E-5</v>
      </c>
      <c r="Y871" s="45">
        <v>6.9242010999999999E-6</v>
      </c>
      <c r="Z871" s="36">
        <v>3.91</v>
      </c>
      <c r="AA871" s="38">
        <v>448</v>
      </c>
      <c r="AB871" s="38">
        <v>617</v>
      </c>
      <c r="AC871" s="49" t="s">
        <v>506</v>
      </c>
      <c r="AD871" s="49" t="s">
        <v>506</v>
      </c>
      <c r="AE871" s="48" t="str">
        <f t="shared" si="100"/>
        <v/>
      </c>
    </row>
    <row r="872" spans="1:31" ht="15" thickBot="1">
      <c r="A872" s="34">
        <v>870</v>
      </c>
      <c r="B872" s="34" t="s">
        <v>753</v>
      </c>
      <c r="C872" s="41" t="s">
        <v>1356</v>
      </c>
      <c r="D872" s="34" t="s">
        <v>625</v>
      </c>
      <c r="E872" s="80">
        <f t="shared" si="93"/>
        <v>1.6889299785939029</v>
      </c>
      <c r="F872" s="35">
        <f t="shared" si="94"/>
        <v>31.160962674640945</v>
      </c>
      <c r="G872" s="42" cm="1">
        <f t="array" ref="G87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30.916445423811648</v>
      </c>
      <c r="H872" s="81" cm="1">
        <f t="array" ref="H8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1.6825103742539635</v>
      </c>
      <c r="I872" s="81" cm="1">
        <f t="array" ref="I8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1.6889299785939029</v>
      </c>
      <c r="J872" s="81" cm="1">
        <f t="array" ref="J8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1.6941524059578501</v>
      </c>
      <c r="K872" s="81" cm="1">
        <f t="array" ref="K8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1.7046191257000336</v>
      </c>
      <c r="L872" s="81" cm="1">
        <f t="array" ref="L8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1.7178858183366044</v>
      </c>
      <c r="M872" s="37">
        <f t="shared" si="95"/>
        <v>2.2108751446070052E-2</v>
      </c>
      <c r="N872" s="43">
        <f t="shared" si="96"/>
        <v>6.4196043399393776E-3</v>
      </c>
      <c r="O872" s="43">
        <f t="shared" si="97"/>
        <v>1.3266692636570765E-2</v>
      </c>
      <c r="P872" s="43">
        <f t="shared" si="98"/>
        <v>0.29036485192747041</v>
      </c>
      <c r="Q872" s="37">
        <f t="shared" si="99"/>
        <v>0.60006521258933376</v>
      </c>
      <c r="R872" s="37">
        <v>7.4000000000000003E-3</v>
      </c>
      <c r="S872" s="44" t="s">
        <v>1393</v>
      </c>
      <c r="T872" s="45">
        <v>1.50060292</v>
      </c>
      <c r="U872" s="45">
        <v>1.57641199</v>
      </c>
      <c r="V872" s="45">
        <v>0.18307627000000001</v>
      </c>
      <c r="W872" s="45">
        <v>145.496272</v>
      </c>
      <c r="X872" s="45">
        <v>1.21805144E-2</v>
      </c>
      <c r="Y872" s="45">
        <v>6.0513954500000001E-2</v>
      </c>
      <c r="Z872" s="36">
        <v>2.92</v>
      </c>
      <c r="AA872" s="38">
        <v>554</v>
      </c>
      <c r="AB872" s="38">
        <v>650</v>
      </c>
      <c r="AC872" s="49" t="s">
        <v>506</v>
      </c>
      <c r="AD872" s="39" t="s">
        <v>1371</v>
      </c>
      <c r="AE872" s="48" t="str">
        <f t="shared" si="100"/>
        <v/>
      </c>
    </row>
    <row r="873" spans="1:31" ht="15" thickBot="1">
      <c r="A873" s="34">
        <v>871</v>
      </c>
      <c r="B873" s="34" t="s">
        <v>753</v>
      </c>
      <c r="C873" s="41" t="s">
        <v>1356</v>
      </c>
      <c r="D873" s="34" t="s">
        <v>626</v>
      </c>
      <c r="E873" s="80">
        <f t="shared" si="93"/>
        <v>1.6889341306677508</v>
      </c>
      <c r="F873" s="35">
        <f t="shared" si="94"/>
        <v>31.185143590974342</v>
      </c>
      <c r="G873" s="42" cm="1">
        <f t="array" ref="G87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30.955856341978389</v>
      </c>
      <c r="H873" s="81" cm="1">
        <f t="array" ref="H8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1.6825038515571058</v>
      </c>
      <c r="I873" s="81" cm="1">
        <f t="array" ref="I8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1.6889341306677508</v>
      </c>
      <c r="J873" s="81" cm="1">
        <f t="array" ref="J8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1.6941620642573054</v>
      </c>
      <c r="K873" s="81" cm="1">
        <f t="array" ref="K8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1.7045955930511916</v>
      </c>
      <c r="L873" s="81" cm="1">
        <f t="array" ref="L8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1.7176902446756714</v>
      </c>
      <c r="M873" s="37">
        <f t="shared" si="95"/>
        <v>2.209174149408577E-2</v>
      </c>
      <c r="N873" s="43">
        <f t="shared" si="96"/>
        <v>6.4302791106449764E-3</v>
      </c>
      <c r="O873" s="43">
        <f t="shared" si="97"/>
        <v>1.3094651624479869E-2</v>
      </c>
      <c r="P873" s="43">
        <f t="shared" si="98"/>
        <v>0.29107162567362294</v>
      </c>
      <c r="Q873" s="37">
        <f t="shared" si="99"/>
        <v>0.59273967278611639</v>
      </c>
      <c r="R873" s="37">
        <v>-2.0000000000000001E-4</v>
      </c>
      <c r="S873" s="44" t="s">
        <v>1394</v>
      </c>
      <c r="T873" s="45">
        <v>2.7592905299999999</v>
      </c>
      <c r="U873" s="45">
        <v>-9.2045583299999994E-3</v>
      </c>
      <c r="V873" s="45">
        <v>2.93164338E-2</v>
      </c>
      <c r="W873" s="45">
        <v>1.48740799E-3</v>
      </c>
      <c r="X873" s="45">
        <v>-7.0522348800000005E-5</v>
      </c>
      <c r="Y873" s="45">
        <v>9.9538848000000005E-6</v>
      </c>
      <c r="Z873" s="36">
        <v>4.21</v>
      </c>
      <c r="AA873" s="38">
        <v>430</v>
      </c>
      <c r="AB873" s="38">
        <v>594</v>
      </c>
      <c r="AC873" s="49" t="s">
        <v>506</v>
      </c>
      <c r="AD873" s="49" t="s">
        <v>506</v>
      </c>
      <c r="AE873" s="48" t="str">
        <f t="shared" si="100"/>
        <v/>
      </c>
    </row>
    <row r="874" spans="1:31" ht="15" thickBot="1">
      <c r="A874" s="34">
        <v>872</v>
      </c>
      <c r="B874" s="34" t="s">
        <v>753</v>
      </c>
      <c r="C874" s="41" t="s">
        <v>1356</v>
      </c>
      <c r="D874" s="34" t="s">
        <v>627</v>
      </c>
      <c r="E874" s="80">
        <f t="shared" si="93"/>
        <v>1.6989400156039738</v>
      </c>
      <c r="F874" s="35">
        <f t="shared" si="94"/>
        <v>30.050829717213329</v>
      </c>
      <c r="G874" s="42" cm="1">
        <f t="array" ref="G87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29.813510583483534</v>
      </c>
      <c r="H874" s="81" cm="1">
        <f t="array" ref="H8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1.6922012498530936</v>
      </c>
      <c r="I874" s="81" cm="1">
        <f t="array" ref="I8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1.6989400156039738</v>
      </c>
      <c r="J874" s="81" cm="1">
        <f t="array" ref="J8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1.7044312611653525</v>
      </c>
      <c r="K874" s="81" cm="1">
        <f t="array" ref="K8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1.7154598427831789</v>
      </c>
      <c r="L874" s="81" cm="1">
        <f t="array" ref="L8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1.7294838226947011</v>
      </c>
      <c r="M874" s="37">
        <f t="shared" si="95"/>
        <v>2.3258592930085253E-2</v>
      </c>
      <c r="N874" s="43">
        <f t="shared" si="96"/>
        <v>6.7387657508801713E-3</v>
      </c>
      <c r="O874" s="43">
        <f t="shared" si="97"/>
        <v>1.4023979911522266E-2</v>
      </c>
      <c r="P874" s="43">
        <f t="shared" si="98"/>
        <v>0.2897323054381119</v>
      </c>
      <c r="Q874" s="37">
        <f t="shared" si="99"/>
        <v>0.60295908500045547</v>
      </c>
      <c r="R874" s="37">
        <v>8.3999999999999995E-3</v>
      </c>
      <c r="S874" s="44" t="s">
        <v>1393</v>
      </c>
      <c r="T874" s="45">
        <v>1.5986805100000001</v>
      </c>
      <c r="U874" s="45">
        <v>0.18944888700000001</v>
      </c>
      <c r="V874" s="45">
        <v>1.2687015500000001</v>
      </c>
      <c r="W874" s="45">
        <v>1.26057844E-2</v>
      </c>
      <c r="X874" s="45">
        <v>6.1789471800000002E-2</v>
      </c>
      <c r="Y874" s="45">
        <v>121.376823</v>
      </c>
      <c r="Z874" s="36">
        <v>2.95</v>
      </c>
      <c r="AA874" s="38">
        <v>576</v>
      </c>
      <c r="AB874" s="38">
        <v>672</v>
      </c>
      <c r="AC874" s="49" t="s">
        <v>506</v>
      </c>
      <c r="AD874" s="39" t="s">
        <v>1371</v>
      </c>
      <c r="AE874" s="48" t="str">
        <f t="shared" si="100"/>
        <v/>
      </c>
    </row>
    <row r="875" spans="1:31" ht="15" thickBot="1">
      <c r="A875" s="34">
        <v>873</v>
      </c>
      <c r="B875" s="34" t="s">
        <v>753</v>
      </c>
      <c r="C875" s="41" t="s">
        <v>1356</v>
      </c>
      <c r="D875" s="34" t="s">
        <v>628</v>
      </c>
      <c r="E875" s="80">
        <f t="shared" si="93"/>
        <v>1.6989490733524815</v>
      </c>
      <c r="F875" s="35">
        <f t="shared" si="94"/>
        <v>30.066065077109702</v>
      </c>
      <c r="G875" s="42" cm="1">
        <f t="array" ref="G87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29.833597922026236</v>
      </c>
      <c r="H875" s="81" cm="1">
        <f t="array" ref="H8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1.6922110883746522</v>
      </c>
      <c r="I875" s="81" cm="1">
        <f t="array" ref="I8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1.6989490733524815</v>
      </c>
      <c r="J875" s="81" cm="1">
        <f t="array" ref="J8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1.7044441294419366</v>
      </c>
      <c r="K875" s="81" cm="1">
        <f t="array" ref="K8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1.7154581967528155</v>
      </c>
      <c r="L875" s="81" cm="1">
        <f t="array" ref="L8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1.7293891783020492</v>
      </c>
      <c r="M875" s="37">
        <f t="shared" si="95"/>
        <v>2.324710837816335E-2</v>
      </c>
      <c r="N875" s="43">
        <f t="shared" si="96"/>
        <v>6.7379849778292922E-3</v>
      </c>
      <c r="O875" s="43">
        <f t="shared" si="97"/>
        <v>1.3930981549233667E-2</v>
      </c>
      <c r="P875" s="43">
        <f t="shared" si="98"/>
        <v>0.28984185337039453</v>
      </c>
      <c r="Q875" s="37">
        <f t="shared" si="99"/>
        <v>0.59925653215087271</v>
      </c>
      <c r="R875" s="37">
        <v>4.7999999999999996E-3</v>
      </c>
      <c r="S875" s="44" t="s">
        <v>1394</v>
      </c>
      <c r="T875" s="45">
        <v>2.7906689</v>
      </c>
      <c r="U875" s="45">
        <v>-1.0644977E-2</v>
      </c>
      <c r="V875" s="45">
        <v>2.9071854000000001E-2</v>
      </c>
      <c r="W875" s="45">
        <v>2.1286606999999999E-3</v>
      </c>
      <c r="X875" s="45">
        <v>-1.5815625000000001E-4</v>
      </c>
      <c r="Y875" s="45">
        <v>1.7145246999999998E-5</v>
      </c>
      <c r="Z875" s="36">
        <v>4.0599999999999996</v>
      </c>
      <c r="AA875" s="38">
        <v>467</v>
      </c>
      <c r="AB875" s="38"/>
      <c r="AC875" s="49" t="s">
        <v>506</v>
      </c>
      <c r="AD875" s="49" t="s">
        <v>506</v>
      </c>
      <c r="AE875" s="48" t="str">
        <f t="shared" si="100"/>
        <v/>
      </c>
    </row>
    <row r="876" spans="1:31" ht="15" thickBot="1">
      <c r="A876" s="34">
        <v>874</v>
      </c>
      <c r="B876" s="34" t="s">
        <v>753</v>
      </c>
      <c r="C876" s="41" t="s">
        <v>1356</v>
      </c>
      <c r="D876" s="34" t="s">
        <v>629</v>
      </c>
      <c r="E876" s="80">
        <f t="shared" si="93"/>
        <v>1.7618199638197769</v>
      </c>
      <c r="F876" s="35">
        <f t="shared" si="94"/>
        <v>26.608325459542723</v>
      </c>
      <c r="G876" s="42" cm="1">
        <f t="array" ref="G87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26.392591152803163</v>
      </c>
      <c r="H876" s="81" cm="1">
        <f t="array" ref="H8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1.7535928271418524</v>
      </c>
      <c r="I876" s="81" cm="1">
        <f t="array" ref="I8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1.7618199638197769</v>
      </c>
      <c r="J876" s="81" cm="1">
        <f t="array" ref="J8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1.7685666203278878</v>
      </c>
      <c r="K876" s="81" cm="1">
        <f t="array" ref="K8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1.7822237143045228</v>
      </c>
      <c r="L876" s="81" cm="1">
        <f t="array" ref="L8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1.7997816987365989</v>
      </c>
      <c r="M876" s="37">
        <f t="shared" si="95"/>
        <v>2.8630887162670371E-2</v>
      </c>
      <c r="N876" s="43">
        <f t="shared" si="96"/>
        <v>8.2271366779245181E-3</v>
      </c>
      <c r="O876" s="43">
        <f t="shared" si="97"/>
        <v>1.7557984432076124E-2</v>
      </c>
      <c r="P876" s="43">
        <f t="shared" si="98"/>
        <v>0.28735179008533324</v>
      </c>
      <c r="Q876" s="37">
        <f t="shared" si="99"/>
        <v>0.61325324403389914</v>
      </c>
      <c r="R876" s="37">
        <v>1.2800000000000001E-2</v>
      </c>
      <c r="S876" s="44" t="s">
        <v>1393</v>
      </c>
      <c r="T876" s="45">
        <v>0.32373037900000001</v>
      </c>
      <c r="U876" s="45">
        <v>1.6566862899999999</v>
      </c>
      <c r="V876" s="45">
        <v>2.1214151999999999</v>
      </c>
      <c r="W876" s="45">
        <v>5.98308169E-2</v>
      </c>
      <c r="X876" s="45">
        <v>1.2054268599999999E-2</v>
      </c>
      <c r="Y876" s="45">
        <v>174.18791999999999</v>
      </c>
      <c r="Z876" s="36">
        <v>3.17</v>
      </c>
      <c r="AA876" s="38">
        <v>617</v>
      </c>
      <c r="AB876" s="38">
        <v>719</v>
      </c>
      <c r="AC876" s="49" t="s">
        <v>506</v>
      </c>
      <c r="AD876" s="39" t="s">
        <v>1371</v>
      </c>
      <c r="AE876" s="48" t="str">
        <f t="shared" si="100"/>
        <v/>
      </c>
    </row>
    <row r="877" spans="1:31" ht="15" thickBot="1">
      <c r="A877" s="34">
        <v>875</v>
      </c>
      <c r="B877" s="34" t="s">
        <v>753</v>
      </c>
      <c r="C877" s="41" t="s">
        <v>1356</v>
      </c>
      <c r="D877" s="34" t="s">
        <v>630</v>
      </c>
      <c r="E877" s="80">
        <f t="shared" si="93"/>
        <v>1.7618219323874775</v>
      </c>
      <c r="F877" s="35">
        <f t="shared" si="94"/>
        <v>26.556023337898456</v>
      </c>
      <c r="G877" s="42" cm="1">
        <f t="array" ref="G87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26.350153793785978</v>
      </c>
      <c r="H877" s="81" cm="1">
        <f t="array" ref="H8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1.7535727661181923</v>
      </c>
      <c r="I877" s="81" cm="1">
        <f t="array" ref="I8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1.7618219323874775</v>
      </c>
      <c r="J877" s="81" cm="1">
        <f t="array" ref="J8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1.7686013549429573</v>
      </c>
      <c r="K877" s="81" cm="1">
        <f t="array" ref="K8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1.7822601159783</v>
      </c>
      <c r="L877" s="81" cm="1">
        <f t="array" ref="L8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1.7996672401518201</v>
      </c>
      <c r="M877" s="37">
        <f t="shared" si="95"/>
        <v>2.868734986010768E-2</v>
      </c>
      <c r="N877" s="43">
        <f t="shared" si="96"/>
        <v>8.2491662692851797E-3</v>
      </c>
      <c r="O877" s="43">
        <f t="shared" si="97"/>
        <v>1.7407124173520083E-2</v>
      </c>
      <c r="P877" s="43">
        <f t="shared" si="98"/>
        <v>0.28755414179113076</v>
      </c>
      <c r="Q877" s="37">
        <f t="shared" si="99"/>
        <v>0.60678746061957578</v>
      </c>
      <c r="R877" s="37">
        <v>6.6E-3</v>
      </c>
      <c r="S877" s="44" t="s">
        <v>1394</v>
      </c>
      <c r="T877" s="45">
        <v>2.9950699099999998</v>
      </c>
      <c r="U877" s="45">
        <v>-1.6567252099999999E-2</v>
      </c>
      <c r="V877" s="45">
        <v>2.5670142900000002E-2</v>
      </c>
      <c r="W877" s="45">
        <v>6.7044512799999999E-3</v>
      </c>
      <c r="X877" s="45">
        <v>-8.3747664699999999E-4</v>
      </c>
      <c r="Y877" s="45">
        <v>6.2640277399999994E-5</v>
      </c>
      <c r="Z877" s="36">
        <v>4.6399999999999997</v>
      </c>
      <c r="AA877" s="38">
        <v>456</v>
      </c>
      <c r="AB877" s="38">
        <v>591</v>
      </c>
      <c r="AC877" s="49" t="s">
        <v>506</v>
      </c>
      <c r="AD877" s="49" t="s">
        <v>506</v>
      </c>
      <c r="AE877" s="48" t="str">
        <f t="shared" si="100"/>
        <v/>
      </c>
    </row>
    <row r="878" spans="1:31" ht="15" thickBot="1">
      <c r="A878" s="34">
        <v>876</v>
      </c>
      <c r="B878" s="34" t="s">
        <v>753</v>
      </c>
      <c r="C878" s="41" t="s">
        <v>1356</v>
      </c>
      <c r="D878" s="34" t="s">
        <v>631</v>
      </c>
      <c r="E878" s="80">
        <f t="shared" si="93"/>
        <v>1.7847199982470374</v>
      </c>
      <c r="F878" s="35">
        <f t="shared" si="94"/>
        <v>25.720374244891278</v>
      </c>
      <c r="G878" s="42" cm="1">
        <f t="array" ref="G87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25.512187688261811</v>
      </c>
      <c r="H878" s="81" cm="1">
        <f t="array" ref="H8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1.775970085597544</v>
      </c>
      <c r="I878" s="81" cm="1">
        <f t="array" ref="I8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1.7847199982470374</v>
      </c>
      <c r="J878" s="81" cm="1">
        <f t="array" ref="J8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1.7919065738004665</v>
      </c>
      <c r="K878" s="81" cm="1">
        <f t="array" ref="K8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1.8064797504560521</v>
      </c>
      <c r="L878" s="81" cm="1">
        <f t="array" ref="L8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1.825266681974796</v>
      </c>
      <c r="M878" s="37">
        <f t="shared" si="95"/>
        <v>3.0509664858508145E-2</v>
      </c>
      <c r="N878" s="43">
        <f t="shared" si="96"/>
        <v>8.7499126494934298E-3</v>
      </c>
      <c r="O878" s="43">
        <f t="shared" si="97"/>
        <v>1.8786931518743888E-2</v>
      </c>
      <c r="P878" s="43">
        <f t="shared" si="98"/>
        <v>0.28679150328501118</v>
      </c>
      <c r="Q878" s="37">
        <f t="shared" si="99"/>
        <v>0.61576984230637422</v>
      </c>
      <c r="R878" s="37">
        <v>1.38E-2</v>
      </c>
      <c r="S878" s="44" t="s">
        <v>1393</v>
      </c>
      <c r="T878" s="45">
        <v>1.73521591</v>
      </c>
      <c r="U878" s="45">
        <v>0.31627744600000002</v>
      </c>
      <c r="V878" s="45">
        <v>2.1638463400000001</v>
      </c>
      <c r="W878" s="45">
        <v>1.3108790400000001E-2</v>
      </c>
      <c r="X878" s="45">
        <v>6.2142166300000003E-2</v>
      </c>
      <c r="Y878" s="45">
        <v>178.84555800000001</v>
      </c>
      <c r="Z878" s="36">
        <v>3.25</v>
      </c>
      <c r="AA878" s="38">
        <v>613</v>
      </c>
      <c r="AB878" s="38">
        <v>707</v>
      </c>
      <c r="AC878" s="49" t="s">
        <v>506</v>
      </c>
      <c r="AD878" s="39" t="s">
        <v>1371</v>
      </c>
      <c r="AE878" s="48" t="str">
        <f t="shared" si="100"/>
        <v/>
      </c>
    </row>
    <row r="879" spans="1:31" ht="15" thickBot="1">
      <c r="A879" s="34">
        <v>877</v>
      </c>
      <c r="B879" s="34" t="s">
        <v>753</v>
      </c>
      <c r="C879" s="41" t="s">
        <v>1356</v>
      </c>
      <c r="D879" s="34" t="s">
        <v>719</v>
      </c>
      <c r="E879" s="80">
        <f t="shared" si="93"/>
        <v>1.7847199982470374</v>
      </c>
      <c r="F879" s="35">
        <f t="shared" si="94"/>
        <v>25.720374244891278</v>
      </c>
      <c r="G879" s="42" cm="1">
        <f t="array" ref="G87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25.512187688261811</v>
      </c>
      <c r="H879" s="81" cm="1">
        <f t="array" ref="H8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1.775970085597544</v>
      </c>
      <c r="I879" s="81" cm="1">
        <f t="array" ref="I8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1.7847199982470374</v>
      </c>
      <c r="J879" s="81" cm="1">
        <f t="array" ref="J8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1.7919065738004665</v>
      </c>
      <c r="K879" s="81" cm="1">
        <f t="array" ref="K8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1.8064797504560521</v>
      </c>
      <c r="L879" s="81" cm="1">
        <f t="array" ref="L8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1.825266681974796</v>
      </c>
      <c r="M879" s="37">
        <f t="shared" si="95"/>
        <v>3.0509664858508145E-2</v>
      </c>
      <c r="N879" s="43">
        <f t="shared" si="96"/>
        <v>8.7499126494934298E-3</v>
      </c>
      <c r="O879" s="43">
        <f t="shared" si="97"/>
        <v>1.8786931518743888E-2</v>
      </c>
      <c r="P879" s="43">
        <f t="shared" si="98"/>
        <v>0.28679150328501118</v>
      </c>
      <c r="Q879" s="37">
        <f t="shared" si="99"/>
        <v>0.61576984230637422</v>
      </c>
      <c r="R879" s="37">
        <v>1.38E-2</v>
      </c>
      <c r="S879" s="44" t="s">
        <v>1393</v>
      </c>
      <c r="T879" s="45">
        <v>1.73521591</v>
      </c>
      <c r="U879" s="45">
        <v>0.31627744600000002</v>
      </c>
      <c r="V879" s="45">
        <v>2.1638463400000001</v>
      </c>
      <c r="W879" s="45">
        <v>1.3108790400000001E-2</v>
      </c>
      <c r="X879" s="45">
        <v>6.2142166300000003E-2</v>
      </c>
      <c r="Y879" s="45">
        <v>178.84555800000001</v>
      </c>
      <c r="Z879" s="36">
        <v>3.25</v>
      </c>
      <c r="AA879" s="38">
        <v>613</v>
      </c>
      <c r="AB879" s="38">
        <v>707</v>
      </c>
      <c r="AC879" s="49" t="s">
        <v>506</v>
      </c>
      <c r="AD879" s="39" t="s">
        <v>1371</v>
      </c>
      <c r="AE879" s="48" t="str">
        <f t="shared" si="100"/>
        <v>Transmission improved type.</v>
      </c>
    </row>
    <row r="880" spans="1:31" ht="15" thickBot="1">
      <c r="A880" s="34">
        <v>878</v>
      </c>
      <c r="B880" s="34" t="s">
        <v>753</v>
      </c>
      <c r="C880" s="41" t="s">
        <v>1356</v>
      </c>
      <c r="D880" s="34" t="s">
        <v>632</v>
      </c>
      <c r="E880" s="80">
        <f t="shared" si="93"/>
        <v>1.784723603685467</v>
      </c>
      <c r="F880" s="35">
        <f t="shared" si="94"/>
        <v>25.754378711834189</v>
      </c>
      <c r="G880" s="42" cm="1">
        <f t="array" ref="G88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25.553685972404903</v>
      </c>
      <c r="H880" s="81" cm="1">
        <f t="array" ref="H8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1.775978689183106</v>
      </c>
      <c r="I880" s="81" cm="1">
        <f t="array" ref="I8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1.784723603685467</v>
      </c>
      <c r="J880" s="81" cm="1">
        <f t="array" ref="J8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1.7919169424967181</v>
      </c>
      <c r="K880" s="81" cm="1">
        <f t="array" ref="K8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1.8064482109862037</v>
      </c>
      <c r="L880" s="81" cm="1">
        <f t="array" ref="L8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1.8250199731699852</v>
      </c>
      <c r="M880" s="37">
        <f t="shared" si="95"/>
        <v>3.0469521803097699E-2</v>
      </c>
      <c r="N880" s="43">
        <f t="shared" si="96"/>
        <v>8.7449145023610342E-3</v>
      </c>
      <c r="O880" s="43">
        <f t="shared" si="97"/>
        <v>1.8571762183781537E-2</v>
      </c>
      <c r="P880" s="43">
        <f t="shared" si="98"/>
        <v>0.28700530841517763</v>
      </c>
      <c r="Q880" s="37">
        <f t="shared" si="99"/>
        <v>0.60951931913461899</v>
      </c>
      <c r="R880" s="37">
        <v>8.0000000000000002E-3</v>
      </c>
      <c r="S880" s="44" t="s">
        <v>1394</v>
      </c>
      <c r="T880" s="45">
        <v>3.0616123499999999</v>
      </c>
      <c r="U880" s="45">
        <v>-1.4589514200000001E-2</v>
      </c>
      <c r="V880" s="45">
        <v>3.28146593E-2</v>
      </c>
      <c r="W880" s="45">
        <v>5.2398995399999997E-3</v>
      </c>
      <c r="X880" s="45">
        <v>-5.6050549399999997E-4</v>
      </c>
      <c r="Y880" s="45">
        <v>4.6423412499999998E-5</v>
      </c>
      <c r="Z880" s="36">
        <v>4.87</v>
      </c>
      <c r="AA880" s="38">
        <v>433</v>
      </c>
      <c r="AB880" s="38">
        <v>553</v>
      </c>
      <c r="AC880" s="49" t="s">
        <v>506</v>
      </c>
      <c r="AD880" s="49" t="s">
        <v>506</v>
      </c>
      <c r="AE880" s="48" t="str">
        <f t="shared" si="100"/>
        <v/>
      </c>
    </row>
    <row r="881" spans="1:31" ht="15" thickBot="1">
      <c r="A881" s="34">
        <v>879</v>
      </c>
      <c r="B881" s="34" t="s">
        <v>753</v>
      </c>
      <c r="C881" s="41" t="s">
        <v>1356</v>
      </c>
      <c r="D881" s="34" t="s">
        <v>633</v>
      </c>
      <c r="E881" s="80">
        <f t="shared" si="93"/>
        <v>1.6668002028059639</v>
      </c>
      <c r="F881" s="35">
        <f t="shared" si="94"/>
        <v>33.054142256210575</v>
      </c>
      <c r="G881" s="42" cm="1">
        <f t="array" ref="G88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32.799035291393245</v>
      </c>
      <c r="H881" s="81" cm="1">
        <f t="array" ref="H8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1.6609201797441895</v>
      </c>
      <c r="I881" s="81" cm="1">
        <f t="array" ref="I8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1.6668002028059639</v>
      </c>
      <c r="J881" s="81" cm="1">
        <f t="array" ref="J8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1.6715690461333039</v>
      </c>
      <c r="K881" s="81" cm="1">
        <f t="array" ref="K8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1.6810931492206755</v>
      </c>
      <c r="L881" s="81" cm="1">
        <f t="array" ref="L8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1.6931069851568443</v>
      </c>
      <c r="M881" s="37">
        <f t="shared" si="95"/>
        <v>2.0172969476486058E-2</v>
      </c>
      <c r="N881" s="43">
        <f t="shared" si="96"/>
        <v>5.8800230617743754E-3</v>
      </c>
      <c r="O881" s="43">
        <f t="shared" si="97"/>
        <v>1.2013835936168782E-2</v>
      </c>
      <c r="P881" s="43">
        <f t="shared" si="98"/>
        <v>0.29148029340094062</v>
      </c>
      <c r="Q881" s="37">
        <f t="shared" si="99"/>
        <v>0.59554127369162502</v>
      </c>
      <c r="R881" s="37">
        <v>6.1000000000000004E-3</v>
      </c>
      <c r="S881" s="44" t="s">
        <v>1393</v>
      </c>
      <c r="T881" s="45">
        <v>0.15363352899999999</v>
      </c>
      <c r="U881" s="45">
        <v>1.5407050799999999</v>
      </c>
      <c r="V881" s="45">
        <v>1.20956745</v>
      </c>
      <c r="W881" s="45">
        <v>6.0380621000000002E-2</v>
      </c>
      <c r="X881" s="45">
        <v>1.18591415E-2</v>
      </c>
      <c r="Y881" s="45">
        <v>119.979606</v>
      </c>
      <c r="Z881" s="36">
        <v>2.92</v>
      </c>
      <c r="AA881" s="38">
        <v>582</v>
      </c>
      <c r="AB881" s="38">
        <v>682</v>
      </c>
      <c r="AC881" s="49" t="s">
        <v>506</v>
      </c>
      <c r="AD881" s="49" t="s">
        <v>506</v>
      </c>
      <c r="AE881" s="48" t="str">
        <f t="shared" si="100"/>
        <v/>
      </c>
    </row>
    <row r="882" spans="1:31" ht="15" thickBot="1">
      <c r="A882" s="34">
        <v>880</v>
      </c>
      <c r="B882" s="34" t="s">
        <v>753</v>
      </c>
      <c r="C882" s="41" t="s">
        <v>1356</v>
      </c>
      <c r="D882" s="34" t="s">
        <v>634</v>
      </c>
      <c r="E882" s="80">
        <f t="shared" si="93"/>
        <v>1.7407700251824103</v>
      </c>
      <c r="F882" s="35">
        <f t="shared" si="94"/>
        <v>27.760416027376824</v>
      </c>
      <c r="G882" s="42" cm="1">
        <f t="array" ref="G88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27.539174844370777</v>
      </c>
      <c r="H882" s="81" cm="1">
        <f t="array" ref="H8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1.7330750470570908</v>
      </c>
      <c r="I882" s="81" cm="1">
        <f t="array" ref="I8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1.7407700251824103</v>
      </c>
      <c r="J882" s="81" cm="1">
        <f t="array" ref="J8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1.74706273815438</v>
      </c>
      <c r="K882" s="81" cm="1">
        <f t="array" ref="K8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1.7597594463273278</v>
      </c>
      <c r="L882" s="81" cm="1">
        <f t="array" ref="L8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1.7760217867401424</v>
      </c>
      <c r="M882" s="37">
        <f t="shared" si="95"/>
        <v>2.6684399270237025E-2</v>
      </c>
      <c r="N882" s="43">
        <f t="shared" si="96"/>
        <v>7.694978125319496E-3</v>
      </c>
      <c r="O882" s="43">
        <f t="shared" si="97"/>
        <v>1.6262340412814602E-2</v>
      </c>
      <c r="P882" s="43">
        <f t="shared" si="98"/>
        <v>0.28836992159318509</v>
      </c>
      <c r="Q882" s="37">
        <f t="shared" si="99"/>
        <v>0.6094325095395019</v>
      </c>
      <c r="R882" s="37">
        <v>1.09E-2</v>
      </c>
      <c r="S882" s="44" t="s">
        <v>1393</v>
      </c>
      <c r="T882" s="45">
        <v>1.38419227</v>
      </c>
      <c r="U882" s="45">
        <v>0.21686269699999999</v>
      </c>
      <c r="V882" s="45">
        <v>1.6985507399999999</v>
      </c>
      <c r="W882" s="45">
        <v>121.21022600000001</v>
      </c>
      <c r="X882" s="45">
        <v>6.4253434299999995E-2</v>
      </c>
      <c r="Y882" s="45">
        <v>1.35195855E-2</v>
      </c>
      <c r="Z882" s="36">
        <v>3.1</v>
      </c>
      <c r="AA882" s="38">
        <v>603</v>
      </c>
      <c r="AB882" s="38">
        <v>699</v>
      </c>
      <c r="AC882" s="49" t="s">
        <v>506</v>
      </c>
      <c r="AD882" s="49" t="s">
        <v>506</v>
      </c>
      <c r="AE882" s="48" t="str">
        <f t="shared" si="100"/>
        <v/>
      </c>
    </row>
    <row r="883" spans="1:31" ht="15" thickBot="1">
      <c r="A883" s="34">
        <v>881</v>
      </c>
      <c r="B883" s="34" t="s">
        <v>753</v>
      </c>
      <c r="C883" s="41" t="s">
        <v>1356</v>
      </c>
      <c r="D883" s="34" t="s">
        <v>635</v>
      </c>
      <c r="E883" s="80">
        <f t="shared" si="93"/>
        <v>1.7407704105723321</v>
      </c>
      <c r="F883" s="35">
        <f t="shared" si="94"/>
        <v>27.768231140913496</v>
      </c>
      <c r="G883" s="42" cm="1">
        <f t="array" ref="G88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27.555807091766017</v>
      </c>
      <c r="H883" s="81" cm="1">
        <f t="array" ref="H8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1.7330707747095888</v>
      </c>
      <c r="I883" s="81" cm="1">
        <f t="array" ref="I8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1.7407704105723321</v>
      </c>
      <c r="J883" s="81" cm="1">
        <f t="array" ref="J8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1.7470751737667964</v>
      </c>
      <c r="K883" s="81" cm="1">
        <f t="array" ref="K8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1.7597476777796186</v>
      </c>
      <c r="L883" s="81" cm="1">
        <f t="array" ref="L8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1.7758406026876827</v>
      </c>
      <c r="M883" s="37">
        <f t="shared" si="95"/>
        <v>2.6676903070029789E-2</v>
      </c>
      <c r="N883" s="43">
        <f t="shared" si="96"/>
        <v>7.6996358627432482E-3</v>
      </c>
      <c r="O883" s="43">
        <f t="shared" si="97"/>
        <v>1.6092924908064132E-2</v>
      </c>
      <c r="P883" s="43">
        <f t="shared" si="98"/>
        <v>0.28862555156911812</v>
      </c>
      <c r="Q883" s="37">
        <f t="shared" si="99"/>
        <v>0.60325311621886712</v>
      </c>
      <c r="R883" s="37">
        <v>5.0000000000000001E-3</v>
      </c>
      <c r="S883" s="44" t="s">
        <v>1394</v>
      </c>
      <c r="T883" s="45">
        <v>2.9228084000000001</v>
      </c>
      <c r="U883" s="45">
        <v>-1.3029549E-2</v>
      </c>
      <c r="V883" s="45">
        <v>2.9540007E-2</v>
      </c>
      <c r="W883" s="45">
        <v>4.1308365000000003E-3</v>
      </c>
      <c r="X883" s="45">
        <v>-4.4721542E-4</v>
      </c>
      <c r="Y883" s="45">
        <v>3.7137603000000003E-5</v>
      </c>
      <c r="Z883" s="36">
        <v>4.46</v>
      </c>
      <c r="AA883" s="38">
        <v>449</v>
      </c>
      <c r="AB883" s="38"/>
      <c r="AC883" s="49" t="s">
        <v>506</v>
      </c>
      <c r="AD883" s="49" t="s">
        <v>506</v>
      </c>
      <c r="AE883" s="48" t="str">
        <f t="shared" si="100"/>
        <v/>
      </c>
    </row>
    <row r="884" spans="1:31" ht="15" thickBot="1">
      <c r="A884" s="34">
        <v>882</v>
      </c>
      <c r="B884" s="34" t="s">
        <v>753</v>
      </c>
      <c r="C884" s="41" t="s">
        <v>1356</v>
      </c>
      <c r="D884" s="34" t="s">
        <v>636</v>
      </c>
      <c r="E884" s="80">
        <f t="shared" si="93"/>
        <v>1.7847012305149159</v>
      </c>
      <c r="F884" s="35">
        <f t="shared" si="94"/>
        <v>26.076201859298102</v>
      </c>
      <c r="G884" s="42" cm="1">
        <f t="array" ref="G88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25.87825461380141</v>
      </c>
      <c r="H884" s="81" cm="1">
        <f t="array" ref="H8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1.7760481987987953</v>
      </c>
      <c r="I884" s="81" cm="1">
        <f t="array" ref="I8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1.7847012305149159</v>
      </c>
      <c r="J884" s="81" cm="1">
        <f t="array" ref="J8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1.7918106593233634</v>
      </c>
      <c r="K884" s="81" cm="1">
        <f t="array" ref="K8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1.8061408186806709</v>
      </c>
      <c r="L884" s="81" cm="1">
        <f t="array" ref="L8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1.8243777026351913</v>
      </c>
      <c r="M884" s="37">
        <f t="shared" si="95"/>
        <v>3.0092619881875615E-2</v>
      </c>
      <c r="N884" s="43">
        <f t="shared" si="96"/>
        <v>8.6530317161206405E-3</v>
      </c>
      <c r="O884" s="43">
        <f t="shared" si="97"/>
        <v>1.8236883954520389E-2</v>
      </c>
      <c r="P884" s="43">
        <f t="shared" si="98"/>
        <v>0.28754663934502578</v>
      </c>
      <c r="Q884" s="37">
        <f t="shared" si="99"/>
        <v>0.6060251326108107</v>
      </c>
      <c r="R884" s="37">
        <v>5.1999999999999998E-3</v>
      </c>
      <c r="S884" s="44" t="s">
        <v>1394</v>
      </c>
      <c r="T884" s="45">
        <v>3.0618707600000001</v>
      </c>
      <c r="U884" s="45">
        <v>-1.38733563E-2</v>
      </c>
      <c r="V884" s="45">
        <v>3.2985222000000002E-2</v>
      </c>
      <c r="W884" s="45">
        <v>5.0714157799999996E-3</v>
      </c>
      <c r="X884" s="45">
        <v>-5.3860662900000005E-4</v>
      </c>
      <c r="Y884" s="45">
        <v>4.3608924499999999E-5</v>
      </c>
      <c r="Z884" s="36">
        <v>4.99</v>
      </c>
      <c r="AA884" s="38">
        <v>416</v>
      </c>
      <c r="AB884" s="38">
        <v>541</v>
      </c>
      <c r="AC884" s="49" t="s">
        <v>506</v>
      </c>
      <c r="AD884" s="49" t="s">
        <v>506</v>
      </c>
      <c r="AE884" s="48" t="str">
        <f t="shared" si="100"/>
        <v/>
      </c>
    </row>
    <row r="885" spans="1:31" ht="15" thickBot="1">
      <c r="A885" s="34">
        <v>883</v>
      </c>
      <c r="B885" s="34" t="s">
        <v>753</v>
      </c>
      <c r="C885" s="41" t="s">
        <v>1356</v>
      </c>
      <c r="D885" s="34" t="s">
        <v>720</v>
      </c>
      <c r="E885" s="80">
        <f t="shared" si="93"/>
        <v>1.846660049681571</v>
      </c>
      <c r="F885" s="35">
        <f t="shared" si="94"/>
        <v>23.784802667885067</v>
      </c>
      <c r="G885" s="42" cm="1">
        <f t="array" ref="G88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23.594928515210125</v>
      </c>
      <c r="H885" s="81" cm="1">
        <f t="array" ref="H8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1.8364955795442901</v>
      </c>
      <c r="I885" s="81" cm="1">
        <f t="array" ref="I8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1.846660049681571</v>
      </c>
      <c r="J885" s="81" cm="1">
        <f t="array" ref="J8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1.8550376906782975</v>
      </c>
      <c r="K885" s="81" cm="1">
        <f t="array" ref="K8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1.8720922612365354</v>
      </c>
      <c r="L885" s="81" cm="1">
        <f t="array" ref="L8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1.8941898260444463</v>
      </c>
      <c r="M885" s="37">
        <f t="shared" si="95"/>
        <v>3.559668169224528E-2</v>
      </c>
      <c r="N885" s="43">
        <f t="shared" si="96"/>
        <v>1.0164470137280945E-2</v>
      </c>
      <c r="O885" s="43">
        <f t="shared" si="97"/>
        <v>2.2097564807910919E-2</v>
      </c>
      <c r="P885" s="43">
        <f t="shared" si="98"/>
        <v>0.28554544002609294</v>
      </c>
      <c r="Q885" s="37">
        <f t="shared" si="99"/>
        <v>0.62077597566418286</v>
      </c>
      <c r="R885" s="37">
        <v>1.55E-2</v>
      </c>
      <c r="S885" s="44" t="s">
        <v>1393</v>
      </c>
      <c r="T885" s="45">
        <v>0.40998261499999999</v>
      </c>
      <c r="U885" s="45">
        <v>2.3751717600000002</v>
      </c>
      <c r="V885" s="45">
        <v>1.8391358200000001</v>
      </c>
      <c r="W885" s="45">
        <v>6.2142119900000001E-2</v>
      </c>
      <c r="X885" s="45">
        <v>185.05513400000001</v>
      </c>
      <c r="Y885" s="45">
        <v>1.36093459E-2</v>
      </c>
      <c r="Z885" s="36">
        <v>3.51</v>
      </c>
      <c r="AA885" s="38">
        <v>626</v>
      </c>
      <c r="AB885" s="38">
        <v>711</v>
      </c>
      <c r="AC885" s="49" t="s">
        <v>506</v>
      </c>
      <c r="AD885" s="39" t="s">
        <v>1371</v>
      </c>
      <c r="AE885" s="48" t="str">
        <f t="shared" si="100"/>
        <v/>
      </c>
    </row>
    <row r="886" spans="1:31" ht="15" thickBot="1">
      <c r="A886" s="34">
        <v>884</v>
      </c>
      <c r="B886" s="34" t="s">
        <v>753</v>
      </c>
      <c r="C886" s="41" t="s">
        <v>1356</v>
      </c>
      <c r="D886" s="34" t="s">
        <v>721</v>
      </c>
      <c r="E886" s="80">
        <f t="shared" si="93"/>
        <v>1.846660049681571</v>
      </c>
      <c r="F886" s="35">
        <f t="shared" si="94"/>
        <v>23.784802667885067</v>
      </c>
      <c r="G886" s="42" cm="1">
        <f t="array" ref="G88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23.594928515210125</v>
      </c>
      <c r="H886" s="81" cm="1">
        <f t="array" ref="H8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1.8364955795442901</v>
      </c>
      <c r="I886" s="81" cm="1">
        <f t="array" ref="I8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1.846660049681571</v>
      </c>
      <c r="J886" s="81" cm="1">
        <f t="array" ref="J8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1.8550376906782975</v>
      </c>
      <c r="K886" s="81" cm="1">
        <f t="array" ref="K8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1.8720922612365354</v>
      </c>
      <c r="L886" s="81" cm="1">
        <f t="array" ref="L8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1.8941898260444463</v>
      </c>
      <c r="M886" s="37">
        <f t="shared" si="95"/>
        <v>3.559668169224528E-2</v>
      </c>
      <c r="N886" s="43">
        <f t="shared" si="96"/>
        <v>1.0164470137280945E-2</v>
      </c>
      <c r="O886" s="43">
        <f t="shared" si="97"/>
        <v>2.2097564807910919E-2</v>
      </c>
      <c r="P886" s="43">
        <f t="shared" si="98"/>
        <v>0.28554544002609294</v>
      </c>
      <c r="Q886" s="37">
        <f t="shared" si="99"/>
        <v>0.62077597566418286</v>
      </c>
      <c r="R886" s="37">
        <v>1.55E-2</v>
      </c>
      <c r="S886" s="44" t="s">
        <v>1393</v>
      </c>
      <c r="T886" s="45">
        <v>0.40998261499999999</v>
      </c>
      <c r="U886" s="45">
        <v>2.3751717600000002</v>
      </c>
      <c r="V886" s="45">
        <v>1.8391358200000001</v>
      </c>
      <c r="W886" s="45">
        <v>6.2142119900000001E-2</v>
      </c>
      <c r="X886" s="45">
        <v>185.05513400000001</v>
      </c>
      <c r="Y886" s="45">
        <v>1.36093459E-2</v>
      </c>
      <c r="Z886" s="36">
        <v>3.51</v>
      </c>
      <c r="AA886" s="38">
        <v>626</v>
      </c>
      <c r="AB886" s="38">
        <v>711</v>
      </c>
      <c r="AC886" s="49" t="s">
        <v>506</v>
      </c>
      <c r="AD886" s="39" t="s">
        <v>1371</v>
      </c>
      <c r="AE886" s="48" t="str">
        <f t="shared" si="100"/>
        <v>Transmission improved type.</v>
      </c>
    </row>
    <row r="887" spans="1:31" ht="15" thickBot="1">
      <c r="A887" s="34">
        <v>885</v>
      </c>
      <c r="B887" s="34" t="s">
        <v>753</v>
      </c>
      <c r="C887" s="41" t="s">
        <v>1356</v>
      </c>
      <c r="D887" s="34" t="s">
        <v>722</v>
      </c>
      <c r="E887" s="80">
        <f t="shared" si="93"/>
        <v>1.846660049681571</v>
      </c>
      <c r="F887" s="35">
        <f t="shared" si="94"/>
        <v>23.784802667885067</v>
      </c>
      <c r="G887" s="42" cm="1">
        <f t="array" ref="G88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23.594928515210125</v>
      </c>
      <c r="H887" s="81" cm="1">
        <f t="array" ref="H8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1.8364955795442901</v>
      </c>
      <c r="I887" s="81" cm="1">
        <f t="array" ref="I8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1.846660049681571</v>
      </c>
      <c r="J887" s="81" cm="1">
        <f t="array" ref="J8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1.8550376906782975</v>
      </c>
      <c r="K887" s="81" cm="1">
        <f t="array" ref="K8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1.8720922612365354</v>
      </c>
      <c r="L887" s="81" cm="1">
        <f t="array" ref="L8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1.8941898260444463</v>
      </c>
      <c r="M887" s="37">
        <f t="shared" si="95"/>
        <v>3.559668169224528E-2</v>
      </c>
      <c r="N887" s="43">
        <f t="shared" si="96"/>
        <v>1.0164470137280945E-2</v>
      </c>
      <c r="O887" s="43">
        <f t="shared" si="97"/>
        <v>2.2097564807910919E-2</v>
      </c>
      <c r="P887" s="43">
        <f t="shared" si="98"/>
        <v>0.28554544002609294</v>
      </c>
      <c r="Q887" s="37">
        <f t="shared" si="99"/>
        <v>0.62077597566418286</v>
      </c>
      <c r="R887" s="37">
        <v>1.55E-2</v>
      </c>
      <c r="S887" s="44" t="s">
        <v>1393</v>
      </c>
      <c r="T887" s="45">
        <v>0.40998261499999999</v>
      </c>
      <c r="U887" s="45">
        <v>2.3751717600000002</v>
      </c>
      <c r="V887" s="45">
        <v>1.8391358200000001</v>
      </c>
      <c r="W887" s="45">
        <v>6.2142119900000001E-2</v>
      </c>
      <c r="X887" s="45">
        <v>185.05513400000001</v>
      </c>
      <c r="Y887" s="45">
        <v>1.36093459E-2</v>
      </c>
      <c r="Z887" s="36">
        <v>3.51</v>
      </c>
      <c r="AA887" s="38">
        <v>626</v>
      </c>
      <c r="AB887" s="38">
        <v>711</v>
      </c>
      <c r="AC887" s="49" t="s">
        <v>506</v>
      </c>
      <c r="AD887" s="49" t="s">
        <v>506</v>
      </c>
      <c r="AE887" s="48" t="str">
        <f t="shared" si="100"/>
        <v/>
      </c>
    </row>
    <row r="888" spans="1:31" ht="15" thickBot="1">
      <c r="A888" s="34">
        <v>886</v>
      </c>
      <c r="B888" s="34" t="s">
        <v>753</v>
      </c>
      <c r="C888" s="41" t="s">
        <v>1356</v>
      </c>
      <c r="D888" s="34" t="s">
        <v>637</v>
      </c>
      <c r="E888" s="80">
        <f t="shared" si="93"/>
        <v>1.8466703940019651</v>
      </c>
      <c r="F888" s="35">
        <f t="shared" si="94"/>
        <v>23.791541739860943</v>
      </c>
      <c r="G888" s="42" cm="1">
        <f t="array" ref="G88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23.605850185897641</v>
      </c>
      <c r="H888" s="81" cm="1">
        <f t="array" ref="H8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1.8364918650541018</v>
      </c>
      <c r="I888" s="81" cm="1">
        <f t="array" ref="I8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1.8466703940019651</v>
      </c>
      <c r="J888" s="81" cm="1">
        <f t="array" ref="J8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1.8550479074332917</v>
      </c>
      <c r="K888" s="81" cm="1">
        <f t="array" ref="K8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1.8720788985998695</v>
      </c>
      <c r="L888" s="81" cm="1">
        <f t="array" ref="L8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1.8941612588406636</v>
      </c>
      <c r="M888" s="37">
        <f t="shared" si="95"/>
        <v>3.5587033545767754E-2</v>
      </c>
      <c r="N888" s="43">
        <f t="shared" si="96"/>
        <v>1.0178528947863308E-2</v>
      </c>
      <c r="O888" s="43">
        <f t="shared" si="97"/>
        <v>2.2082360240794019E-2</v>
      </c>
      <c r="P888" s="43">
        <f t="shared" si="98"/>
        <v>0.28601790971908098</v>
      </c>
      <c r="Q888" s="37">
        <f t="shared" si="99"/>
        <v>0.62051702658481911</v>
      </c>
      <c r="R888" s="37">
        <v>1.5100000000000001E-2</v>
      </c>
      <c r="S888" s="44" t="s">
        <v>1394</v>
      </c>
      <c r="T888" s="45">
        <v>3.2506862000000001</v>
      </c>
      <c r="U888" s="45">
        <v>-1.33942217E-2</v>
      </c>
      <c r="V888" s="45">
        <v>4.83625913E-2</v>
      </c>
      <c r="W888" s="45">
        <v>3.1444275100000001E-3</v>
      </c>
      <c r="X888" s="45">
        <v>-1.9707367399999999E-4</v>
      </c>
      <c r="Y888" s="45">
        <v>3.4764567899999997E-5</v>
      </c>
      <c r="Z888" s="36">
        <v>3.52</v>
      </c>
      <c r="AA888" s="38">
        <v>623</v>
      </c>
      <c r="AB888" s="38">
        <v>709</v>
      </c>
      <c r="AC888" s="49" t="s">
        <v>506</v>
      </c>
      <c r="AD888" s="49" t="s">
        <v>506</v>
      </c>
      <c r="AE888" s="48" t="str">
        <f t="shared" si="100"/>
        <v/>
      </c>
    </row>
    <row r="889" spans="1:31" ht="15" thickBot="1">
      <c r="A889" s="34">
        <v>887</v>
      </c>
      <c r="B889" s="34" t="s">
        <v>753</v>
      </c>
      <c r="C889" s="41" t="s">
        <v>1356</v>
      </c>
      <c r="D889" s="34" t="s">
        <v>638</v>
      </c>
      <c r="E889" s="80">
        <f t="shared" si="93"/>
        <v>1.84666860116692</v>
      </c>
      <c r="F889" s="35">
        <f t="shared" si="94"/>
        <v>23.827855032224107</v>
      </c>
      <c r="G889" s="42" cm="1">
        <f t="array" ref="G88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23.641615704887815</v>
      </c>
      <c r="H889" s="81" cm="1">
        <f t="array" ref="H8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1.8365087091296615</v>
      </c>
      <c r="I889" s="81" cm="1">
        <f t="array" ref="I8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1.84666860116692</v>
      </c>
      <c r="J889" s="81" cm="1">
        <f t="array" ref="J8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1.8550351585998999</v>
      </c>
      <c r="K889" s="81" cm="1">
        <f t="array" ref="K8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1.8720414333308919</v>
      </c>
      <c r="L889" s="81" cm="1">
        <f t="array" ref="L8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1.894036240963521</v>
      </c>
      <c r="M889" s="37">
        <f t="shared" si="95"/>
        <v>3.5532724201230437E-2</v>
      </c>
      <c r="N889" s="43">
        <f t="shared" si="96"/>
        <v>1.0159892037258533E-2</v>
      </c>
      <c r="O889" s="43">
        <f t="shared" si="97"/>
        <v>2.1994807632629065E-2</v>
      </c>
      <c r="P889" s="43">
        <f t="shared" si="98"/>
        <v>0.28593056867018135</v>
      </c>
      <c r="Q889" s="37">
        <f t="shared" si="99"/>
        <v>0.61900144520490841</v>
      </c>
      <c r="R889" s="37">
        <v>1.4E-2</v>
      </c>
      <c r="S889" s="44" t="s">
        <v>1394</v>
      </c>
      <c r="T889" s="45">
        <v>3.242645</v>
      </c>
      <c r="U889" s="45">
        <v>-7.7954583300000003E-3</v>
      </c>
      <c r="V889" s="45">
        <v>5.3380862100000002E-2</v>
      </c>
      <c r="W889" s="45">
        <v>1.51154152E-3</v>
      </c>
      <c r="X889" s="45">
        <v>7.2219474400000004E-5</v>
      </c>
      <c r="Y889" s="45">
        <v>1.6602659000000001E-5</v>
      </c>
      <c r="Z889" s="36">
        <v>5.49</v>
      </c>
      <c r="AA889" s="38">
        <v>409</v>
      </c>
      <c r="AB889" s="38">
        <v>525</v>
      </c>
      <c r="AC889" s="49" t="s">
        <v>506</v>
      </c>
      <c r="AD889" s="49" t="s">
        <v>506</v>
      </c>
      <c r="AE889" s="48" t="str">
        <f t="shared" si="100"/>
        <v/>
      </c>
    </row>
    <row r="890" spans="1:31" ht="15" thickBot="1">
      <c r="A890" s="34">
        <v>888</v>
      </c>
      <c r="B890" s="34" t="s">
        <v>753</v>
      </c>
      <c r="C890" s="41" t="s">
        <v>1357</v>
      </c>
      <c r="D890" s="34" t="s">
        <v>639</v>
      </c>
      <c r="E890" s="80">
        <f t="shared" si="93"/>
        <v>1.9228600786412955</v>
      </c>
      <c r="F890" s="35">
        <f t="shared" si="94"/>
        <v>20.880188839269053</v>
      </c>
      <c r="G890" s="42" cm="1">
        <f t="array" ref="G89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20.702262912341293</v>
      </c>
      <c r="H890" s="81" cm="1">
        <f t="array" ref="H8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1.9103919251660169</v>
      </c>
      <c r="I890" s="81" cm="1">
        <f t="array" ref="I8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1.9228600786412955</v>
      </c>
      <c r="J890" s="81" cm="1">
        <f t="array" ref="J8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1.9332240627951085</v>
      </c>
      <c r="K890" s="81" cm="1">
        <f t="array" ref="K8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1.9545898050676433</v>
      </c>
      <c r="L890" s="81" cm="1">
        <f t="array" ref="L8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1.9828734731692559</v>
      </c>
      <c r="M890" s="37">
        <f t="shared" si="95"/>
        <v>4.4197879901626491E-2</v>
      </c>
      <c r="N890" s="43">
        <f t="shared" si="96"/>
        <v>1.2468153475278632E-2</v>
      </c>
      <c r="O890" s="43">
        <f t="shared" si="97"/>
        <v>2.8283668101612536E-2</v>
      </c>
      <c r="P890" s="43">
        <f t="shared" si="98"/>
        <v>0.28209845139698209</v>
      </c>
      <c r="Q890" s="37">
        <f t="shared" si="99"/>
        <v>0.63993268827746852</v>
      </c>
      <c r="R890" s="37">
        <v>2.98E-2</v>
      </c>
      <c r="S890" s="44" t="s">
        <v>1393</v>
      </c>
      <c r="T890" s="45">
        <v>2.55246796</v>
      </c>
      <c r="U890" s="45">
        <v>0.465681607</v>
      </c>
      <c r="V890" s="45">
        <v>2.0289467999999999</v>
      </c>
      <c r="W890" s="45">
        <v>162.450683</v>
      </c>
      <c r="X890" s="45">
        <v>6.9560080999999996E-2</v>
      </c>
      <c r="Y890" s="45">
        <v>1.4771138E-2</v>
      </c>
      <c r="Z890" s="36">
        <v>4.01</v>
      </c>
      <c r="AA890" s="38">
        <v>720</v>
      </c>
      <c r="AB890" s="38">
        <v>806</v>
      </c>
      <c r="AC890" s="49" t="s">
        <v>506</v>
      </c>
      <c r="AD890" s="39" t="s">
        <v>1371</v>
      </c>
      <c r="AE890" s="48" t="str">
        <f t="shared" si="100"/>
        <v/>
      </c>
    </row>
    <row r="891" spans="1:31" ht="15" thickBot="1">
      <c r="A891" s="34">
        <v>889</v>
      </c>
      <c r="B891" s="34" t="s">
        <v>753</v>
      </c>
      <c r="C891" s="41" t="s">
        <v>1357</v>
      </c>
      <c r="D891" s="34" t="s">
        <v>754</v>
      </c>
      <c r="E891" s="80">
        <f t="shared" si="93"/>
        <v>1.9228600786412955</v>
      </c>
      <c r="F891" s="35">
        <f t="shared" si="94"/>
        <v>20.880188839269053</v>
      </c>
      <c r="G891" s="42" cm="1">
        <f t="array" ref="G89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20.702262912341293</v>
      </c>
      <c r="H891" s="81" cm="1">
        <f t="array" ref="H8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1.9103919251660169</v>
      </c>
      <c r="I891" s="81" cm="1">
        <f t="array" ref="I8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1.9228600786412955</v>
      </c>
      <c r="J891" s="81" cm="1">
        <f t="array" ref="J8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1.9332240627951085</v>
      </c>
      <c r="K891" s="81" cm="1">
        <f t="array" ref="K8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1.9545898050676433</v>
      </c>
      <c r="L891" s="81" cm="1">
        <f t="array" ref="L8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1.9828734731692559</v>
      </c>
      <c r="M891" s="37">
        <f t="shared" si="95"/>
        <v>4.4197879901626491E-2</v>
      </c>
      <c r="N891" s="43">
        <f t="shared" si="96"/>
        <v>1.2468153475278632E-2</v>
      </c>
      <c r="O891" s="43">
        <f t="shared" si="97"/>
        <v>2.8283668101612536E-2</v>
      </c>
      <c r="P891" s="43">
        <f t="shared" si="98"/>
        <v>0.28209845139698209</v>
      </c>
      <c r="Q891" s="37">
        <f t="shared" si="99"/>
        <v>0.63993268827746852</v>
      </c>
      <c r="R891" s="37">
        <v>2.98E-2</v>
      </c>
      <c r="S891" s="44" t="s">
        <v>1393</v>
      </c>
      <c r="T891" s="45">
        <v>2.55246796</v>
      </c>
      <c r="U891" s="45">
        <v>0.465681607</v>
      </c>
      <c r="V891" s="45">
        <v>2.0289467999999999</v>
      </c>
      <c r="W891" s="45">
        <v>162.450683</v>
      </c>
      <c r="X891" s="45">
        <v>6.9560080999999996E-2</v>
      </c>
      <c r="Y891" s="45">
        <v>1.4771138E-2</v>
      </c>
      <c r="Z891" s="36">
        <v>4.01</v>
      </c>
      <c r="AA891" s="38">
        <v>720</v>
      </c>
      <c r="AB891" s="38">
        <v>806</v>
      </c>
      <c r="AC891" s="49" t="s">
        <v>506</v>
      </c>
      <c r="AD891" s="39" t="s">
        <v>1371</v>
      </c>
      <c r="AE891" s="48" t="str">
        <f t="shared" si="100"/>
        <v>Transmission improved type.</v>
      </c>
    </row>
    <row r="892" spans="1:31" ht="15" thickBot="1">
      <c r="A892" s="34">
        <v>890</v>
      </c>
      <c r="B892" s="34" t="s">
        <v>753</v>
      </c>
      <c r="C892" s="41" t="s">
        <v>1357</v>
      </c>
      <c r="D892" s="34" t="s">
        <v>723</v>
      </c>
      <c r="E892" s="80">
        <f t="shared" si="93"/>
        <v>1.8081000696557556</v>
      </c>
      <c r="F892" s="35">
        <f t="shared" si="94"/>
        <v>22.69838108901121</v>
      </c>
      <c r="G892" s="42" cm="1">
        <f t="array" ref="G89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22.509786164920264</v>
      </c>
      <c r="H892" s="81" cm="1">
        <f t="array" ref="H8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1.7979832231135553</v>
      </c>
      <c r="I892" s="81" cm="1">
        <f t="array" ref="I8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1.8081000696557556</v>
      </c>
      <c r="J892" s="81" cm="1">
        <f t="array" ref="J8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1.8164634240218023</v>
      </c>
      <c r="K892" s="81" cm="1">
        <f t="array" ref="K8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1.8335848841521469</v>
      </c>
      <c r="L892" s="81" cm="1">
        <f t="array" ref="L8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1.8559971581821952</v>
      </c>
      <c r="M892" s="37">
        <f t="shared" si="95"/>
        <v>3.5601661038591637E-2</v>
      </c>
      <c r="N892" s="43">
        <f t="shared" si="96"/>
        <v>1.0116846542200353E-2</v>
      </c>
      <c r="O892" s="43">
        <f t="shared" si="97"/>
        <v>2.2412274030048307E-2</v>
      </c>
      <c r="P892" s="43">
        <f t="shared" si="98"/>
        <v>0.28416782383366473</v>
      </c>
      <c r="Q892" s="37">
        <f t="shared" si="99"/>
        <v>0.62952888646835203</v>
      </c>
      <c r="R892" s="37">
        <v>2.24E-2</v>
      </c>
      <c r="S892" s="44" t="s">
        <v>1393</v>
      </c>
      <c r="T892" s="45">
        <v>0.40680486799999999</v>
      </c>
      <c r="U892" s="45">
        <v>1.7083109700000001</v>
      </c>
      <c r="V892" s="45">
        <v>2.3613730300000002</v>
      </c>
      <c r="W892" s="45">
        <v>6.4515213000000002E-2</v>
      </c>
      <c r="X892" s="45">
        <v>1.2770323700000001E-2</v>
      </c>
      <c r="Y892" s="45">
        <v>163.27558500000001</v>
      </c>
      <c r="Z892" s="36">
        <v>3.3</v>
      </c>
      <c r="AA892" s="38">
        <v>566</v>
      </c>
      <c r="AB892" s="38">
        <v>663</v>
      </c>
      <c r="AC892" s="49" t="s">
        <v>506</v>
      </c>
      <c r="AD892" s="49" t="s">
        <v>506</v>
      </c>
      <c r="AE892" s="48" t="str">
        <f t="shared" si="100"/>
        <v/>
      </c>
    </row>
    <row r="893" spans="1:31" ht="15" thickBot="1">
      <c r="A893" s="34">
        <v>891</v>
      </c>
      <c r="B893" s="34" t="s">
        <v>753</v>
      </c>
      <c r="C893" s="41" t="s">
        <v>1357</v>
      </c>
      <c r="D893" s="34" t="s">
        <v>755</v>
      </c>
      <c r="E893" s="80">
        <f t="shared" si="93"/>
        <v>1.8081000696557556</v>
      </c>
      <c r="F893" s="35">
        <f t="shared" si="94"/>
        <v>22.69838108901121</v>
      </c>
      <c r="G893" s="42" cm="1">
        <f t="array" ref="G89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22.509786164920264</v>
      </c>
      <c r="H893" s="81" cm="1">
        <f t="array" ref="H8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1.7979832231135553</v>
      </c>
      <c r="I893" s="81" cm="1">
        <f t="array" ref="I8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1.8081000696557556</v>
      </c>
      <c r="J893" s="81" cm="1">
        <f t="array" ref="J8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1.8164634240218023</v>
      </c>
      <c r="K893" s="81" cm="1">
        <f t="array" ref="K8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1.8335848841521469</v>
      </c>
      <c r="L893" s="81" cm="1">
        <f t="array" ref="L8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1.8559971581821952</v>
      </c>
      <c r="M893" s="37">
        <f t="shared" si="95"/>
        <v>3.5601661038591637E-2</v>
      </c>
      <c r="N893" s="43">
        <f t="shared" si="96"/>
        <v>1.0116846542200353E-2</v>
      </c>
      <c r="O893" s="43">
        <f t="shared" si="97"/>
        <v>2.2412274030048307E-2</v>
      </c>
      <c r="P893" s="43">
        <f t="shared" si="98"/>
        <v>0.28416782383366473</v>
      </c>
      <c r="Q893" s="37">
        <f t="shared" si="99"/>
        <v>0.62952888646835203</v>
      </c>
      <c r="R893" s="37">
        <v>2.24E-2</v>
      </c>
      <c r="S893" s="44" t="s">
        <v>1393</v>
      </c>
      <c r="T893" s="45">
        <v>0.40680486799999999</v>
      </c>
      <c r="U893" s="45">
        <v>1.7083109700000001</v>
      </c>
      <c r="V893" s="45">
        <v>2.3613730300000002</v>
      </c>
      <c r="W893" s="45">
        <v>6.4515213000000002E-2</v>
      </c>
      <c r="X893" s="45">
        <v>1.2770323700000001E-2</v>
      </c>
      <c r="Y893" s="45">
        <v>163.27558500000001</v>
      </c>
      <c r="Z893" s="36">
        <v>3.3</v>
      </c>
      <c r="AA893" s="38">
        <v>566</v>
      </c>
      <c r="AB893" s="38">
        <v>663</v>
      </c>
      <c r="AC893" s="49" t="s">
        <v>506</v>
      </c>
      <c r="AD893" s="49" t="s">
        <v>506</v>
      </c>
      <c r="AE893" s="48" t="str">
        <f t="shared" si="100"/>
        <v>Transmission improved type.</v>
      </c>
    </row>
    <row r="894" spans="1:31" ht="15" thickBot="1">
      <c r="A894" s="34">
        <v>892</v>
      </c>
      <c r="B894" s="34" t="s">
        <v>753</v>
      </c>
      <c r="C894" s="41" t="s">
        <v>1357</v>
      </c>
      <c r="D894" s="34" t="s">
        <v>724</v>
      </c>
      <c r="E894" s="80">
        <f t="shared" si="93"/>
        <v>1.9228600575728108</v>
      </c>
      <c r="F894" s="35">
        <f t="shared" si="94"/>
        <v>18.896137261663497</v>
      </c>
      <c r="G894" s="42" cm="1">
        <f t="array" ref="G89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18.739170512109791</v>
      </c>
      <c r="H894" s="81" cm="1">
        <f t="array" ref="H8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1.9091648814370066</v>
      </c>
      <c r="I894" s="81" cm="1">
        <f t="array" ref="I8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1.9228600575728108</v>
      </c>
      <c r="J894" s="81" cm="1">
        <f t="array" ref="J8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1.9342905657520773</v>
      </c>
      <c r="K894" s="81" cm="1">
        <f t="array" ref="K8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1.9580034374230022</v>
      </c>
      <c r="L894" s="81" cm="1">
        <f t="array" ref="L8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1.989744267754084</v>
      </c>
      <c r="M894" s="37">
        <f t="shared" si="95"/>
        <v>4.8838555985995624E-2</v>
      </c>
      <c r="N894" s="43">
        <f t="shared" si="96"/>
        <v>1.3695176135804177E-2</v>
      </c>
      <c r="O894" s="43">
        <f t="shared" si="97"/>
        <v>3.1740830331081771E-2</v>
      </c>
      <c r="P894" s="43">
        <f t="shared" si="98"/>
        <v>0.2804173026682289</v>
      </c>
      <c r="Q894" s="37">
        <f t="shared" si="99"/>
        <v>0.6499133664022213</v>
      </c>
      <c r="R894" s="37">
        <v>3.6299999999999999E-2</v>
      </c>
      <c r="S894" s="44" t="s">
        <v>1393</v>
      </c>
      <c r="T894" s="45">
        <v>0.47047865300000002</v>
      </c>
      <c r="U894" s="45">
        <v>2.5504023299999998</v>
      </c>
      <c r="V894" s="45">
        <v>2.0059344100000001</v>
      </c>
      <c r="W894" s="45">
        <v>7.3602450900000005E-2</v>
      </c>
      <c r="X894" s="45">
        <v>149.30662100000001</v>
      </c>
      <c r="Y894" s="45">
        <v>1.6299922599999999E-2</v>
      </c>
      <c r="Z894" s="36">
        <v>3.57</v>
      </c>
      <c r="AA894" s="38">
        <v>667</v>
      </c>
      <c r="AB894" s="38">
        <v>749</v>
      </c>
      <c r="AC894" s="49" t="s">
        <v>506</v>
      </c>
      <c r="AD894" s="39" t="s">
        <v>1371</v>
      </c>
      <c r="AE894" s="48" t="str">
        <f t="shared" si="100"/>
        <v/>
      </c>
    </row>
    <row r="895" spans="1:31" ht="15" thickBot="1">
      <c r="A895" s="34">
        <v>893</v>
      </c>
      <c r="B895" s="34" t="s">
        <v>753</v>
      </c>
      <c r="C895" s="41" t="s">
        <v>1357</v>
      </c>
      <c r="D895" s="34" t="s">
        <v>759</v>
      </c>
      <c r="E895" s="80">
        <f t="shared" si="93"/>
        <v>1.9228600575728108</v>
      </c>
      <c r="F895" s="35">
        <f t="shared" si="94"/>
        <v>18.896137261663497</v>
      </c>
      <c r="G895" s="42" cm="1">
        <f t="array" ref="G89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18.739170512109791</v>
      </c>
      <c r="H895" s="81" cm="1">
        <f t="array" ref="H8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1.9091648814370066</v>
      </c>
      <c r="I895" s="81" cm="1">
        <f t="array" ref="I8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1.9228600575728108</v>
      </c>
      <c r="J895" s="81" cm="1">
        <f t="array" ref="J8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1.9342905657520773</v>
      </c>
      <c r="K895" s="81" cm="1">
        <f t="array" ref="K8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1.9580034374230022</v>
      </c>
      <c r="L895" s="81" cm="1">
        <f t="array" ref="L8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1.989744267754084</v>
      </c>
      <c r="M895" s="37">
        <f t="shared" si="95"/>
        <v>4.8838555985995624E-2</v>
      </c>
      <c r="N895" s="43">
        <f t="shared" si="96"/>
        <v>1.3695176135804177E-2</v>
      </c>
      <c r="O895" s="43">
        <f t="shared" si="97"/>
        <v>3.1740830331081771E-2</v>
      </c>
      <c r="P895" s="43">
        <f t="shared" si="98"/>
        <v>0.2804173026682289</v>
      </c>
      <c r="Q895" s="37">
        <f t="shared" si="99"/>
        <v>0.6499133664022213</v>
      </c>
      <c r="R895" s="37">
        <v>3.6299999999999999E-2</v>
      </c>
      <c r="S895" s="44" t="s">
        <v>1393</v>
      </c>
      <c r="T895" s="45">
        <v>0.47047865300000002</v>
      </c>
      <c r="U895" s="45">
        <v>2.5504023299999998</v>
      </c>
      <c r="V895" s="45">
        <v>2.0059344100000001</v>
      </c>
      <c r="W895" s="45">
        <v>7.3602450900000005E-2</v>
      </c>
      <c r="X895" s="45">
        <v>149.30662100000001</v>
      </c>
      <c r="Y895" s="45">
        <v>1.6299922599999999E-2</v>
      </c>
      <c r="Z895" s="36">
        <v>3.57</v>
      </c>
      <c r="AA895" s="38">
        <v>667</v>
      </c>
      <c r="AB895" s="38">
        <v>749</v>
      </c>
      <c r="AC895" s="49" t="s">
        <v>506</v>
      </c>
      <c r="AD895" s="49" t="s">
        <v>506</v>
      </c>
      <c r="AE895" s="48" t="str">
        <f t="shared" si="100"/>
        <v>Transmission improved type.</v>
      </c>
    </row>
    <row r="896" spans="1:31" ht="15" thickBot="1">
      <c r="A896" s="34">
        <v>894</v>
      </c>
      <c r="B896" s="34" t="s">
        <v>753</v>
      </c>
      <c r="C896" s="41" t="s">
        <v>1357</v>
      </c>
      <c r="D896" s="34" t="s">
        <v>760</v>
      </c>
      <c r="E896" s="80">
        <f t="shared" si="93"/>
        <v>1.9590601770095375</v>
      </c>
      <c r="F896" s="35">
        <f t="shared" si="94"/>
        <v>17.472667294648275</v>
      </c>
      <c r="G896" s="42" cm="1">
        <f t="array" ref="G89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17.329925864443382</v>
      </c>
      <c r="H896" s="81" cm="1">
        <f t="array" ref="H8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1.9437529733384913</v>
      </c>
      <c r="I896" s="81" cm="1">
        <f t="array" ref="I8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1.9590601770095375</v>
      </c>
      <c r="J896" s="81" cm="1">
        <f t="array" ref="J8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1.9718856735279344</v>
      </c>
      <c r="K896" s="81" cm="1">
        <f t="array" ref="K8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1.9986421417085254</v>
      </c>
      <c r="L896" s="81" cm="1">
        <f t="array" ref="L8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2.0347940283815662</v>
      </c>
      <c r="M896" s="37">
        <f t="shared" si="95"/>
        <v>5.4889168370034103E-2</v>
      </c>
      <c r="N896" s="43">
        <f t="shared" si="96"/>
        <v>1.530720367104621E-2</v>
      </c>
      <c r="O896" s="43">
        <f t="shared" si="97"/>
        <v>3.6151886673040812E-2</v>
      </c>
      <c r="P896" s="43">
        <f t="shared" si="98"/>
        <v>0.27887476027789376</v>
      </c>
      <c r="Q896" s="37">
        <f t="shared" si="99"/>
        <v>0.65863425784343599</v>
      </c>
      <c r="R896" s="37">
        <v>4.2599999999999999E-2</v>
      </c>
      <c r="S896" s="44" t="s">
        <v>1393</v>
      </c>
      <c r="T896" s="45">
        <v>0.52833697099999999</v>
      </c>
      <c r="U896" s="45">
        <v>2.0595995399999998</v>
      </c>
      <c r="V896" s="45">
        <v>3.5863808000000001</v>
      </c>
      <c r="W896" s="45">
        <v>7.5930574299999998E-2</v>
      </c>
      <c r="X896" s="45">
        <v>1.7134646900000002E-2</v>
      </c>
      <c r="Y896" s="45">
        <v>189.36480900000001</v>
      </c>
      <c r="Z896" s="36">
        <v>3.49</v>
      </c>
      <c r="AA896" s="38">
        <v>677</v>
      </c>
      <c r="AB896" s="38">
        <v>768</v>
      </c>
      <c r="AC896" s="49" t="s">
        <v>506</v>
      </c>
      <c r="AD896" s="49" t="s">
        <v>506</v>
      </c>
      <c r="AE896" s="48" t="str">
        <f t="shared" si="100"/>
        <v/>
      </c>
    </row>
    <row r="897" spans="1:31" ht="15" thickBot="1">
      <c r="A897" s="34">
        <v>895</v>
      </c>
      <c r="B897" s="34" t="s">
        <v>753</v>
      </c>
      <c r="C897" s="41" t="s">
        <v>1357</v>
      </c>
      <c r="D897" s="34" t="s">
        <v>761</v>
      </c>
      <c r="E897" s="80">
        <f t="shared" si="93"/>
        <v>1.9590601770095375</v>
      </c>
      <c r="F897" s="35">
        <f t="shared" si="94"/>
        <v>17.472667294648275</v>
      </c>
      <c r="G897" s="42" cm="1">
        <f t="array" ref="G89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17.329925864443382</v>
      </c>
      <c r="H897" s="81" cm="1">
        <f t="array" ref="H8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1.9437529733384913</v>
      </c>
      <c r="I897" s="81" cm="1">
        <f t="array" ref="I8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1.9590601770095375</v>
      </c>
      <c r="J897" s="81" cm="1">
        <f t="array" ref="J8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1.9718856735279344</v>
      </c>
      <c r="K897" s="81" cm="1">
        <f t="array" ref="K8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1.9986421417085254</v>
      </c>
      <c r="L897" s="81" cm="1">
        <f t="array" ref="L8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2.0347940283815662</v>
      </c>
      <c r="M897" s="37">
        <f t="shared" si="95"/>
        <v>5.4889168370034103E-2</v>
      </c>
      <c r="N897" s="43">
        <f t="shared" si="96"/>
        <v>1.530720367104621E-2</v>
      </c>
      <c r="O897" s="43">
        <f t="shared" si="97"/>
        <v>3.6151886673040812E-2</v>
      </c>
      <c r="P897" s="43">
        <f t="shared" si="98"/>
        <v>0.27887476027789376</v>
      </c>
      <c r="Q897" s="37">
        <f t="shared" si="99"/>
        <v>0.65863425784343599</v>
      </c>
      <c r="R897" s="37">
        <v>4.2599999999999999E-2</v>
      </c>
      <c r="S897" s="44" t="s">
        <v>1393</v>
      </c>
      <c r="T897" s="45">
        <v>0.52833697099999999</v>
      </c>
      <c r="U897" s="45">
        <v>2.0595995399999998</v>
      </c>
      <c r="V897" s="45">
        <v>3.5863808000000001</v>
      </c>
      <c r="W897" s="45">
        <v>7.5930574299999998E-2</v>
      </c>
      <c r="X897" s="45">
        <v>1.7134646900000002E-2</v>
      </c>
      <c r="Y897" s="45">
        <v>189.36480900000001</v>
      </c>
      <c r="Z897" s="36">
        <v>3.49</v>
      </c>
      <c r="AA897" s="38">
        <v>677</v>
      </c>
      <c r="AB897" s="38">
        <v>768</v>
      </c>
      <c r="AC897" s="49" t="s">
        <v>506</v>
      </c>
      <c r="AD897" s="49" t="s">
        <v>506</v>
      </c>
      <c r="AE897" s="48" t="str">
        <f t="shared" si="100"/>
        <v>Transmission improved type.</v>
      </c>
    </row>
    <row r="898" spans="1:31" ht="15" thickBot="1">
      <c r="A898" s="34">
        <v>896</v>
      </c>
      <c r="B898" s="34" t="s">
        <v>753</v>
      </c>
      <c r="C898" s="41" t="s">
        <v>1357</v>
      </c>
      <c r="D898" s="34" t="s">
        <v>725</v>
      </c>
      <c r="E898" s="80">
        <f t="shared" si="93"/>
        <v>1.9459500642344914</v>
      </c>
      <c r="F898" s="35">
        <f t="shared" si="94"/>
        <v>17.942201958334596</v>
      </c>
      <c r="G898" s="42" cm="1">
        <f t="array" ref="G89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17.79542111119888</v>
      </c>
      <c r="H898" s="81" cm="1">
        <f t="array" ref="H8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1.931215514690916</v>
      </c>
      <c r="I898" s="81" cm="1">
        <f t="array" ref="I8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1.9459500642344914</v>
      </c>
      <c r="J898" s="81" cm="1">
        <f t="array" ref="J8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1.9582771331863718</v>
      </c>
      <c r="K898" s="81" cm="1">
        <f t="array" ref="K8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1.9839375867326408</v>
      </c>
      <c r="L898" s="81" cm="1">
        <f t="array" ref="L8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2.0184831524089861</v>
      </c>
      <c r="M898" s="37">
        <f t="shared" si="95"/>
        <v>5.2722072041724743E-2</v>
      </c>
      <c r="N898" s="43">
        <f t="shared" si="96"/>
        <v>1.4734549543575337E-2</v>
      </c>
      <c r="O898" s="43">
        <f t="shared" si="97"/>
        <v>3.4545565676345369E-2</v>
      </c>
      <c r="P898" s="43">
        <f t="shared" si="98"/>
        <v>0.27947591915420694</v>
      </c>
      <c r="Q898" s="37">
        <f t="shared" si="99"/>
        <v>0.65523915010407185</v>
      </c>
      <c r="R898" s="37">
        <v>4.0099999999999997E-2</v>
      </c>
      <c r="S898" s="44" t="s">
        <v>1393</v>
      </c>
      <c r="T898" s="45">
        <v>2.0427534899999999</v>
      </c>
      <c r="U898" s="45">
        <v>1.9827615300000001</v>
      </c>
      <c r="V898" s="45">
        <v>0.504267829</v>
      </c>
      <c r="W898" s="45">
        <v>1.69742976E-2</v>
      </c>
      <c r="X898" s="45">
        <v>109.068151</v>
      </c>
      <c r="Y898" s="45">
        <v>7.5171071000000006E-2</v>
      </c>
      <c r="Z898" s="36">
        <v>3.52</v>
      </c>
      <c r="AA898" s="38">
        <v>664</v>
      </c>
      <c r="AB898" s="38">
        <v>769</v>
      </c>
      <c r="AC898" s="49" t="s">
        <v>506</v>
      </c>
      <c r="AD898" s="39" t="s">
        <v>1371</v>
      </c>
      <c r="AE898" s="48" t="str">
        <f t="shared" si="100"/>
        <v/>
      </c>
    </row>
    <row r="899" spans="1:31" ht="15" thickBot="1">
      <c r="A899" s="34">
        <v>897</v>
      </c>
      <c r="B899" s="34" t="s">
        <v>753</v>
      </c>
      <c r="C899" s="41" t="s">
        <v>1357</v>
      </c>
      <c r="D899" s="34" t="s">
        <v>756</v>
      </c>
      <c r="E899" s="80">
        <f t="shared" ref="E899:E962" si="101">I899</f>
        <v>1.9459500642344914</v>
      </c>
      <c r="F899" s="35">
        <f t="shared" ref="F899:F962" si="102">(I899-1)/M899</f>
        <v>17.942201958334596</v>
      </c>
      <c r="G899" s="42" cm="1">
        <f t="array" ref="G89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17.79542111119888</v>
      </c>
      <c r="H899" s="81" cm="1">
        <f t="array" ref="H8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1.931215514690916</v>
      </c>
      <c r="I899" s="81" cm="1">
        <f t="array" ref="I8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1.9459500642344914</v>
      </c>
      <c r="J899" s="81" cm="1">
        <f t="array" ref="J8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1.9582771331863718</v>
      </c>
      <c r="K899" s="81" cm="1">
        <f t="array" ref="K8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1.9839375867326408</v>
      </c>
      <c r="L899" s="81" cm="1">
        <f t="array" ref="L8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2.0184831524089861</v>
      </c>
      <c r="M899" s="37">
        <f t="shared" ref="M899:M962" si="103">K899-H899</f>
        <v>5.2722072041724743E-2</v>
      </c>
      <c r="N899" s="43">
        <f t="shared" ref="N899:N962" si="104">I899-H899</f>
        <v>1.4734549543575337E-2</v>
      </c>
      <c r="O899" s="43">
        <f t="shared" ref="O899:O962" si="105">L899-K899</f>
        <v>3.4545565676345369E-2</v>
      </c>
      <c r="P899" s="43">
        <f t="shared" ref="P899:P962" si="106">(I899-H899)/M899</f>
        <v>0.27947591915420694</v>
      </c>
      <c r="Q899" s="37">
        <f t="shared" ref="Q899:Q962" si="107">(L899-K899)/M899</f>
        <v>0.65523915010407185</v>
      </c>
      <c r="R899" s="37">
        <v>4.0099999999999997E-2</v>
      </c>
      <c r="S899" s="44" t="s">
        <v>1393</v>
      </c>
      <c r="T899" s="45">
        <v>2.0427534899999999</v>
      </c>
      <c r="U899" s="45">
        <v>1.9827615300000001</v>
      </c>
      <c r="V899" s="45">
        <v>0.504267829</v>
      </c>
      <c r="W899" s="45">
        <v>1.69742976E-2</v>
      </c>
      <c r="X899" s="45">
        <v>109.068151</v>
      </c>
      <c r="Y899" s="45">
        <v>7.5171071000000006E-2</v>
      </c>
      <c r="Z899" s="36">
        <v>3.52</v>
      </c>
      <c r="AA899" s="38">
        <v>664</v>
      </c>
      <c r="AB899" s="38">
        <v>769</v>
      </c>
      <c r="AC899" s="49" t="s">
        <v>506</v>
      </c>
      <c r="AD899" s="39" t="s">
        <v>1371</v>
      </c>
      <c r="AE899" s="48" t="str">
        <f t="shared" si="100"/>
        <v>Transmission improved type.</v>
      </c>
    </row>
    <row r="900" spans="1:31" ht="15" thickBot="1">
      <c r="A900" s="34">
        <v>898</v>
      </c>
      <c r="B900" s="34" t="s">
        <v>753</v>
      </c>
      <c r="C900" s="41" t="s">
        <v>1358</v>
      </c>
      <c r="D900" s="34" t="s">
        <v>640</v>
      </c>
      <c r="E900" s="80">
        <f t="shared" si="101"/>
        <v>1.693620071267175</v>
      </c>
      <c r="F900" s="35">
        <f t="shared" si="102"/>
        <v>49.194429251079171</v>
      </c>
      <c r="G900" s="42" cm="1">
        <f t="array" ref="G90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48.909187176606039</v>
      </c>
      <c r="H900" s="81" cm="1">
        <f t="array" ref="H9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1.6893929914289119</v>
      </c>
      <c r="I900" s="81" cm="1">
        <f t="array" ref="I9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1.693620071267175</v>
      </c>
      <c r="J900" s="81" cm="1">
        <f t="array" ref="J9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1.6969743908429433</v>
      </c>
      <c r="K900" s="81" cm="1">
        <f t="array" ref="K9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1.7034925568030128</v>
      </c>
      <c r="L900" s="81" cm="1">
        <f t="array" ref="L9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1.7113766445573801</v>
      </c>
      <c r="M900" s="37">
        <f t="shared" si="103"/>
        <v>1.4099565374100953E-2</v>
      </c>
      <c r="N900" s="43">
        <f t="shared" si="104"/>
        <v>4.2270798382630925E-3</v>
      </c>
      <c r="O900" s="43">
        <f t="shared" si="105"/>
        <v>7.8840877543673304E-3</v>
      </c>
      <c r="P900" s="43">
        <f t="shared" si="106"/>
        <v>0.29980213759125385</v>
      </c>
      <c r="Q900" s="37">
        <f t="shared" si="107"/>
        <v>0.5591723961115399</v>
      </c>
      <c r="R900" s="37">
        <v>-2.8E-3</v>
      </c>
      <c r="S900" s="44" t="s">
        <v>1393</v>
      </c>
      <c r="T900" s="45">
        <v>1.1615525</v>
      </c>
      <c r="U900" s="45">
        <v>1.4900061899999999</v>
      </c>
      <c r="V900" s="45">
        <v>0.31783640099999999</v>
      </c>
      <c r="W900" s="45">
        <v>106.692961</v>
      </c>
      <c r="X900" s="45">
        <v>7.3654243000000003E-3</v>
      </c>
      <c r="Y900" s="45">
        <v>3.1394529800000001E-2</v>
      </c>
      <c r="Z900" s="36">
        <v>3.85</v>
      </c>
      <c r="AA900" s="38">
        <v>640</v>
      </c>
      <c r="AB900" s="38">
        <v>737</v>
      </c>
      <c r="AC900" s="49" t="s">
        <v>506</v>
      </c>
      <c r="AD900" s="49" t="s">
        <v>506</v>
      </c>
      <c r="AE900" s="48" t="str">
        <f t="shared" si="100"/>
        <v/>
      </c>
    </row>
    <row r="901" spans="1:31" ht="15" thickBot="1">
      <c r="A901" s="34">
        <v>899</v>
      </c>
      <c r="B901" s="34" t="s">
        <v>753</v>
      </c>
      <c r="C901" s="41" t="s">
        <v>1358</v>
      </c>
      <c r="D901" s="34" t="s">
        <v>641</v>
      </c>
      <c r="E901" s="80">
        <f t="shared" si="101"/>
        <v>1.7170000090922883</v>
      </c>
      <c r="F901" s="35">
        <f t="shared" si="102"/>
        <v>47.889187031770895</v>
      </c>
      <c r="G901" s="42" cm="1">
        <f t="array" ref="G90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47.602612354272132</v>
      </c>
      <c r="H901" s="81" cm="1">
        <f t="array" ref="H9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1.7125221762348843</v>
      </c>
      <c r="I901" s="81" cm="1">
        <f t="array" ref="I9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1.7170000090922883</v>
      </c>
      <c r="J901" s="81" cm="1">
        <f t="array" ref="J9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1.7205618893682064</v>
      </c>
      <c r="K901" s="81" cm="1">
        <f t="array" ref="K9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1.7274942409854639</v>
      </c>
      <c r="L901" s="81" cm="1">
        <f t="array" ref="L9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1.7358881538638746</v>
      </c>
      <c r="M901" s="37">
        <f t="shared" si="103"/>
        <v>1.497206475057955E-2</v>
      </c>
      <c r="N901" s="43">
        <f t="shared" si="104"/>
        <v>4.4778328574039961E-3</v>
      </c>
      <c r="O901" s="43">
        <f t="shared" si="105"/>
        <v>8.3939128784107364E-3</v>
      </c>
      <c r="P901" s="43">
        <f t="shared" si="106"/>
        <v>0.29907918059402361</v>
      </c>
      <c r="Q901" s="37">
        <f t="shared" si="107"/>
        <v>0.5606382966040685</v>
      </c>
      <c r="R901" s="37">
        <v>-3.5000000000000001E-3</v>
      </c>
      <c r="S901" s="44" t="s">
        <v>1393</v>
      </c>
      <c r="T901" s="45">
        <v>1.6286512099999999</v>
      </c>
      <c r="U901" s="45">
        <v>1.11837078</v>
      </c>
      <c r="V901" s="45">
        <v>0.25325229300000002</v>
      </c>
      <c r="W901" s="45">
        <v>8.6421929399999996E-3</v>
      </c>
      <c r="X901" s="45">
        <v>109.900598</v>
      </c>
      <c r="Y901" s="45">
        <v>3.4250310700000001E-2</v>
      </c>
      <c r="Z901" s="36">
        <v>4.25</v>
      </c>
      <c r="AA901" s="38">
        <v>666</v>
      </c>
      <c r="AB901" s="38">
        <v>772</v>
      </c>
      <c r="AC901" s="49" t="s">
        <v>506</v>
      </c>
      <c r="AD901" s="39" t="s">
        <v>1371</v>
      </c>
      <c r="AE901" s="48" t="str">
        <f t="shared" si="100"/>
        <v/>
      </c>
    </row>
    <row r="902" spans="1:31" ht="15" thickBot="1">
      <c r="A902" s="34">
        <v>900</v>
      </c>
      <c r="B902" s="34" t="s">
        <v>753</v>
      </c>
      <c r="C902" s="41" t="s">
        <v>1358</v>
      </c>
      <c r="D902" s="34" t="s">
        <v>642</v>
      </c>
      <c r="E902" s="80">
        <f t="shared" si="101"/>
        <v>1.743999897908018</v>
      </c>
      <c r="F902" s="35">
        <f t="shared" si="102"/>
        <v>44.90057223094955</v>
      </c>
      <c r="G902" s="42" cm="1">
        <f t="array" ref="G90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44.616211956100649</v>
      </c>
      <c r="H902" s="81" cm="1">
        <f t="array" ref="H9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1.7390679062171757</v>
      </c>
      <c r="I902" s="81" cm="1">
        <f t="array" ref="I9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1.743999897908018</v>
      </c>
      <c r="J902" s="81" cm="1">
        <f t="array" ref="J9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1.7479395754476474</v>
      </c>
      <c r="K902" s="81" cm="1">
        <f t="array" ref="K9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1.755637848668715</v>
      </c>
      <c r="L902" s="81" cm="1">
        <f t="array" ref="L9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1.7650022375625074</v>
      </c>
      <c r="M902" s="37">
        <f t="shared" si="103"/>
        <v>1.656994245153931E-2</v>
      </c>
      <c r="N902" s="43">
        <f t="shared" si="104"/>
        <v>4.9319916908423522E-3</v>
      </c>
      <c r="O902" s="43">
        <f t="shared" si="105"/>
        <v>9.3643888937924302E-3</v>
      </c>
      <c r="P902" s="43">
        <f t="shared" si="106"/>
        <v>0.29764688110815868</v>
      </c>
      <c r="Q902" s="37">
        <f t="shared" si="107"/>
        <v>0.56514311508200199</v>
      </c>
      <c r="R902" s="37">
        <v>-4.1000000000000003E-3</v>
      </c>
      <c r="S902" s="44" t="s">
        <v>1393</v>
      </c>
      <c r="T902" s="45">
        <v>1.66486969</v>
      </c>
      <c r="U902" s="45">
        <v>0.30162248000000003</v>
      </c>
      <c r="V902" s="45">
        <v>1.1973887999999999</v>
      </c>
      <c r="W902" s="45">
        <v>8.9564671200000005E-3</v>
      </c>
      <c r="X902" s="45">
        <v>3.5029969500000001E-2</v>
      </c>
      <c r="Y902" s="45">
        <v>123.33443800000001</v>
      </c>
      <c r="Z902" s="36">
        <v>4.3899999999999997</v>
      </c>
      <c r="AA902" s="38">
        <v>618</v>
      </c>
      <c r="AB902" s="38">
        <v>751</v>
      </c>
      <c r="AC902" s="49" t="s">
        <v>506</v>
      </c>
      <c r="AD902" s="39" t="s">
        <v>1371</v>
      </c>
      <c r="AE902" s="48" t="str">
        <f t="shared" si="100"/>
        <v/>
      </c>
    </row>
    <row r="903" spans="1:31" ht="15" thickBot="1">
      <c r="A903" s="34">
        <v>901</v>
      </c>
      <c r="B903" s="34" t="s">
        <v>753</v>
      </c>
      <c r="C903" s="41" t="s">
        <v>1358</v>
      </c>
      <c r="D903" s="34" t="s">
        <v>643</v>
      </c>
      <c r="E903" s="80">
        <f t="shared" si="101"/>
        <v>1.7495000236844154</v>
      </c>
      <c r="F903" s="35">
        <f t="shared" si="102"/>
        <v>34.989701462244291</v>
      </c>
      <c r="G903" s="42" cm="1">
        <f t="array" ref="G90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34.725767103284184</v>
      </c>
      <c r="H903" s="81" cm="1">
        <f t="array" ref="H9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1.7432351400650832</v>
      </c>
      <c r="I903" s="81" cm="1">
        <f t="array" ref="I9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1.7495000236844154</v>
      </c>
      <c r="J903" s="81" cm="1">
        <f t="array" ref="J9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1.7545702076499394</v>
      </c>
      <c r="K903" s="81" cm="1">
        <f t="array" ref="K9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1.7646557293345619</v>
      </c>
      <c r="L903" s="81" cm="1">
        <f t="array" ref="L9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1.7772786486929737</v>
      </c>
      <c r="M903" s="37">
        <f t="shared" si="103"/>
        <v>2.1420589269478763E-2</v>
      </c>
      <c r="N903" s="43">
        <f t="shared" si="104"/>
        <v>6.2648836193321955E-3</v>
      </c>
      <c r="O903" s="43">
        <f t="shared" si="105"/>
        <v>1.2622919358411755E-2</v>
      </c>
      <c r="P903" s="43">
        <f t="shared" si="106"/>
        <v>0.29247018093282556</v>
      </c>
      <c r="Q903" s="37">
        <f t="shared" si="107"/>
        <v>0.58928908068825103</v>
      </c>
      <c r="R903" s="37">
        <v>3.0999999999999999E-3</v>
      </c>
      <c r="S903" s="44" t="s">
        <v>1393</v>
      </c>
      <c r="T903" s="45">
        <v>0.210645313</v>
      </c>
      <c r="U903" s="45">
        <v>1.75547352</v>
      </c>
      <c r="V903" s="45">
        <v>1.2897900499999999</v>
      </c>
      <c r="W903" s="45">
        <v>5.4275929399999999E-2</v>
      </c>
      <c r="X903" s="45">
        <v>1.1237077700000001E-2</v>
      </c>
      <c r="Y903" s="45">
        <v>119.852069</v>
      </c>
      <c r="Z903" s="36">
        <v>3.92</v>
      </c>
      <c r="AA903" s="38">
        <v>580</v>
      </c>
      <c r="AB903" s="38">
        <v>704</v>
      </c>
      <c r="AC903" s="49" t="s">
        <v>506</v>
      </c>
      <c r="AD903" s="39" t="s">
        <v>1371</v>
      </c>
      <c r="AE903" s="48" t="str">
        <f t="shared" si="100"/>
        <v/>
      </c>
    </row>
    <row r="904" spans="1:31" ht="15" thickBot="1">
      <c r="A904" s="34">
        <v>902</v>
      </c>
      <c r="B904" s="34" t="s">
        <v>753</v>
      </c>
      <c r="C904" s="41" t="s">
        <v>1358</v>
      </c>
      <c r="D904" s="34" t="s">
        <v>726</v>
      </c>
      <c r="E904" s="80">
        <f t="shared" si="101"/>
        <v>1.7495000236844154</v>
      </c>
      <c r="F904" s="35">
        <f t="shared" si="102"/>
        <v>34.989701462244291</v>
      </c>
      <c r="G904" s="42" cm="1">
        <f t="array" ref="G90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34.725767103284184</v>
      </c>
      <c r="H904" s="81" cm="1">
        <f t="array" ref="H9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1.7432351400650832</v>
      </c>
      <c r="I904" s="81" cm="1">
        <f t="array" ref="I9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1.7495000236844154</v>
      </c>
      <c r="J904" s="81" cm="1">
        <f t="array" ref="J9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1.7545702076499394</v>
      </c>
      <c r="K904" s="81" cm="1">
        <f t="array" ref="K9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1.7646557293345619</v>
      </c>
      <c r="L904" s="81" cm="1">
        <f t="array" ref="L9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1.7772786486929737</v>
      </c>
      <c r="M904" s="37">
        <f t="shared" si="103"/>
        <v>2.1420589269478763E-2</v>
      </c>
      <c r="N904" s="43">
        <f t="shared" si="104"/>
        <v>6.2648836193321955E-3</v>
      </c>
      <c r="O904" s="43">
        <f t="shared" si="105"/>
        <v>1.2622919358411755E-2</v>
      </c>
      <c r="P904" s="43">
        <f t="shared" si="106"/>
        <v>0.29247018093282556</v>
      </c>
      <c r="Q904" s="37">
        <f t="shared" si="107"/>
        <v>0.58928908068825103</v>
      </c>
      <c r="R904" s="37">
        <v>3.0999999999999999E-3</v>
      </c>
      <c r="S904" s="44" t="s">
        <v>1393</v>
      </c>
      <c r="T904" s="45">
        <v>0.210645313</v>
      </c>
      <c r="U904" s="45">
        <v>1.75547352</v>
      </c>
      <c r="V904" s="45">
        <v>1.2897900499999999</v>
      </c>
      <c r="W904" s="45">
        <v>5.4275929399999999E-2</v>
      </c>
      <c r="X904" s="45">
        <v>1.1237077700000001E-2</v>
      </c>
      <c r="Y904" s="45">
        <v>119.852069</v>
      </c>
      <c r="Z904" s="36">
        <v>3.92</v>
      </c>
      <c r="AA904" s="38">
        <v>580</v>
      </c>
      <c r="AB904" s="38">
        <v>704</v>
      </c>
      <c r="AC904" s="49" t="s">
        <v>506</v>
      </c>
      <c r="AD904" s="39" t="s">
        <v>1371</v>
      </c>
      <c r="AE904" s="48" t="str">
        <f t="shared" si="100"/>
        <v>Transmission improved type.</v>
      </c>
    </row>
    <row r="905" spans="1:31" ht="15" thickBot="1">
      <c r="A905" s="34">
        <v>903</v>
      </c>
      <c r="B905" s="34" t="s">
        <v>753</v>
      </c>
      <c r="C905" s="41" t="s">
        <v>1358</v>
      </c>
      <c r="D905" s="34" t="s">
        <v>644</v>
      </c>
      <c r="E905" s="80">
        <f t="shared" si="101"/>
        <v>1.7536700166783363</v>
      </c>
      <c r="F905" s="35">
        <f t="shared" si="102"/>
        <v>37.49212784829195</v>
      </c>
      <c r="G905" s="42" cm="1">
        <f t="array" ref="G90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37.229502906225335</v>
      </c>
      <c r="H905" s="81" cm="1">
        <f t="array" ref="H9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1.7477500986816767</v>
      </c>
      <c r="I905" s="81" cm="1">
        <f t="array" ref="I9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1.7536700166783363</v>
      </c>
      <c r="J905" s="81" cm="1">
        <f t="array" ref="J9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1.7584335474689745</v>
      </c>
      <c r="K905" s="81" cm="1">
        <f t="array" ref="K9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1.7678521857045308</v>
      </c>
      <c r="L905" s="81" cm="1">
        <f t="array" ref="L9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1.779550063107513</v>
      </c>
      <c r="M905" s="37">
        <f t="shared" si="103"/>
        <v>2.0102087022854098E-2</v>
      </c>
      <c r="N905" s="43">
        <f t="shared" si="104"/>
        <v>5.919917996659585E-3</v>
      </c>
      <c r="O905" s="43">
        <f t="shared" si="105"/>
        <v>1.1697877402982115E-2</v>
      </c>
      <c r="P905" s="43">
        <f t="shared" si="106"/>
        <v>0.2944927056543542</v>
      </c>
      <c r="Q905" s="37">
        <f t="shared" si="107"/>
        <v>0.58192352812336245</v>
      </c>
      <c r="R905" s="37">
        <v>1E-4</v>
      </c>
      <c r="S905" s="44" t="s">
        <v>1393</v>
      </c>
      <c r="T905" s="45">
        <v>1.2656251700000001</v>
      </c>
      <c r="U905" s="45">
        <v>1.8132477</v>
      </c>
      <c r="V905" s="45">
        <v>0.17352579100000001</v>
      </c>
      <c r="W905" s="45">
        <v>102.654797</v>
      </c>
      <c r="X905" s="45">
        <v>1.1161486999999999E-2</v>
      </c>
      <c r="Y905" s="45">
        <v>5.4138876400000001E-2</v>
      </c>
      <c r="Z905" s="36">
        <v>3.71</v>
      </c>
      <c r="AA905" s="38">
        <v>647</v>
      </c>
      <c r="AB905" s="38">
        <v>754</v>
      </c>
      <c r="AC905" s="49" t="s">
        <v>506</v>
      </c>
      <c r="AD905" s="49" t="s">
        <v>506</v>
      </c>
      <c r="AE905" s="48" t="str">
        <f t="shared" si="100"/>
        <v/>
      </c>
    </row>
    <row r="906" spans="1:31" ht="15" thickBot="1">
      <c r="A906" s="34">
        <v>904</v>
      </c>
      <c r="B906" s="34" t="s">
        <v>753</v>
      </c>
      <c r="C906" s="41" t="s">
        <v>1358</v>
      </c>
      <c r="D906" s="34" t="s">
        <v>645</v>
      </c>
      <c r="E906" s="80">
        <f t="shared" si="101"/>
        <v>1.7570002977889787</v>
      </c>
      <c r="F906" s="35">
        <f t="shared" si="102"/>
        <v>47.712388962168809</v>
      </c>
      <c r="G906" s="42" cm="1">
        <f t="array" ref="G90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47.469821802102125</v>
      </c>
      <c r="H906" s="81" cm="1">
        <f t="array" ref="H9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1.7522243503461183</v>
      </c>
      <c r="I906" s="81" cm="1">
        <f t="array" ref="I9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1.7570002977889787</v>
      </c>
      <c r="J906" s="81" cm="1">
        <f t="array" ref="J9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1.7607760375261354</v>
      </c>
      <c r="K906" s="81" cm="1">
        <f t="array" ref="K9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1.7680902567543932</v>
      </c>
      <c r="L906" s="81" cm="1">
        <f t="array" ref="L9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1.7769066260995154</v>
      </c>
      <c r="M906" s="37">
        <f t="shared" si="103"/>
        <v>1.5865906408274899E-2</v>
      </c>
      <c r="N906" s="43">
        <f t="shared" si="104"/>
        <v>4.7759474428603621E-3</v>
      </c>
      <c r="O906" s="43">
        <f t="shared" si="105"/>
        <v>8.8163693451221992E-3</v>
      </c>
      <c r="P906" s="43">
        <f t="shared" si="106"/>
        <v>0.30101951442052222</v>
      </c>
      <c r="Q906" s="37">
        <f t="shared" si="107"/>
        <v>0.55568015581662589</v>
      </c>
      <c r="R906" s="37">
        <v>-8.8000000000000005E-3</v>
      </c>
      <c r="S906" s="44" t="s">
        <v>1393</v>
      </c>
      <c r="T906" s="45">
        <v>1.1202352099999999</v>
      </c>
      <c r="U906" s="45">
        <v>0.89757352599999995</v>
      </c>
      <c r="V906" s="45">
        <v>1.3665486</v>
      </c>
      <c r="W906" s="45">
        <v>3.3576670500000002E-3</v>
      </c>
      <c r="X906" s="45">
        <v>2.2771073499999999E-2</v>
      </c>
      <c r="Y906" s="45">
        <v>92.037632400000007</v>
      </c>
      <c r="Z906" s="36">
        <v>4.0599999999999996</v>
      </c>
      <c r="AA906" s="38">
        <v>646</v>
      </c>
      <c r="AB906" s="38">
        <v>731</v>
      </c>
      <c r="AC906" s="49" t="s">
        <v>506</v>
      </c>
      <c r="AD906" s="49" t="s">
        <v>506</v>
      </c>
      <c r="AE906" s="48" t="str">
        <f t="shared" si="100"/>
        <v/>
      </c>
    </row>
    <row r="907" spans="1:31" ht="15" thickBot="1">
      <c r="A907" s="34">
        <v>905</v>
      </c>
      <c r="B907" s="34" t="s">
        <v>753</v>
      </c>
      <c r="C907" s="41" t="s">
        <v>1358</v>
      </c>
      <c r="D907" s="34" t="s">
        <v>646</v>
      </c>
      <c r="E907" s="80">
        <f t="shared" si="101"/>
        <v>1.7817900222623961</v>
      </c>
      <c r="F907" s="35">
        <f t="shared" si="102"/>
        <v>37.092565038894087</v>
      </c>
      <c r="G907" s="42" cm="1">
        <f t="array" ref="G90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36.831876016820338</v>
      </c>
      <c r="H907" s="81" cm="1">
        <f t="array" ref="H9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1.7755886070536566</v>
      </c>
      <c r="I907" s="81" cm="1">
        <f t="array" ref="I9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1.7817900222623961</v>
      </c>
      <c r="J907" s="81" cm="1">
        <f t="array" ref="J9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1.7867853653366723</v>
      </c>
      <c r="K907" s="81" cm="1">
        <f t="array" ref="K9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1.796665338237996</v>
      </c>
      <c r="L907" s="81" cm="1">
        <f t="array" ref="L9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1.8089256808843783</v>
      </c>
      <c r="M907" s="37">
        <f t="shared" si="103"/>
        <v>2.1076731184339392E-2</v>
      </c>
      <c r="N907" s="43">
        <f t="shared" si="104"/>
        <v>6.2014152087395136E-3</v>
      </c>
      <c r="O907" s="43">
        <f t="shared" si="105"/>
        <v>1.2260342646382316E-2</v>
      </c>
      <c r="P907" s="43">
        <f t="shared" si="106"/>
        <v>0.2942304076709647</v>
      </c>
      <c r="Q907" s="37">
        <f t="shared" si="107"/>
        <v>0.58170038509064903</v>
      </c>
      <c r="R907" s="37">
        <v>-8.9999999999999998E-4</v>
      </c>
      <c r="S907" s="44" t="s">
        <v>1393</v>
      </c>
      <c r="T907" s="45">
        <v>1.8562052600000001</v>
      </c>
      <c r="U907" s="45">
        <v>1.38494652</v>
      </c>
      <c r="V907" s="45">
        <v>0.22352644099999999</v>
      </c>
      <c r="W907" s="45">
        <v>1.09606128E-2</v>
      </c>
      <c r="X907" s="45">
        <v>114.47738</v>
      </c>
      <c r="Y907" s="45">
        <v>5.0577161500000002E-2</v>
      </c>
      <c r="Z907" s="36">
        <v>3.77</v>
      </c>
      <c r="AA907" s="38">
        <v>659</v>
      </c>
      <c r="AB907" s="38">
        <v>763</v>
      </c>
      <c r="AC907" s="49" t="s">
        <v>506</v>
      </c>
      <c r="AD907" s="49" t="s">
        <v>506</v>
      </c>
      <c r="AE907" s="48" t="str">
        <f t="shared" si="100"/>
        <v/>
      </c>
    </row>
    <row r="908" spans="1:31" ht="15" thickBot="1">
      <c r="A908" s="34">
        <v>906</v>
      </c>
      <c r="B908" s="34" t="s">
        <v>753</v>
      </c>
      <c r="C908" s="41" t="s">
        <v>1358</v>
      </c>
      <c r="D908" s="34" t="s">
        <v>647</v>
      </c>
      <c r="E908" s="80">
        <f t="shared" si="101"/>
        <v>1.7879999691441348</v>
      </c>
      <c r="F908" s="35">
        <f t="shared" si="102"/>
        <v>47.492300627672222</v>
      </c>
      <c r="G908" s="42" cm="1">
        <f t="array" ref="G90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47.25112956097707</v>
      </c>
      <c r="H908" s="81" cm="1">
        <f t="array" ref="H9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1.7830068579805129</v>
      </c>
      <c r="I908" s="81" cm="1">
        <f t="array" ref="I9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1.7879999691441348</v>
      </c>
      <c r="J908" s="81" cm="1">
        <f t="array" ref="J9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1.7919498964701808</v>
      </c>
      <c r="K908" s="81" cm="1">
        <f t="array" ref="K9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1.7995990204727421</v>
      </c>
      <c r="L908" s="81" cm="1">
        <f t="array" ref="L9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1.8088101029686072</v>
      </c>
      <c r="M908" s="37">
        <f t="shared" si="103"/>
        <v>1.6592162492229168E-2</v>
      </c>
      <c r="N908" s="43">
        <f t="shared" si="104"/>
        <v>4.9931111636218883E-3</v>
      </c>
      <c r="O908" s="43">
        <f t="shared" si="105"/>
        <v>9.2110824958651083E-3</v>
      </c>
      <c r="P908" s="43">
        <f t="shared" si="106"/>
        <v>0.30093191083201964</v>
      </c>
      <c r="Q908" s="37">
        <f t="shared" si="107"/>
        <v>0.5551465940728979</v>
      </c>
      <c r="R908" s="37">
        <v>-9.7000000000000003E-3</v>
      </c>
      <c r="S908" s="44" t="s">
        <v>1393</v>
      </c>
      <c r="T908" s="45">
        <v>1.93178403</v>
      </c>
      <c r="U908" s="45">
        <v>0.189897276</v>
      </c>
      <c r="V908" s="45">
        <v>1.0973651499999999</v>
      </c>
      <c r="W908" s="45">
        <v>9.97340769E-3</v>
      </c>
      <c r="X908" s="45">
        <v>3.6889104200000002E-2</v>
      </c>
      <c r="Y908" s="45">
        <v>77.277748900000006</v>
      </c>
      <c r="Z908" s="36">
        <v>4.3</v>
      </c>
      <c r="AA908" s="38">
        <v>681</v>
      </c>
      <c r="AB908" s="38">
        <v>756</v>
      </c>
      <c r="AC908" s="49" t="s">
        <v>506</v>
      </c>
      <c r="AD908" s="39" t="s">
        <v>1371</v>
      </c>
      <c r="AE908" s="48" t="str">
        <f t="shared" si="100"/>
        <v/>
      </c>
    </row>
    <row r="909" spans="1:31" ht="15" thickBot="1">
      <c r="A909" s="34">
        <v>907</v>
      </c>
      <c r="B909" s="34" t="s">
        <v>753</v>
      </c>
      <c r="C909" s="41" t="s">
        <v>1358</v>
      </c>
      <c r="D909" s="34" t="s">
        <v>648</v>
      </c>
      <c r="E909" s="80">
        <f t="shared" si="101"/>
        <v>1.7724999642194605</v>
      </c>
      <c r="F909" s="35">
        <f t="shared" si="102"/>
        <v>49.599588511694726</v>
      </c>
      <c r="G909" s="42" cm="1">
        <f t="array" ref="G90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49.360437195352759</v>
      </c>
      <c r="H909" s="81" cm="1">
        <f t="array" ref="H9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1.7677981482893248</v>
      </c>
      <c r="I909" s="81" cm="1">
        <f t="array" ref="I9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1.7724999642194605</v>
      </c>
      <c r="J909" s="81" cm="1">
        <f t="array" ref="J9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1.7762095848769259</v>
      </c>
      <c r="K909" s="81" cm="1">
        <f t="array" ref="K9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1.7833728735521628</v>
      </c>
      <c r="L909" s="81" cm="1">
        <f t="array" ref="L9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1.7919648534174242</v>
      </c>
      <c r="M909" s="37">
        <f t="shared" si="103"/>
        <v>1.5574725262837985E-2</v>
      </c>
      <c r="N909" s="43">
        <f t="shared" si="104"/>
        <v>4.7018159301357443E-3</v>
      </c>
      <c r="O909" s="43">
        <f t="shared" si="105"/>
        <v>8.5919798652613899E-3</v>
      </c>
      <c r="P909" s="43">
        <f t="shared" si="106"/>
        <v>0.30188756788888566</v>
      </c>
      <c r="Q909" s="37">
        <f t="shared" si="107"/>
        <v>0.55166172887570941</v>
      </c>
      <c r="R909" s="37">
        <v>-9.5999999999999992E-3</v>
      </c>
      <c r="S909" s="44" t="s">
        <v>1393</v>
      </c>
      <c r="T909" s="45">
        <v>1.1746126299999999</v>
      </c>
      <c r="U909" s="45">
        <v>1.6588974400000001</v>
      </c>
      <c r="V909" s="45">
        <v>0.41317406400000001</v>
      </c>
      <c r="W909" s="45">
        <v>82.626763299999993</v>
      </c>
      <c r="X909" s="45">
        <v>8.0512806000000003E-3</v>
      </c>
      <c r="Y909" s="45">
        <v>2.6961263999999999E-2</v>
      </c>
      <c r="Z909" s="36">
        <v>4.24</v>
      </c>
      <c r="AA909" s="38">
        <v>681</v>
      </c>
      <c r="AB909" s="38">
        <v>754</v>
      </c>
      <c r="AC909" s="49" t="s">
        <v>506</v>
      </c>
      <c r="AD909" s="39" t="s">
        <v>1371</v>
      </c>
      <c r="AE909" s="48" t="str">
        <f t="shared" si="100"/>
        <v/>
      </c>
    </row>
    <row r="910" spans="1:31" ht="15" thickBot="1">
      <c r="A910" s="34">
        <v>908</v>
      </c>
      <c r="B910" s="34" t="s">
        <v>753</v>
      </c>
      <c r="C910" s="41" t="s">
        <v>1358</v>
      </c>
      <c r="D910" s="34" t="s">
        <v>649</v>
      </c>
      <c r="E910" s="80">
        <f t="shared" si="101"/>
        <v>1.7000000039382501</v>
      </c>
      <c r="F910" s="35">
        <f t="shared" si="102"/>
        <v>48.080419752760385</v>
      </c>
      <c r="G910" s="42" cm="1">
        <f t="array" ref="G91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47.795371930473266</v>
      </c>
      <c r="H910" s="81" cm="1">
        <f t="array" ref="H9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1.6956419194302967</v>
      </c>
      <c r="I910" s="81" cm="1">
        <f t="array" ref="I9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1.7000000039382501</v>
      </c>
      <c r="J910" s="81" cm="1">
        <f t="array" ref="J9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1.7034621211702712</v>
      </c>
      <c r="K910" s="81" cm="1">
        <f t="array" ref="K9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1.710200860627936</v>
      </c>
      <c r="L910" s="81" cm="1">
        <f t="array" ref="L9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1.718373741983579</v>
      </c>
      <c r="M910" s="37">
        <f t="shared" si="103"/>
        <v>1.455894119763923E-2</v>
      </c>
      <c r="N910" s="43">
        <f t="shared" si="104"/>
        <v>4.3580845079533859E-3</v>
      </c>
      <c r="O910" s="43">
        <f t="shared" si="105"/>
        <v>8.1728813556429802E-3</v>
      </c>
      <c r="P910" s="43">
        <f t="shared" si="106"/>
        <v>0.29934075897360313</v>
      </c>
      <c r="Q910" s="37">
        <f t="shared" si="107"/>
        <v>0.5613650913686109</v>
      </c>
      <c r="R910" s="37">
        <v>-2.3999999999999998E-3</v>
      </c>
      <c r="S910" s="44" t="s">
        <v>1393</v>
      </c>
      <c r="T910" s="45">
        <v>1.1609155499999999</v>
      </c>
      <c r="U910" s="45">
        <v>1.5344157300000001</v>
      </c>
      <c r="V910" s="45">
        <v>0.29314170099999998</v>
      </c>
      <c r="W910" s="45">
        <v>102.91364400000001</v>
      </c>
      <c r="X910" s="45">
        <v>7.5973568399999997E-3</v>
      </c>
      <c r="Y910" s="45">
        <v>3.3807171599999998E-2</v>
      </c>
      <c r="Z910" s="36">
        <v>3.82</v>
      </c>
      <c r="AA910" s="38">
        <v>649</v>
      </c>
      <c r="AB910" s="38">
        <v>738</v>
      </c>
      <c r="AC910" s="49" t="s">
        <v>506</v>
      </c>
      <c r="AD910" s="49" t="s">
        <v>506</v>
      </c>
      <c r="AE910" s="48" t="str">
        <f t="shared" si="100"/>
        <v/>
      </c>
    </row>
    <row r="911" spans="1:31" ht="15" thickBot="1">
      <c r="A911" s="34">
        <v>909</v>
      </c>
      <c r="B911" s="34" t="s">
        <v>753</v>
      </c>
      <c r="C911" s="41" t="s">
        <v>1358</v>
      </c>
      <c r="D911" s="34" t="s">
        <v>650</v>
      </c>
      <c r="E911" s="80">
        <f t="shared" si="101"/>
        <v>1.7858999847084946</v>
      </c>
      <c r="F911" s="35">
        <f t="shared" si="102"/>
        <v>44.187693450792096</v>
      </c>
      <c r="G911" s="42" cm="1">
        <f t="array" ref="G91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43.936258195025346</v>
      </c>
      <c r="H911" s="81" cm="1">
        <f t="array" ref="H9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1.7805839095174523</v>
      </c>
      <c r="I911" s="81" cm="1">
        <f t="array" ref="I9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1.7858999847084946</v>
      </c>
      <c r="J911" s="81" cm="1">
        <f t="array" ref="J9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1.7901294845624309</v>
      </c>
      <c r="K911" s="81" cm="1">
        <f t="array" ref="K9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1.7983694041503342</v>
      </c>
      <c r="L911" s="81" cm="1">
        <f t="array" ref="L9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1.8083692099434099</v>
      </c>
      <c r="M911" s="37">
        <f t="shared" si="103"/>
        <v>1.7785494632881926E-2</v>
      </c>
      <c r="N911" s="43">
        <f t="shared" si="104"/>
        <v>5.3160751910423798E-3</v>
      </c>
      <c r="O911" s="43">
        <f t="shared" si="105"/>
        <v>9.999805793075689E-3</v>
      </c>
      <c r="P911" s="43">
        <f t="shared" si="106"/>
        <v>0.29889948527009136</v>
      </c>
      <c r="Q911" s="37">
        <f t="shared" si="107"/>
        <v>0.56224502042175362</v>
      </c>
      <c r="R911" s="37">
        <v>-8.3000000000000001E-3</v>
      </c>
      <c r="S911" s="44" t="s">
        <v>1393</v>
      </c>
      <c r="T911" s="45">
        <v>0.225893751</v>
      </c>
      <c r="U911" s="45">
        <v>1.88248028</v>
      </c>
      <c r="V911" s="45">
        <v>1.1130700899999999</v>
      </c>
      <c r="W911" s="45">
        <v>3.9155173600000003E-2</v>
      </c>
      <c r="X911" s="45">
        <v>1.0095188600000001E-2</v>
      </c>
      <c r="Y911" s="45">
        <v>85.004290600000004</v>
      </c>
      <c r="Z911" s="36">
        <v>4.3899999999999997</v>
      </c>
      <c r="AA911" s="38">
        <v>588</v>
      </c>
      <c r="AB911" s="38">
        <v>686</v>
      </c>
      <c r="AC911" s="49" t="s">
        <v>506</v>
      </c>
      <c r="AD911" s="39" t="s">
        <v>1371</v>
      </c>
      <c r="AE911" s="48" t="str">
        <f t="shared" si="100"/>
        <v/>
      </c>
    </row>
    <row r="912" spans="1:31" ht="15" thickBot="1">
      <c r="A912" s="34">
        <v>910</v>
      </c>
      <c r="B912" s="34" t="s">
        <v>753</v>
      </c>
      <c r="C912" s="41" t="s">
        <v>1358</v>
      </c>
      <c r="D912" s="34" t="s">
        <v>651</v>
      </c>
      <c r="E912" s="80">
        <f t="shared" si="101"/>
        <v>1.7433000098288394</v>
      </c>
      <c r="F912" s="35">
        <f t="shared" si="102"/>
        <v>49.222397030633033</v>
      </c>
      <c r="G912" s="42" cm="1">
        <f t="array" ref="G91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48.978194293809963</v>
      </c>
      <c r="H912" s="81" cm="1">
        <f t="array" ref="H9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1.7387467276197157</v>
      </c>
      <c r="I912" s="81" cm="1">
        <f t="array" ref="I9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1.7433000098288394</v>
      </c>
      <c r="J912" s="81" cm="1">
        <f t="array" ref="J9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1.7468960180921134</v>
      </c>
      <c r="K912" s="81" cm="1">
        <f t="array" ref="K9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1.7538475771245916</v>
      </c>
      <c r="L912" s="81" cm="1">
        <f t="array" ref="L9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1.762197544252895</v>
      </c>
      <c r="M912" s="37">
        <f t="shared" si="103"/>
        <v>1.5100849504875891E-2</v>
      </c>
      <c r="N912" s="43">
        <f t="shared" si="104"/>
        <v>4.5532822091236547E-3</v>
      </c>
      <c r="O912" s="43">
        <f t="shared" si="105"/>
        <v>8.3499671283033816E-3</v>
      </c>
      <c r="P912" s="43">
        <f t="shared" si="106"/>
        <v>0.30152490478455879</v>
      </c>
      <c r="Q912" s="37">
        <f t="shared" si="107"/>
        <v>0.55294684750068357</v>
      </c>
      <c r="R912" s="37">
        <v>-8.9999999999999993E-3</v>
      </c>
      <c r="S912" s="44" t="s">
        <v>1393</v>
      </c>
      <c r="T912" s="45">
        <v>1.5200551499999999</v>
      </c>
      <c r="U912" s="45">
        <v>1.09140777</v>
      </c>
      <c r="V912" s="45">
        <v>0.45258870800000001</v>
      </c>
      <c r="W912" s="45">
        <v>7.4660650199999999E-3</v>
      </c>
      <c r="X912" s="45">
        <v>81.942215300000001</v>
      </c>
      <c r="Y912" s="45">
        <v>2.63954349E-2</v>
      </c>
      <c r="Z912" s="36">
        <v>4.16</v>
      </c>
      <c r="AA912" s="38">
        <v>590</v>
      </c>
      <c r="AB912" s="38">
        <v>682</v>
      </c>
      <c r="AC912" s="49" t="s">
        <v>506</v>
      </c>
      <c r="AD912" s="39" t="s">
        <v>1371</v>
      </c>
      <c r="AE912" s="48" t="str">
        <f t="shared" si="100"/>
        <v/>
      </c>
    </row>
    <row r="913" spans="1:31" ht="15" thickBot="1">
      <c r="A913" s="34">
        <v>911</v>
      </c>
      <c r="B913" s="34" t="s">
        <v>753</v>
      </c>
      <c r="C913" s="41" t="s">
        <v>1358</v>
      </c>
      <c r="D913" s="34" t="s">
        <v>652</v>
      </c>
      <c r="E913" s="80">
        <f t="shared" si="101"/>
        <v>1.7995185226689303</v>
      </c>
      <c r="F913" s="35">
        <f t="shared" si="102"/>
        <v>42.253807545578738</v>
      </c>
      <c r="G913" s="42" cm="1">
        <f t="array" ref="G91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42.00594309118901</v>
      </c>
      <c r="H913" s="81" cm="1">
        <f t="array" ref="H9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1.7938737465515664</v>
      </c>
      <c r="I913" s="81" cm="1">
        <f t="array" ref="I9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1.7995185226689303</v>
      </c>
      <c r="J913" s="81" cm="1">
        <f t="array" ref="J9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1.8040123124990597</v>
      </c>
      <c r="K913" s="81" cm="1">
        <f t="array" ref="K9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1.8127955566584188</v>
      </c>
      <c r="L913" s="81" cm="1">
        <f t="array" ref="L9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1.8235394291906324</v>
      </c>
      <c r="M913" s="37">
        <f t="shared" si="103"/>
        <v>1.8921810106852455E-2</v>
      </c>
      <c r="N913" s="43">
        <f t="shared" si="104"/>
        <v>5.6447761173639144E-3</v>
      </c>
      <c r="O913" s="43">
        <f t="shared" si="105"/>
        <v>1.0743872532213539E-2</v>
      </c>
      <c r="P913" s="43">
        <f t="shared" si="106"/>
        <v>0.29832114821402222</v>
      </c>
      <c r="Q913" s="37">
        <f t="shared" si="107"/>
        <v>0.56780363356054875</v>
      </c>
      <c r="R913" s="37">
        <v>-6.4000000000000003E-3</v>
      </c>
      <c r="S913" s="44" t="s">
        <v>1394</v>
      </c>
      <c r="T913" s="45">
        <v>3.14470202</v>
      </c>
      <c r="U913" s="45">
        <v>-1.0105906E-2</v>
      </c>
      <c r="V913" s="45">
        <v>3.4309697399999999E-2</v>
      </c>
      <c r="W913" s="45">
        <v>-8.3312791199999995E-4</v>
      </c>
      <c r="X913" s="45">
        <v>2.17008428E-4</v>
      </c>
      <c r="Y913" s="45">
        <v>-8.7014789900000007E-6</v>
      </c>
      <c r="Z913" s="36">
        <v>4.51</v>
      </c>
      <c r="AA913" s="38">
        <v>602</v>
      </c>
      <c r="AB913" s="38">
        <v>687</v>
      </c>
      <c r="AC913" s="49" t="s">
        <v>506</v>
      </c>
      <c r="AD913" s="39" t="s">
        <v>1371</v>
      </c>
      <c r="AE913" s="48" t="str">
        <f t="shared" si="100"/>
        <v/>
      </c>
    </row>
    <row r="914" spans="1:31" ht="15" thickBot="1">
      <c r="A914" s="34">
        <v>912</v>
      </c>
      <c r="B914" s="34" t="s">
        <v>753</v>
      </c>
      <c r="C914" s="41" t="s">
        <v>1358</v>
      </c>
      <c r="D914" s="34" t="s">
        <v>653</v>
      </c>
      <c r="E914" s="80">
        <f t="shared" si="101"/>
        <v>1.7620000589323981</v>
      </c>
      <c r="F914" s="35">
        <f t="shared" si="102"/>
        <v>40.105964455708708</v>
      </c>
      <c r="G914" s="42" cm="1">
        <f t="array" ref="G91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39.832329440133648</v>
      </c>
      <c r="H914" s="81" cm="1">
        <f t="array" ref="H9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1.7563862562516277</v>
      </c>
      <c r="I914" s="81" cm="1">
        <f t="array" ref="I9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1.7620000589323981</v>
      </c>
      <c r="J914" s="81" cm="1">
        <f t="array" ref="J9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1.7665094267978101</v>
      </c>
      <c r="K914" s="81" cm="1">
        <f t="array" ref="K9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1.7753859254847144</v>
      </c>
      <c r="L914" s="81" cm="1">
        <f t="array" ref="L9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1.7863063211147356</v>
      </c>
      <c r="M914" s="37">
        <f t="shared" si="103"/>
        <v>1.8999669233086713E-2</v>
      </c>
      <c r="N914" s="43">
        <f t="shared" si="104"/>
        <v>5.6138026807703856E-3</v>
      </c>
      <c r="O914" s="43">
        <f t="shared" si="105"/>
        <v>1.0920395630021229E-2</v>
      </c>
      <c r="P914" s="43">
        <f t="shared" si="106"/>
        <v>0.29546844273448225</v>
      </c>
      <c r="Q914" s="37">
        <f t="shared" si="107"/>
        <v>0.57476767074471258</v>
      </c>
      <c r="R914" s="37">
        <v>-2.7000000000000001E-3</v>
      </c>
      <c r="S914" s="44" t="s">
        <v>1393</v>
      </c>
      <c r="T914" s="45">
        <v>1.73920103</v>
      </c>
      <c r="U914" s="45">
        <v>1.16162575</v>
      </c>
      <c r="V914" s="45">
        <v>0.27948810600000001</v>
      </c>
      <c r="W914" s="45">
        <v>9.7440084499999993E-3</v>
      </c>
      <c r="X914" s="45">
        <v>111.118099</v>
      </c>
      <c r="Y914" s="45">
        <v>4.2332527699999997E-2</v>
      </c>
      <c r="Z914" s="36">
        <v>4.3</v>
      </c>
      <c r="AA914" s="38">
        <v>619</v>
      </c>
      <c r="AB914" s="38">
        <v>746</v>
      </c>
      <c r="AC914" s="49" t="s">
        <v>506</v>
      </c>
      <c r="AD914" s="49" t="s">
        <v>506</v>
      </c>
      <c r="AE914" s="48" t="str">
        <f t="shared" si="100"/>
        <v/>
      </c>
    </row>
    <row r="915" spans="1:31" ht="15" thickBot="1">
      <c r="A915" s="34">
        <v>913</v>
      </c>
      <c r="B915" s="34" t="s">
        <v>753</v>
      </c>
      <c r="C915" s="41" t="s">
        <v>1358</v>
      </c>
      <c r="D915" s="34" t="s">
        <v>654</v>
      </c>
      <c r="E915" s="80">
        <f t="shared" si="101"/>
        <v>1.7200000232591315</v>
      </c>
      <c r="F915" s="35">
        <f t="shared" si="102"/>
        <v>43.681270793102591</v>
      </c>
      <c r="G915" s="42" cm="1">
        <f t="array" ref="G91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43.397603214873868</v>
      </c>
      <c r="H915" s="81" cm="1">
        <f t="array" ref="H9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1.7151025773078341</v>
      </c>
      <c r="I915" s="81" cm="1">
        <f t="array" ref="I9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1.7200000232591315</v>
      </c>
      <c r="J915" s="81" cm="1">
        <f t="array" ref="J9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1.7239159888267279</v>
      </c>
      <c r="K915" s="81" cm="1">
        <f t="array" ref="K9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1.7315856147787316</v>
      </c>
      <c r="L915" s="81" cm="1">
        <f t="array" ref="L9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1.7409587878057284</v>
      </c>
      <c r="M915" s="37">
        <f t="shared" si="103"/>
        <v>1.6483037470897521E-2</v>
      </c>
      <c r="N915" s="43">
        <f t="shared" si="104"/>
        <v>4.8974459512973745E-3</v>
      </c>
      <c r="O915" s="43">
        <f t="shared" si="105"/>
        <v>9.3731730269968061E-3</v>
      </c>
      <c r="P915" s="43">
        <f t="shared" si="106"/>
        <v>0.2971203553922821</v>
      </c>
      <c r="Q915" s="37">
        <f t="shared" si="107"/>
        <v>0.56865568882835438</v>
      </c>
      <c r="R915" s="37">
        <v>-2.7000000000000001E-3</v>
      </c>
      <c r="S915" s="44" t="s">
        <v>1393</v>
      </c>
      <c r="T915" s="45">
        <v>1.6889514299999999</v>
      </c>
      <c r="U915" s="45">
        <v>0.19664240599999999</v>
      </c>
      <c r="V915" s="45">
        <v>1.18909464</v>
      </c>
      <c r="W915" s="45">
        <v>9.6903555400000008E-3</v>
      </c>
      <c r="X915" s="45">
        <v>4.2375078199999999E-2</v>
      </c>
      <c r="Y915" s="45">
        <v>118.14703299999999</v>
      </c>
      <c r="Z915" s="36">
        <v>3.89</v>
      </c>
      <c r="AA915" s="38">
        <v>584</v>
      </c>
      <c r="AB915" s="38">
        <v>715</v>
      </c>
      <c r="AC915" s="49" t="s">
        <v>506</v>
      </c>
      <c r="AD915" s="49" t="s">
        <v>506</v>
      </c>
      <c r="AE915" s="48" t="str">
        <f t="shared" si="100"/>
        <v/>
      </c>
    </row>
    <row r="916" spans="1:31" ht="15" thickBot="1">
      <c r="A916" s="34">
        <v>914</v>
      </c>
      <c r="B916" s="34" t="s">
        <v>753</v>
      </c>
      <c r="C916" s="41" t="s">
        <v>1358</v>
      </c>
      <c r="D916" s="34" t="s">
        <v>655</v>
      </c>
      <c r="E916" s="80">
        <f t="shared" si="101"/>
        <v>1.8016600182962068</v>
      </c>
      <c r="F916" s="35">
        <f t="shared" si="102"/>
        <v>44.263993991547522</v>
      </c>
      <c r="G916" s="42" cm="1">
        <f t="array" ref="G91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44.012881712527097</v>
      </c>
      <c r="H916" s="81" cm="1">
        <f t="array" ref="H9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1.7962449091394463</v>
      </c>
      <c r="I916" s="81" cm="1">
        <f t="array" ref="I9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1.8016600182962068</v>
      </c>
      <c r="J916" s="81" cm="1">
        <f t="array" ref="J9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1.8059658262378915</v>
      </c>
      <c r="K916" s="81" cm="1">
        <f t="array" ref="K9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1.8143557921846882</v>
      </c>
      <c r="L916" s="81" cm="1">
        <f t="array" ref="L9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1.824544747220654</v>
      </c>
      <c r="M916" s="37">
        <f t="shared" si="103"/>
        <v>1.8110883045241888E-2</v>
      </c>
      <c r="N916" s="43">
        <f t="shared" si="104"/>
        <v>5.415109156760467E-3</v>
      </c>
      <c r="O916" s="43">
        <f t="shared" si="105"/>
        <v>1.018895503596573E-2</v>
      </c>
      <c r="P916" s="43">
        <f t="shared" si="106"/>
        <v>0.29899752227615045</v>
      </c>
      <c r="Q916" s="37">
        <f t="shared" si="107"/>
        <v>0.56258742384417215</v>
      </c>
      <c r="R916" s="37">
        <v>-7.7999999999999996E-3</v>
      </c>
      <c r="S916" s="44" t="s">
        <v>1393</v>
      </c>
      <c r="T916" s="45">
        <v>0.51363779499999995</v>
      </c>
      <c r="U916" s="45">
        <v>1.6503078499999999</v>
      </c>
      <c r="V916" s="45">
        <v>1.4764409599999999</v>
      </c>
      <c r="W916" s="45">
        <v>3.1306444599999997E-2</v>
      </c>
      <c r="X916" s="45">
        <v>7.3538878000000002E-3</v>
      </c>
      <c r="Y916" s="45">
        <v>100.105262</v>
      </c>
      <c r="Z916" s="36">
        <v>4.3</v>
      </c>
      <c r="AA916" s="38">
        <v>669</v>
      </c>
      <c r="AB916" s="38">
        <v>741</v>
      </c>
      <c r="AC916" s="49" t="s">
        <v>506</v>
      </c>
      <c r="AD916" s="49" t="s">
        <v>506</v>
      </c>
      <c r="AE916" s="48" t="str">
        <f t="shared" si="100"/>
        <v/>
      </c>
    </row>
    <row r="917" spans="1:31" ht="15" thickBot="1">
      <c r="A917" s="34">
        <v>915</v>
      </c>
      <c r="B917" s="34" t="s">
        <v>753</v>
      </c>
      <c r="C917" s="41" t="s">
        <v>1358</v>
      </c>
      <c r="D917" s="34" t="s">
        <v>656</v>
      </c>
      <c r="E917" s="80">
        <f t="shared" si="101"/>
        <v>1.8027901192158551</v>
      </c>
      <c r="F917" s="35">
        <f t="shared" si="102"/>
        <v>46.761868762886486</v>
      </c>
      <c r="G917" s="42" cm="1">
        <f t="array" ref="G91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46.512758193988972</v>
      </c>
      <c r="H917" s="81" cm="1">
        <f t="array" ref="H9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1.7976357584074125</v>
      </c>
      <c r="I917" s="81" cm="1">
        <f t="array" ref="I9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1.8027901192158551</v>
      </c>
      <c r="J917" s="81" cm="1">
        <f t="array" ref="J9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1.8068757667469484</v>
      </c>
      <c r="K917" s="81" cm="1">
        <f t="array" ref="K9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1.8148033810977402</v>
      </c>
      <c r="L917" s="81" cm="1">
        <f t="array" ref="L9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1.8243705932645213</v>
      </c>
      <c r="M917" s="37">
        <f t="shared" si="103"/>
        <v>1.7167622690327677E-2</v>
      </c>
      <c r="N917" s="43">
        <f t="shared" si="104"/>
        <v>5.1543608084425596E-3</v>
      </c>
      <c r="O917" s="43">
        <f t="shared" si="105"/>
        <v>9.5672121667811361E-3</v>
      </c>
      <c r="P917" s="43">
        <f t="shared" si="106"/>
        <v>0.30023730725084913</v>
      </c>
      <c r="Q917" s="37">
        <f t="shared" si="107"/>
        <v>0.55728229466339274</v>
      </c>
      <c r="R917" s="37">
        <v>-8.8999999999999999E-3</v>
      </c>
      <c r="S917" s="44" t="s">
        <v>1393</v>
      </c>
      <c r="T917" s="45">
        <v>1.76389273</v>
      </c>
      <c r="U917" s="45">
        <v>0.407585264</v>
      </c>
      <c r="V917" s="45">
        <v>1.2702023899999999</v>
      </c>
      <c r="W917" s="45">
        <v>8.4214891499999993E-3</v>
      </c>
      <c r="X917" s="45">
        <v>3.0419428200000001E-2</v>
      </c>
      <c r="Y917" s="45">
        <v>89.580255199999996</v>
      </c>
      <c r="Z917" s="36">
        <v>4.6500000000000004</v>
      </c>
      <c r="AA917" s="38">
        <v>691</v>
      </c>
      <c r="AB917" s="38">
        <v>765</v>
      </c>
      <c r="AC917" s="49" t="s">
        <v>506</v>
      </c>
      <c r="AD917" s="49" t="s">
        <v>506</v>
      </c>
      <c r="AE917" s="48" t="str">
        <f t="shared" si="100"/>
        <v/>
      </c>
    </row>
    <row r="918" spans="1:31" ht="15" thickBot="1">
      <c r="A918" s="34">
        <v>916</v>
      </c>
      <c r="B918" s="34" t="s">
        <v>753</v>
      </c>
      <c r="C918" s="41" t="s">
        <v>1358</v>
      </c>
      <c r="D918" s="34" t="s">
        <v>657</v>
      </c>
      <c r="E918" s="80">
        <f t="shared" si="101"/>
        <v>1.8554487553274088</v>
      </c>
      <c r="F918" s="35">
        <f t="shared" si="102"/>
        <v>36.598500887174524</v>
      </c>
      <c r="G918" s="42" cm="1">
        <f t="array" ref="G91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36.356344524157187</v>
      </c>
      <c r="H918" s="81" cm="1">
        <f t="array" ref="H9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1.848555757566855</v>
      </c>
      <c r="I918" s="81" cm="1">
        <f t="array" ref="I9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1.8554487553274088</v>
      </c>
      <c r="J918" s="81" cm="1">
        <f t="array" ref="J9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1.8609913106543645</v>
      </c>
      <c r="K918" s="81" cm="1">
        <f t="array" ref="K9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1.8719296317581662</v>
      </c>
      <c r="L918" s="81" cm="1">
        <f t="array" ref="L9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1.8854682111621348</v>
      </c>
      <c r="M918" s="37">
        <f t="shared" si="103"/>
        <v>2.3373874191311206E-2</v>
      </c>
      <c r="N918" s="43">
        <f t="shared" si="104"/>
        <v>6.8929977605538539E-3</v>
      </c>
      <c r="O918" s="43">
        <f t="shared" si="105"/>
        <v>1.3538579403968631E-2</v>
      </c>
      <c r="P918" s="43">
        <f t="shared" si="106"/>
        <v>0.29490180806723926</v>
      </c>
      <c r="Q918" s="37">
        <f t="shared" si="107"/>
        <v>0.5792184595997073</v>
      </c>
      <c r="R918" s="37">
        <v>-5.3E-3</v>
      </c>
      <c r="S918" s="44" t="s">
        <v>1394</v>
      </c>
      <c r="T918" s="45">
        <v>3.3326061400000002</v>
      </c>
      <c r="U918" s="45">
        <v>-1.42217301E-2</v>
      </c>
      <c r="V918" s="45">
        <v>3.6629995200000001E-2</v>
      </c>
      <c r="W918" s="45">
        <v>1.0203790899999999E-3</v>
      </c>
      <c r="X918" s="45">
        <v>-3.1748127200000001E-6</v>
      </c>
      <c r="Y918" s="45">
        <v>5.7655627699999997E-6</v>
      </c>
      <c r="Z918" s="36">
        <v>4.5</v>
      </c>
      <c r="AA918" s="38">
        <v>644</v>
      </c>
      <c r="AB918" s="38">
        <v>735</v>
      </c>
      <c r="AC918" s="49" t="s">
        <v>506</v>
      </c>
      <c r="AD918" s="49" t="s">
        <v>506</v>
      </c>
      <c r="AE918" s="48" t="str">
        <f t="shared" si="100"/>
        <v/>
      </c>
    </row>
    <row r="919" spans="1:31" ht="15" thickBot="1">
      <c r="A919" s="34">
        <v>917</v>
      </c>
      <c r="B919" s="34" t="s">
        <v>753</v>
      </c>
      <c r="C919" s="41" t="s">
        <v>1358</v>
      </c>
      <c r="D919" s="34" t="s">
        <v>658</v>
      </c>
      <c r="E919" s="80">
        <f t="shared" si="101"/>
        <v>1.9108200424068402</v>
      </c>
      <c r="F919" s="35">
        <f t="shared" si="102"/>
        <v>35.250776389936902</v>
      </c>
      <c r="G919" s="42" cm="1">
        <f t="array" ref="G91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35.003353150172842</v>
      </c>
      <c r="H919" s="81" cm="1">
        <f t="array" ref="H9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1.9032364605186172</v>
      </c>
      <c r="I919" s="81" cm="1">
        <f t="array" ref="I9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1.9108200424068402</v>
      </c>
      <c r="J919" s="81" cm="1">
        <f t="array" ref="J9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1.9169433901343733</v>
      </c>
      <c r="K919" s="81" cm="1">
        <f t="array" ref="K9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1.9290747578750083</v>
      </c>
      <c r="L919" s="81" cm="1">
        <f t="array" ref="L9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1.9441454208784603</v>
      </c>
      <c r="M919" s="37">
        <f t="shared" si="103"/>
        <v>2.5838297356391093E-2</v>
      </c>
      <c r="N919" s="43">
        <f t="shared" si="104"/>
        <v>7.5835818882230566E-3</v>
      </c>
      <c r="O919" s="43">
        <f t="shared" si="105"/>
        <v>1.5070663003452056E-2</v>
      </c>
      <c r="P919" s="43">
        <f t="shared" si="106"/>
        <v>0.29350161055977092</v>
      </c>
      <c r="Q919" s="37">
        <f t="shared" si="107"/>
        <v>0.58326842498870513</v>
      </c>
      <c r="R919" s="37">
        <v>-2.3999999999999998E-3</v>
      </c>
      <c r="S919" s="44" t="s">
        <v>1393</v>
      </c>
      <c r="T919" s="45">
        <v>2.2125509999999999</v>
      </c>
      <c r="U919" s="45">
        <v>0.312542616</v>
      </c>
      <c r="V919" s="45">
        <v>1.5686245700000001</v>
      </c>
      <c r="W919" s="45">
        <v>1.1817253999999999E-2</v>
      </c>
      <c r="X919" s="45">
        <v>4.9586258000000001E-2</v>
      </c>
      <c r="Y919" s="45">
        <v>115.52649</v>
      </c>
      <c r="Z919" s="36">
        <v>5.07</v>
      </c>
      <c r="AA919" s="38">
        <v>693</v>
      </c>
      <c r="AB919" s="38">
        <v>795</v>
      </c>
      <c r="AC919" s="49" t="s">
        <v>506</v>
      </c>
      <c r="AD919" s="39" t="s">
        <v>1371</v>
      </c>
      <c r="AE919" s="48" t="str">
        <f t="shared" si="100"/>
        <v/>
      </c>
    </row>
    <row r="920" spans="1:31" ht="15" thickBot="1">
      <c r="A920" s="34">
        <v>918</v>
      </c>
      <c r="B920" s="34" t="s">
        <v>753</v>
      </c>
      <c r="C920" s="41" t="s">
        <v>1358</v>
      </c>
      <c r="D920" s="34" t="s">
        <v>762</v>
      </c>
      <c r="E920" s="80">
        <f t="shared" si="101"/>
        <v>1.9108200582037653</v>
      </c>
      <c r="F920" s="35">
        <f t="shared" si="102"/>
        <v>35.282826222686914</v>
      </c>
      <c r="G920" s="42" cm="1">
        <f t="array" ref="G92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35.034562853989428</v>
      </c>
      <c r="H920" s="81" cm="1">
        <f t="array" ref="H9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1.9032437974661642</v>
      </c>
      <c r="I920" s="81" cm="1">
        <f t="array" ref="I9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1.9108200582037653</v>
      </c>
      <c r="J920" s="81" cm="1">
        <f t="array" ref="J9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1.9169376306742811</v>
      </c>
      <c r="K920" s="81" cm="1">
        <f t="array" ref="K9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1.929058624556691</v>
      </c>
      <c r="L920" s="81" cm="1">
        <f t="array" ref="L9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1.9441198230334813</v>
      </c>
      <c r="M920" s="37">
        <f t="shared" si="103"/>
        <v>2.5814827090526737E-2</v>
      </c>
      <c r="N920" s="43">
        <f t="shared" si="104"/>
        <v>7.5762607376010926E-3</v>
      </c>
      <c r="O920" s="43">
        <f t="shared" si="105"/>
        <v>1.5061198476790327E-2</v>
      </c>
      <c r="P920" s="43">
        <f t="shared" si="106"/>
        <v>0.29348485314400391</v>
      </c>
      <c r="Q920" s="37">
        <f t="shared" si="107"/>
        <v>0.58343208823263171</v>
      </c>
      <c r="R920" s="37">
        <v>-2.2000000000000001E-3</v>
      </c>
      <c r="S920" s="44" t="s">
        <v>1393</v>
      </c>
      <c r="T920" s="45">
        <v>0.30378754000000002</v>
      </c>
      <c r="U920" s="45">
        <v>2.2214593100000002</v>
      </c>
      <c r="V920" s="45">
        <v>1.5496868500000001</v>
      </c>
      <c r="W920" s="45">
        <v>5.0087732000000003E-2</v>
      </c>
      <c r="X920" s="45">
        <v>1.1875826000000001E-2</v>
      </c>
      <c r="Y920" s="45">
        <v>113.957667</v>
      </c>
      <c r="Z920" s="36">
        <v>4.84</v>
      </c>
      <c r="AA920" s="38">
        <v>711</v>
      </c>
      <c r="AB920" s="38">
        <v>805</v>
      </c>
      <c r="AC920" s="49" t="s">
        <v>506</v>
      </c>
      <c r="AD920" s="39" t="s">
        <v>1371</v>
      </c>
      <c r="AE920" s="48" t="str">
        <f t="shared" si="100"/>
        <v/>
      </c>
    </row>
    <row r="921" spans="1:31" ht="15" thickBot="1">
      <c r="A921" s="34">
        <v>919</v>
      </c>
      <c r="B921" s="34" t="s">
        <v>753</v>
      </c>
      <c r="C921" s="41" t="s">
        <v>1358</v>
      </c>
      <c r="D921" s="34" t="s">
        <v>727</v>
      </c>
      <c r="E921" s="80">
        <f t="shared" si="101"/>
        <v>1.8040000709640447</v>
      </c>
      <c r="F921" s="35">
        <f t="shared" si="102"/>
        <v>46.575046933607439</v>
      </c>
      <c r="G921" s="42" cm="1">
        <f t="array" ref="G92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46.323269096841614</v>
      </c>
      <c r="H921" s="81" cm="1">
        <f t="array" ref="H9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1.7988213999109368</v>
      </c>
      <c r="I921" s="81" cm="1">
        <f t="array" ref="I9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1.8040000709640447</v>
      </c>
      <c r="J921" s="81" cm="1">
        <f t="array" ref="J9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1.8081083198210632</v>
      </c>
      <c r="K921" s="81" cm="1">
        <f t="array" ref="K9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1.8160838639103858</v>
      </c>
      <c r="L921" s="81" cm="1">
        <f t="array" ref="L9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1.8257089727351647</v>
      </c>
      <c r="M921" s="37">
        <f t="shared" si="103"/>
        <v>1.7262463999448974E-2</v>
      </c>
      <c r="N921" s="43">
        <f t="shared" si="104"/>
        <v>5.178671053107875E-3</v>
      </c>
      <c r="O921" s="43">
        <f t="shared" si="105"/>
        <v>9.6251088247789607E-3</v>
      </c>
      <c r="P921" s="43">
        <f t="shared" si="106"/>
        <v>0.29999605231751275</v>
      </c>
      <c r="Q921" s="37">
        <f t="shared" si="107"/>
        <v>0.55757444737241446</v>
      </c>
      <c r="R921" s="37">
        <v>-8.8000000000000005E-3</v>
      </c>
      <c r="S921" s="44" t="s">
        <v>1393</v>
      </c>
      <c r="T921" s="45">
        <v>1.22239213</v>
      </c>
      <c r="U921" s="45">
        <v>0.95285993099999999</v>
      </c>
      <c r="V921" s="45">
        <v>1.3799406700000001</v>
      </c>
      <c r="W921" s="45">
        <v>4.4544448100000003E-3</v>
      </c>
      <c r="X921" s="45">
        <v>2.2997398499999998E-2</v>
      </c>
      <c r="Y921" s="45">
        <v>99.199126699999994</v>
      </c>
      <c r="Z921" s="36">
        <v>4.4400000000000004</v>
      </c>
      <c r="AA921" s="38">
        <v>691</v>
      </c>
      <c r="AB921" s="38">
        <v>768</v>
      </c>
      <c r="AC921" s="49" t="s">
        <v>506</v>
      </c>
      <c r="AD921" s="39" t="s">
        <v>1371</v>
      </c>
      <c r="AE921" s="48" t="str">
        <f t="shared" si="100"/>
        <v/>
      </c>
    </row>
    <row r="922" spans="1:31" ht="15" thickBot="1">
      <c r="A922" s="34">
        <v>920</v>
      </c>
      <c r="B922" s="34" t="s">
        <v>753</v>
      </c>
      <c r="C922" s="41" t="s">
        <v>1358</v>
      </c>
      <c r="D922" s="34" t="s">
        <v>659</v>
      </c>
      <c r="E922" s="80">
        <f t="shared" si="101"/>
        <v>1.8039999927745269</v>
      </c>
      <c r="F922" s="35">
        <f t="shared" si="102"/>
        <v>46.575576022986347</v>
      </c>
      <c r="G922" s="42" cm="1">
        <f t="array" ref="G92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46.326722927350737</v>
      </c>
      <c r="H922" s="81" cm="1">
        <f t="array" ref="H9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1.7988187440961625</v>
      </c>
      <c r="I922" s="81" cm="1">
        <f t="array" ref="I9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1.8039999927745269</v>
      </c>
      <c r="J922" s="81" cm="1">
        <f t="array" ref="J9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1.8081082243214732</v>
      </c>
      <c r="K922" s="81" cm="1">
        <f t="array" ref="K9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1.8160810103186507</v>
      </c>
      <c r="L922" s="81" cm="1">
        <f t="array" ref="L9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1.8257025753172205</v>
      </c>
      <c r="M922" s="37">
        <f t="shared" si="103"/>
        <v>1.7262266222488165E-2</v>
      </c>
      <c r="N922" s="43">
        <f t="shared" si="104"/>
        <v>5.1812486783644474E-3</v>
      </c>
      <c r="O922" s="43">
        <f t="shared" si="105"/>
        <v>9.6215649985698093E-3</v>
      </c>
      <c r="P922" s="43">
        <f t="shared" si="106"/>
        <v>0.30014881079835576</v>
      </c>
      <c r="Q922" s="37">
        <f t="shared" si="107"/>
        <v>0.55737554238593867</v>
      </c>
      <c r="R922" s="37">
        <v>-8.9999999999999993E-3</v>
      </c>
      <c r="S922" s="44" t="s">
        <v>1393</v>
      </c>
      <c r="T922" s="45">
        <v>0.49744065900000001</v>
      </c>
      <c r="U922" s="45">
        <v>1.6778026399999999</v>
      </c>
      <c r="V922" s="45">
        <v>1.32327423</v>
      </c>
      <c r="W922" s="45">
        <v>2.8544696599999999E-2</v>
      </c>
      <c r="X922" s="45">
        <v>7.8837928800000005E-3</v>
      </c>
      <c r="Y922" s="45">
        <v>94.051434200000003</v>
      </c>
      <c r="Z922" s="36">
        <v>4.5199999999999996</v>
      </c>
      <c r="AA922" s="38">
        <v>687</v>
      </c>
      <c r="AB922" s="38">
        <v>770</v>
      </c>
      <c r="AC922" s="49" t="s">
        <v>506</v>
      </c>
      <c r="AD922" s="49" t="s">
        <v>506</v>
      </c>
      <c r="AE922" s="48" t="str">
        <f t="shared" si="100"/>
        <v/>
      </c>
    </row>
    <row r="923" spans="1:31" ht="15" thickBot="1">
      <c r="A923" s="34">
        <v>921</v>
      </c>
      <c r="B923" s="34" t="s">
        <v>753</v>
      </c>
      <c r="C923" s="41" t="s">
        <v>1358</v>
      </c>
      <c r="D923" s="34" t="s">
        <v>660</v>
      </c>
      <c r="E923" s="80">
        <f t="shared" si="101"/>
        <v>1.8045000374697642</v>
      </c>
      <c r="F923" s="35">
        <f t="shared" si="102"/>
        <v>39.635733556301652</v>
      </c>
      <c r="G923" s="42" cm="1">
        <f t="array" ref="G92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39.380810055256319</v>
      </c>
      <c r="H923" s="81" cm="1">
        <f t="array" ref="H9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1.7984878710541445</v>
      </c>
      <c r="I923" s="81" cm="1">
        <f t="array" ref="I9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1.8045000374697642</v>
      </c>
      <c r="J923" s="81" cm="1">
        <f t="array" ref="J9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1.8093175513307327</v>
      </c>
      <c r="K923" s="81" cm="1">
        <f t="array" ref="K9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1.8187852130051139</v>
      </c>
      <c r="L923" s="81" cm="1">
        <f t="array" ref="L9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1.8304207318960755</v>
      </c>
      <c r="M923" s="37">
        <f t="shared" si="103"/>
        <v>2.0297341950969328E-2</v>
      </c>
      <c r="N923" s="43">
        <f t="shared" si="104"/>
        <v>6.0121664156196353E-3</v>
      </c>
      <c r="O923" s="43">
        <f t="shared" si="105"/>
        <v>1.1635518890961594E-2</v>
      </c>
      <c r="P923" s="43">
        <f t="shared" si="106"/>
        <v>0.29620461783334717</v>
      </c>
      <c r="Q923" s="37">
        <f t="shared" si="107"/>
        <v>0.57325333135090251</v>
      </c>
      <c r="R923" s="37">
        <v>-5.0000000000000001E-3</v>
      </c>
      <c r="S923" s="44" t="s">
        <v>1393</v>
      </c>
      <c r="T923" s="45">
        <v>1.22431136</v>
      </c>
      <c r="U923" s="45">
        <v>0.302590305</v>
      </c>
      <c r="V923" s="45">
        <v>1.8609071500000001</v>
      </c>
      <c r="W923" s="45">
        <v>91.245182999999997</v>
      </c>
      <c r="X923" s="45">
        <v>4.2606762800000003E-2</v>
      </c>
      <c r="Y923" s="45">
        <v>9.8703156000000004E-3</v>
      </c>
      <c r="Z923" s="36">
        <v>4.41</v>
      </c>
      <c r="AA923" s="38">
        <v>601</v>
      </c>
      <c r="AB923" s="38">
        <v>680</v>
      </c>
      <c r="AC923" s="49" t="s">
        <v>506</v>
      </c>
      <c r="AD923" s="49" t="s">
        <v>506</v>
      </c>
      <c r="AE923" s="48" t="str">
        <f t="shared" si="100"/>
        <v/>
      </c>
    </row>
    <row r="924" spans="1:31" ht="15" thickBot="1">
      <c r="A924" s="34">
        <v>922</v>
      </c>
      <c r="B924" s="34" t="s">
        <v>753</v>
      </c>
      <c r="C924" s="41" t="s">
        <v>1358</v>
      </c>
      <c r="D924" s="34" t="s">
        <v>728</v>
      </c>
      <c r="E924" s="80">
        <f t="shared" si="101"/>
        <v>1.8061000163322376</v>
      </c>
      <c r="F924" s="35">
        <f t="shared" si="102"/>
        <v>41.017387025044044</v>
      </c>
      <c r="G924" s="42" cm="1">
        <f t="array" ref="G92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40.761574066461975</v>
      </c>
      <c r="H924" s="81" cm="1">
        <f t="array" ref="H9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1.800264722473597</v>
      </c>
      <c r="I924" s="81" cm="1">
        <f t="array" ref="I9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1.8061000163322376</v>
      </c>
      <c r="J924" s="81" cm="1">
        <f t="array" ref="J9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1.8107685100089146</v>
      </c>
      <c r="K924" s="81" cm="1">
        <f t="array" ref="K9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1.8199173643115585</v>
      </c>
      <c r="L924" s="81" cm="1">
        <f t="array" ref="L9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1.8311041236238994</v>
      </c>
      <c r="M924" s="37">
        <f t="shared" si="103"/>
        <v>1.9652641837961449E-2</v>
      </c>
      <c r="N924" s="43">
        <f t="shared" si="104"/>
        <v>5.8352938586405667E-3</v>
      </c>
      <c r="O924" s="43">
        <f t="shared" si="105"/>
        <v>1.1186759312340921E-2</v>
      </c>
      <c r="P924" s="43">
        <f t="shared" si="106"/>
        <v>0.29692159999420498</v>
      </c>
      <c r="Q924" s="37">
        <f t="shared" si="107"/>
        <v>0.56922419919811218</v>
      </c>
      <c r="R924" s="37">
        <v>-6.7000000000000002E-3</v>
      </c>
      <c r="S924" s="44" t="s">
        <v>1393</v>
      </c>
      <c r="T924" s="45">
        <v>1.8531368800000001</v>
      </c>
      <c r="U924" s="45">
        <v>0.31793859099999999</v>
      </c>
      <c r="V924" s="45">
        <v>1.1639631800000001</v>
      </c>
      <c r="W924" s="45">
        <v>9.8553463900000002E-3</v>
      </c>
      <c r="X924" s="45">
        <v>3.9261167800000003E-2</v>
      </c>
      <c r="Y924" s="45">
        <v>93.103276300000005</v>
      </c>
      <c r="Z924" s="36">
        <v>4.4800000000000004</v>
      </c>
      <c r="AA924" s="38">
        <v>573</v>
      </c>
      <c r="AB924" s="38">
        <v>660</v>
      </c>
      <c r="AC924" s="49" t="s">
        <v>506</v>
      </c>
      <c r="AD924" s="39" t="s">
        <v>1371</v>
      </c>
      <c r="AE924" s="48" t="str">
        <f t="shared" si="100"/>
        <v/>
      </c>
    </row>
    <row r="925" spans="1:31" ht="15" thickBot="1">
      <c r="A925" s="34">
        <v>923</v>
      </c>
      <c r="B925" s="34" t="s">
        <v>753</v>
      </c>
      <c r="C925" s="41" t="s">
        <v>1358</v>
      </c>
      <c r="D925" s="34" t="s">
        <v>661</v>
      </c>
      <c r="E925" s="80">
        <f t="shared" si="101"/>
        <v>1.8060989425627938</v>
      </c>
      <c r="F925" s="35">
        <f t="shared" si="102"/>
        <v>40.945889071967372</v>
      </c>
      <c r="G925" s="42" cm="1">
        <f t="array" ref="G92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40.690976086490295</v>
      </c>
      <c r="H925" s="81" cm="1">
        <f t="array" ref="H9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1.8002503907361369</v>
      </c>
      <c r="I925" s="81" cm="1">
        <f t="array" ref="I9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1.8060989425627938</v>
      </c>
      <c r="J925" s="81" cm="1">
        <f t="array" ref="J9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1.8107730820308119</v>
      </c>
      <c r="K925" s="81" cm="1">
        <f t="array" ref="K9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1.8199373229491846</v>
      </c>
      <c r="L925" s="81" cm="1">
        <f t="array" ref="L9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1.8311727029060694</v>
      </c>
      <c r="M925" s="37">
        <f t="shared" si="103"/>
        <v>1.9686932213047736E-2</v>
      </c>
      <c r="N925" s="43">
        <f t="shared" si="104"/>
        <v>5.8485518266568892E-3</v>
      </c>
      <c r="O925" s="43">
        <f t="shared" si="105"/>
        <v>1.1235379956884728E-2</v>
      </c>
      <c r="P925" s="43">
        <f t="shared" si="106"/>
        <v>0.2970778668491933</v>
      </c>
      <c r="Q925" s="37">
        <f t="shared" si="107"/>
        <v>0.57070242510604841</v>
      </c>
      <c r="R925" s="37">
        <v>-5.0000000000000001E-3</v>
      </c>
      <c r="S925" s="44" t="s">
        <v>1394</v>
      </c>
      <c r="T925" s="45">
        <v>3.1694345400000001</v>
      </c>
      <c r="U925" s="45">
        <v>-1.24379117E-2</v>
      </c>
      <c r="V925" s="45">
        <v>3.2210111600000001E-2</v>
      </c>
      <c r="W925" s="45">
        <v>1.81456299E-4</v>
      </c>
      <c r="X925" s="45">
        <v>8.9065292600000004E-5</v>
      </c>
      <c r="Y925" s="45">
        <v>-1.9193314499999999E-6</v>
      </c>
      <c r="Z925" s="36">
        <v>4.45</v>
      </c>
      <c r="AA925" s="38">
        <v>599</v>
      </c>
      <c r="AB925" s="38">
        <v>674</v>
      </c>
      <c r="AC925" s="49" t="s">
        <v>506</v>
      </c>
      <c r="AD925" s="49" t="s">
        <v>506</v>
      </c>
      <c r="AE925" s="48" t="str">
        <f t="shared" ref="AE925:AE959" si="108">IF(RIGHT(D925,2)="GT","Transmission improved type.","")</f>
        <v/>
      </c>
    </row>
    <row r="926" spans="1:31" ht="15" thickBot="1">
      <c r="A926" s="34">
        <v>924</v>
      </c>
      <c r="B926" s="34" t="s">
        <v>753</v>
      </c>
      <c r="C926" s="41" t="s">
        <v>1358</v>
      </c>
      <c r="D926" s="34" t="s">
        <v>729</v>
      </c>
      <c r="E926" s="80">
        <f t="shared" si="101"/>
        <v>1.8340000218339876</v>
      </c>
      <c r="F926" s="35">
        <f t="shared" si="102"/>
        <v>37.211013549309882</v>
      </c>
      <c r="G926" s="42" cm="1">
        <f t="array" ref="G92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36.959168564956059</v>
      </c>
      <c r="H926" s="81" cm="1">
        <f t="array" ref="H9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1.8273950081435126</v>
      </c>
      <c r="I926" s="81" cm="1">
        <f t="array" ref="I9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1.8340000218339876</v>
      </c>
      <c r="J926" s="81" cm="1">
        <f t="array" ref="J9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1.839315857544179</v>
      </c>
      <c r="K926" s="81" cm="1">
        <f t="array" ref="K9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1.8498077279886418</v>
      </c>
      <c r="L926" s="81" cm="1">
        <f t="array" ref="L9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1.862770360242068</v>
      </c>
      <c r="M926" s="37">
        <f t="shared" si="103"/>
        <v>2.2412719845129159E-2</v>
      </c>
      <c r="N926" s="43">
        <f t="shared" si="104"/>
        <v>6.6050136904749479E-3</v>
      </c>
      <c r="O926" s="43">
        <f t="shared" si="105"/>
        <v>1.2962632253426198E-2</v>
      </c>
      <c r="P926" s="43">
        <f t="shared" si="106"/>
        <v>0.2946993375241953</v>
      </c>
      <c r="Q926" s="37">
        <f t="shared" si="107"/>
        <v>0.5783605177326705</v>
      </c>
      <c r="R926" s="37">
        <v>-4.0000000000000001E-3</v>
      </c>
      <c r="S926" s="44" t="s">
        <v>1393</v>
      </c>
      <c r="T926" s="45">
        <v>0.30281382499999998</v>
      </c>
      <c r="U926" s="45">
        <v>1.2552235300000001</v>
      </c>
      <c r="V926" s="45">
        <v>1.95575794</v>
      </c>
      <c r="W926" s="45">
        <v>4.5592019999999997E-2</v>
      </c>
      <c r="X926" s="45">
        <v>99.941219399999994</v>
      </c>
      <c r="Y926" s="45">
        <v>1.0816711E-2</v>
      </c>
      <c r="Z926" s="36">
        <v>4.54</v>
      </c>
      <c r="AA926" s="38">
        <v>569</v>
      </c>
      <c r="AB926" s="38">
        <v>661</v>
      </c>
      <c r="AC926" s="49" t="s">
        <v>506</v>
      </c>
      <c r="AD926" s="39" t="s">
        <v>1371</v>
      </c>
      <c r="AE926" s="48" t="str">
        <f t="shared" si="108"/>
        <v/>
      </c>
    </row>
    <row r="927" spans="1:31" ht="15" thickBot="1">
      <c r="A927" s="34">
        <v>925</v>
      </c>
      <c r="B927" s="34" t="s">
        <v>753</v>
      </c>
      <c r="C927" s="41" t="s">
        <v>1358</v>
      </c>
      <c r="D927" s="34" t="s">
        <v>730</v>
      </c>
      <c r="E927" s="80">
        <f t="shared" si="101"/>
        <v>1.8340000218339876</v>
      </c>
      <c r="F927" s="35">
        <f t="shared" si="102"/>
        <v>37.211013549309882</v>
      </c>
      <c r="G927" s="42" cm="1">
        <f t="array" ref="G92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36.959168564956059</v>
      </c>
      <c r="H927" s="81" cm="1">
        <f t="array" ref="H9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1.8273950081435126</v>
      </c>
      <c r="I927" s="81" cm="1">
        <f t="array" ref="I9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1.8340000218339876</v>
      </c>
      <c r="J927" s="81" cm="1">
        <f t="array" ref="J9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1.839315857544179</v>
      </c>
      <c r="K927" s="81" cm="1">
        <f t="array" ref="K9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1.8498077279886418</v>
      </c>
      <c r="L927" s="81" cm="1">
        <f t="array" ref="L9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1.862770360242068</v>
      </c>
      <c r="M927" s="37">
        <f t="shared" si="103"/>
        <v>2.2412719845129159E-2</v>
      </c>
      <c r="N927" s="43">
        <f t="shared" si="104"/>
        <v>6.6050136904749479E-3</v>
      </c>
      <c r="O927" s="43">
        <f t="shared" si="105"/>
        <v>1.2962632253426198E-2</v>
      </c>
      <c r="P927" s="43">
        <f t="shared" si="106"/>
        <v>0.2946993375241953</v>
      </c>
      <c r="Q927" s="37">
        <f t="shared" si="107"/>
        <v>0.5783605177326705</v>
      </c>
      <c r="R927" s="37">
        <v>-4.0000000000000001E-3</v>
      </c>
      <c r="S927" s="44" t="s">
        <v>1393</v>
      </c>
      <c r="T927" s="45">
        <v>0.30281382499999998</v>
      </c>
      <c r="U927" s="45">
        <v>1.2552235300000001</v>
      </c>
      <c r="V927" s="45">
        <v>1.95575794</v>
      </c>
      <c r="W927" s="45">
        <v>4.5592019999999997E-2</v>
      </c>
      <c r="X927" s="45">
        <v>99.941219399999994</v>
      </c>
      <c r="Y927" s="45">
        <v>1.0816711E-2</v>
      </c>
      <c r="Z927" s="36">
        <v>4.54</v>
      </c>
      <c r="AA927" s="38">
        <v>569</v>
      </c>
      <c r="AB927" s="38">
        <v>661</v>
      </c>
      <c r="AC927" s="49" t="s">
        <v>506</v>
      </c>
      <c r="AD927" s="49" t="s">
        <v>506</v>
      </c>
      <c r="AE927" s="48" t="str">
        <f t="shared" si="108"/>
        <v>Transmission improved type.</v>
      </c>
    </row>
    <row r="928" spans="1:31" ht="15" thickBot="1">
      <c r="A928" s="34">
        <v>926</v>
      </c>
      <c r="B928" s="34" t="s">
        <v>753</v>
      </c>
      <c r="C928" s="41" t="s">
        <v>1358</v>
      </c>
      <c r="D928" s="34" t="s">
        <v>731</v>
      </c>
      <c r="E928" s="80">
        <f t="shared" si="101"/>
        <v>1.8348100707506558</v>
      </c>
      <c r="F928" s="35">
        <f t="shared" si="102"/>
        <v>42.725695039787766</v>
      </c>
      <c r="G928" s="42" cm="1">
        <f t="array" ref="G92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42.477156396918708</v>
      </c>
      <c r="H928" s="81" cm="1">
        <f t="array" ref="H9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1.8289826215085356</v>
      </c>
      <c r="I928" s="81" cm="1">
        <f t="array" ref="I9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1.8348100707506558</v>
      </c>
      <c r="J928" s="81" cm="1">
        <f t="array" ref="J9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1.8394552402065611</v>
      </c>
      <c r="K928" s="81" cm="1">
        <f t="array" ref="K9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1.8485214510108585</v>
      </c>
      <c r="L928" s="81" cm="1">
        <f t="array" ref="L9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1.8595482751017156</v>
      </c>
      <c r="M928" s="37">
        <f t="shared" si="103"/>
        <v>1.9538829502322885E-2</v>
      </c>
      <c r="N928" s="43">
        <f t="shared" si="104"/>
        <v>5.8274492421201973E-3</v>
      </c>
      <c r="O928" s="43">
        <f t="shared" si="105"/>
        <v>1.102682409085709E-2</v>
      </c>
      <c r="P928" s="43">
        <f t="shared" si="106"/>
        <v>0.29824965929649971</v>
      </c>
      <c r="Q928" s="37">
        <f t="shared" si="107"/>
        <v>0.5643543841531633</v>
      </c>
      <c r="R928" s="37">
        <v>-8.6E-3</v>
      </c>
      <c r="S928" s="44" t="s">
        <v>1393</v>
      </c>
      <c r="T928" s="45">
        <v>0.22776527499999999</v>
      </c>
      <c r="U928" s="45">
        <v>2.0468690600000001</v>
      </c>
      <c r="V928" s="45">
        <v>1.20888928</v>
      </c>
      <c r="W928" s="45">
        <v>4.1222179800000001E-2</v>
      </c>
      <c r="X928" s="45">
        <v>1.0748949000000001E-2</v>
      </c>
      <c r="Y928" s="45">
        <v>87.851899799999998</v>
      </c>
      <c r="Z928" s="36">
        <v>4.5599999999999996</v>
      </c>
      <c r="AA928" s="38">
        <v>692</v>
      </c>
      <c r="AB928" s="38">
        <v>771</v>
      </c>
      <c r="AC928" s="49" t="s">
        <v>506</v>
      </c>
      <c r="AD928" s="39" t="s">
        <v>1371</v>
      </c>
      <c r="AE928" s="48" t="str">
        <f t="shared" si="108"/>
        <v/>
      </c>
    </row>
    <row r="929" spans="1:31" ht="15" thickBot="1">
      <c r="A929" s="34">
        <v>927</v>
      </c>
      <c r="B929" s="34" t="s">
        <v>753</v>
      </c>
      <c r="C929" s="41" t="s">
        <v>1358</v>
      </c>
      <c r="D929" s="34" t="s">
        <v>662</v>
      </c>
      <c r="E929" s="80">
        <f t="shared" si="101"/>
        <v>1.8348100342753955</v>
      </c>
      <c r="F929" s="35">
        <f t="shared" si="102"/>
        <v>42.71209291449815</v>
      </c>
      <c r="G929" s="42" cm="1">
        <f t="array" ref="G92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42.461164997833855</v>
      </c>
      <c r="H929" s="81" cm="1">
        <f t="array" ref="H9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1.8289830266347569</v>
      </c>
      <c r="I929" s="81" cm="1">
        <f t="array" ref="I9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1.8348100342753955</v>
      </c>
      <c r="J929" s="81" cm="1">
        <f t="array" ref="J9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1.8394560251575105</v>
      </c>
      <c r="K929" s="81" cm="1">
        <f t="array" ref="K9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1.8485280776334643</v>
      </c>
      <c r="L929" s="81" cm="1">
        <f t="array" ref="L9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1.8595682904764907</v>
      </c>
      <c r="M929" s="37">
        <f t="shared" si="103"/>
        <v>1.9545050998707403E-2</v>
      </c>
      <c r="N929" s="43">
        <f t="shared" si="104"/>
        <v>5.8270076406385929E-3</v>
      </c>
      <c r="O929" s="43">
        <f t="shared" si="105"/>
        <v>1.1040212843026476E-2</v>
      </c>
      <c r="P929" s="43">
        <f t="shared" si="106"/>
        <v>0.29813212771989994</v>
      </c>
      <c r="Q929" s="37">
        <f t="shared" si="107"/>
        <v>0.5648597613665276</v>
      </c>
      <c r="R929" s="37">
        <v>-8.0999999999999996E-3</v>
      </c>
      <c r="S929" s="44" t="s">
        <v>1393</v>
      </c>
      <c r="T929" s="45">
        <v>1.89206469</v>
      </c>
      <c r="U929" s="45">
        <v>0.38301349099999998</v>
      </c>
      <c r="V929" s="45">
        <v>1.32100138</v>
      </c>
      <c r="W929" s="45">
        <v>9.2796996100000008E-3</v>
      </c>
      <c r="X929" s="45">
        <v>3.5625945999999999E-2</v>
      </c>
      <c r="Y929" s="45">
        <v>93.666766899999999</v>
      </c>
      <c r="Z929" s="36">
        <v>4.7300000000000004</v>
      </c>
      <c r="AA929" s="38">
        <v>680</v>
      </c>
      <c r="AB929" s="38">
        <v>758</v>
      </c>
      <c r="AC929" s="49" t="s">
        <v>506</v>
      </c>
      <c r="AD929" s="49" t="s">
        <v>506</v>
      </c>
      <c r="AE929" s="48" t="str">
        <f t="shared" si="108"/>
        <v/>
      </c>
    </row>
    <row r="930" spans="1:31" ht="15" thickBot="1">
      <c r="A930" s="34">
        <v>928</v>
      </c>
      <c r="B930" s="34" t="s">
        <v>753</v>
      </c>
      <c r="C930" s="41" t="s">
        <v>1358</v>
      </c>
      <c r="D930" s="34" t="s">
        <v>663</v>
      </c>
      <c r="E930" s="80">
        <f t="shared" si="101"/>
        <v>1.8061000308794006</v>
      </c>
      <c r="F930" s="35">
        <f t="shared" si="102"/>
        <v>33.268739200289154</v>
      </c>
      <c r="G930" s="42" cm="1">
        <f t="array" ref="G93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33.019551626341965</v>
      </c>
      <c r="H930" s="81" cm="1">
        <f t="array" ref="H9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1.7990260084338718</v>
      </c>
      <c r="I930" s="81" cm="1">
        <f t="array" ref="I9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1.8061000308794006</v>
      </c>
      <c r="J930" s="81" cm="1">
        <f t="array" ref="J9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1.8118315455808913</v>
      </c>
      <c r="K930" s="81" cm="1">
        <f t="array" ref="K9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1.8232559627470306</v>
      </c>
      <c r="L930" s="81" cm="1">
        <f t="array" ref="L9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1.8376111349408786</v>
      </c>
      <c r="M930" s="37">
        <f t="shared" si="103"/>
        <v>2.4229954313158775E-2</v>
      </c>
      <c r="N930" s="43">
        <f t="shared" si="104"/>
        <v>7.0740224455287937E-3</v>
      </c>
      <c r="O930" s="43">
        <f t="shared" si="105"/>
        <v>1.4355172193847965E-2</v>
      </c>
      <c r="P930" s="43">
        <f t="shared" si="106"/>
        <v>0.29195360230980882</v>
      </c>
      <c r="Q930" s="37">
        <f t="shared" si="107"/>
        <v>0.59245560302406242</v>
      </c>
      <c r="R930" s="37">
        <v>3.3999999999999998E-3</v>
      </c>
      <c r="S930" s="44" t="s">
        <v>1393</v>
      </c>
      <c r="T930" s="45">
        <v>1.9377128800000001</v>
      </c>
      <c r="U930" s="45">
        <v>1.5644032560000001</v>
      </c>
      <c r="V930" s="45">
        <v>0.214505628</v>
      </c>
      <c r="W930" s="45">
        <v>1.22003756E-2</v>
      </c>
      <c r="X930" s="45">
        <v>122.447532</v>
      </c>
      <c r="Y930" s="45">
        <v>5.78880425E-2</v>
      </c>
      <c r="Z930" s="36">
        <v>3.79</v>
      </c>
      <c r="AA930" s="38">
        <v>659</v>
      </c>
      <c r="AB930" s="38">
        <v>767</v>
      </c>
      <c r="AC930" s="49" t="s">
        <v>506</v>
      </c>
      <c r="AD930" s="39" t="s">
        <v>1371</v>
      </c>
      <c r="AE930" s="48" t="str">
        <f t="shared" si="108"/>
        <v/>
      </c>
    </row>
    <row r="931" spans="1:31" ht="15" thickBot="1">
      <c r="A931" s="34">
        <v>929</v>
      </c>
      <c r="B931" s="34" t="s">
        <v>753</v>
      </c>
      <c r="C931" s="41" t="s">
        <v>1358</v>
      </c>
      <c r="D931" s="34" t="s">
        <v>664</v>
      </c>
      <c r="E931" s="80">
        <f t="shared" si="101"/>
        <v>1.8010000047444452</v>
      </c>
      <c r="F931" s="35">
        <f t="shared" si="102"/>
        <v>34.967354083411379</v>
      </c>
      <c r="G931" s="42" cm="1">
        <f t="array" ref="G93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34.710749330513281</v>
      </c>
      <c r="H931" s="81" cm="1">
        <f t="array" ref="H9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1.7942910207661094</v>
      </c>
      <c r="I931" s="81" cm="1">
        <f t="array" ref="I9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1.8010000047444452</v>
      </c>
      <c r="J931" s="81" cm="1">
        <f t="array" ref="J9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1.8064233205888185</v>
      </c>
      <c r="K931" s="81" cm="1">
        <f t="array" ref="K9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1.8171981015487655</v>
      </c>
      <c r="L931" s="81" cm="1">
        <f t="array" ref="L9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1.8306614490497537</v>
      </c>
      <c r="M931" s="37">
        <f t="shared" si="103"/>
        <v>2.2907080782656131E-2</v>
      </c>
      <c r="N931" s="43">
        <f t="shared" si="104"/>
        <v>6.7089839783358585E-3</v>
      </c>
      <c r="O931" s="43">
        <f t="shared" si="105"/>
        <v>1.346334750098821E-2</v>
      </c>
      <c r="P931" s="43">
        <f t="shared" si="106"/>
        <v>0.29287817343428146</v>
      </c>
      <c r="Q931" s="37">
        <f t="shared" si="107"/>
        <v>0.58773737381595348</v>
      </c>
      <c r="R931" s="37">
        <v>1.6000000000000001E-3</v>
      </c>
      <c r="S931" s="44" t="s">
        <v>1393</v>
      </c>
      <c r="T931" s="45">
        <v>0.23301878500000001</v>
      </c>
      <c r="U931" s="45">
        <v>1.90660392</v>
      </c>
      <c r="V931" s="45">
        <v>1.3714708600000001</v>
      </c>
      <c r="W931" s="45">
        <v>5.3743537700000003E-2</v>
      </c>
      <c r="X931" s="45">
        <v>1.1433655900000001E-2</v>
      </c>
      <c r="Y931" s="45">
        <v>110.630887</v>
      </c>
      <c r="Z931" s="36">
        <v>3.89</v>
      </c>
      <c r="AA931" s="38">
        <v>657</v>
      </c>
      <c r="AB931" s="38">
        <v>764</v>
      </c>
      <c r="AC931" s="49" t="s">
        <v>506</v>
      </c>
      <c r="AD931" s="39" t="s">
        <v>1371</v>
      </c>
      <c r="AE931" s="48" t="str">
        <f t="shared" si="108"/>
        <v/>
      </c>
    </row>
    <row r="932" spans="1:31" ht="15" thickBot="1">
      <c r="A932" s="34">
        <v>930</v>
      </c>
      <c r="B932" s="34" t="s">
        <v>753</v>
      </c>
      <c r="C932" s="41" t="s">
        <v>1358</v>
      </c>
      <c r="D932" s="34" t="s">
        <v>732</v>
      </c>
      <c r="E932" s="80">
        <f t="shared" si="101"/>
        <v>1.8010000047444452</v>
      </c>
      <c r="F932" s="35">
        <f t="shared" si="102"/>
        <v>34.967354083411379</v>
      </c>
      <c r="G932" s="42" cm="1">
        <f t="array" ref="G93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34.710749330513281</v>
      </c>
      <c r="H932" s="81" cm="1">
        <f t="array" ref="H9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1.7942910207661094</v>
      </c>
      <c r="I932" s="81" cm="1">
        <f t="array" ref="I9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1.8010000047444452</v>
      </c>
      <c r="J932" s="81" cm="1">
        <f t="array" ref="J9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1.8064233205888185</v>
      </c>
      <c r="K932" s="81" cm="1">
        <f t="array" ref="K9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1.8171981015487655</v>
      </c>
      <c r="L932" s="81" cm="1">
        <f t="array" ref="L9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1.8306614490497537</v>
      </c>
      <c r="M932" s="37">
        <f t="shared" si="103"/>
        <v>2.2907080782656131E-2</v>
      </c>
      <c r="N932" s="43">
        <f t="shared" si="104"/>
        <v>6.7089839783358585E-3</v>
      </c>
      <c r="O932" s="43">
        <f t="shared" si="105"/>
        <v>1.346334750098821E-2</v>
      </c>
      <c r="P932" s="43">
        <f t="shared" si="106"/>
        <v>0.29287817343428146</v>
      </c>
      <c r="Q932" s="37">
        <f t="shared" si="107"/>
        <v>0.58773737381595348</v>
      </c>
      <c r="R932" s="37">
        <v>1.6000000000000001E-3</v>
      </c>
      <c r="S932" s="44" t="s">
        <v>1393</v>
      </c>
      <c r="T932" s="45">
        <v>0.23301878500000001</v>
      </c>
      <c r="U932" s="45">
        <v>1.90660392</v>
      </c>
      <c r="V932" s="45">
        <v>1.3714708600000001</v>
      </c>
      <c r="W932" s="45">
        <v>5.3743537700000003E-2</v>
      </c>
      <c r="X932" s="45">
        <v>1.1433655900000001E-2</v>
      </c>
      <c r="Y932" s="45">
        <v>110.630887</v>
      </c>
      <c r="Z932" s="36">
        <v>3.89</v>
      </c>
      <c r="AA932" s="38">
        <v>657</v>
      </c>
      <c r="AB932" s="38">
        <v>764</v>
      </c>
      <c r="AC932" s="49" t="s">
        <v>506</v>
      </c>
      <c r="AD932" s="49" t="s">
        <v>506</v>
      </c>
      <c r="AE932" s="48" t="str">
        <f t="shared" si="108"/>
        <v>Transmission improved type.</v>
      </c>
    </row>
    <row r="933" spans="1:31" ht="15" thickBot="1">
      <c r="A933" s="34">
        <v>931</v>
      </c>
      <c r="B933" s="34" t="s">
        <v>753</v>
      </c>
      <c r="C933" s="41" t="s">
        <v>1358</v>
      </c>
      <c r="D933" s="34" t="s">
        <v>733</v>
      </c>
      <c r="E933" s="80">
        <f t="shared" si="101"/>
        <v>1.8830000914874971</v>
      </c>
      <c r="F933" s="35">
        <f t="shared" si="102"/>
        <v>40.847962841995908</v>
      </c>
      <c r="G933" s="42" cm="1">
        <f t="array" ref="G93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40.594115557808529</v>
      </c>
      <c r="H933" s="81" cm="1">
        <f t="array" ref="H9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1.8765844621361512</v>
      </c>
      <c r="I933" s="81" cm="1">
        <f t="array" ref="I9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1.8830000914874971</v>
      </c>
      <c r="J933" s="81" cm="1">
        <f t="array" ref="J9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1.8881377187326116</v>
      </c>
      <c r="K933" s="81" cm="1">
        <f t="array" ref="K9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1.8982012094609328</v>
      </c>
      <c r="L933" s="81" cm="1">
        <f t="array" ref="L9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1.9104737481338812</v>
      </c>
      <c r="M933" s="37">
        <f t="shared" si="103"/>
        <v>2.1616747324781693E-2</v>
      </c>
      <c r="N933" s="43">
        <f t="shared" si="104"/>
        <v>6.4156293513459861E-3</v>
      </c>
      <c r="O933" s="43">
        <f t="shared" si="105"/>
        <v>1.2272538672948308E-2</v>
      </c>
      <c r="P933" s="43">
        <f t="shared" si="106"/>
        <v>0.29678976466505824</v>
      </c>
      <c r="Q933" s="37">
        <f t="shared" si="107"/>
        <v>0.56773290118809527</v>
      </c>
      <c r="R933" s="37">
        <v>-8.3999999999999995E-3</v>
      </c>
      <c r="S933" s="44" t="s">
        <v>1393</v>
      </c>
      <c r="T933" s="45">
        <v>1.58833884</v>
      </c>
      <c r="U933" s="45">
        <v>0.851761035</v>
      </c>
      <c r="V933" s="45">
        <v>1.58277416</v>
      </c>
      <c r="W933" s="45">
        <v>6.8936504500000002E-3</v>
      </c>
      <c r="X933" s="45">
        <v>2.8829043499999998E-2</v>
      </c>
      <c r="Y933" s="45">
        <v>125.035659</v>
      </c>
      <c r="Z933" s="36">
        <v>5.34</v>
      </c>
      <c r="AA933" s="38">
        <v>721</v>
      </c>
      <c r="AB933" s="38">
        <v>819</v>
      </c>
      <c r="AC933" s="49" t="s">
        <v>506</v>
      </c>
      <c r="AD933" s="39" t="s">
        <v>1371</v>
      </c>
      <c r="AE933" s="48" t="str">
        <f t="shared" si="108"/>
        <v/>
      </c>
    </row>
    <row r="934" spans="1:31" ht="15" thickBot="1">
      <c r="A934" s="34">
        <v>932</v>
      </c>
      <c r="B934" s="34" t="s">
        <v>753</v>
      </c>
      <c r="C934" s="41" t="s">
        <v>1358</v>
      </c>
      <c r="D934" s="34" t="s">
        <v>734</v>
      </c>
      <c r="E934" s="80">
        <f t="shared" si="101"/>
        <v>1.8829997449886187</v>
      </c>
      <c r="F934" s="35">
        <f t="shared" si="102"/>
        <v>39.218680680600627</v>
      </c>
      <c r="G934" s="42" cm="1">
        <f t="array" ref="G93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38.965126375212492</v>
      </c>
      <c r="H934" s="81" cm="1">
        <f t="array" ref="H9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1.876337281061744</v>
      </c>
      <c r="I934" s="81" cm="1">
        <f t="array" ref="I9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1.8829997449886187</v>
      </c>
      <c r="J934" s="81" cm="1">
        <f t="array" ref="J9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1.8883451034990082</v>
      </c>
      <c r="K934" s="81" cm="1">
        <f t="array" ref="K9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1.8988520553903305</v>
      </c>
      <c r="L934" s="81" cm="1">
        <f t="array" ref="L9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1.9117506778676687</v>
      </c>
      <c r="M934" s="37">
        <f t="shared" si="103"/>
        <v>2.2514774328586507E-2</v>
      </c>
      <c r="N934" s="43">
        <f t="shared" si="104"/>
        <v>6.66246392687464E-3</v>
      </c>
      <c r="O934" s="43">
        <f t="shared" si="105"/>
        <v>1.2898622477338195E-2</v>
      </c>
      <c r="P934" s="43">
        <f t="shared" si="106"/>
        <v>0.29591519904400987</v>
      </c>
      <c r="Q934" s="37">
        <f t="shared" si="107"/>
        <v>0.57289592554170543</v>
      </c>
      <c r="R934" s="37">
        <v>-6.0000000000000001E-3</v>
      </c>
      <c r="S934" s="44" t="s">
        <v>1393</v>
      </c>
      <c r="T934" s="45">
        <v>1.4945502500000001</v>
      </c>
      <c r="U934" s="45">
        <v>2.0757425700000001</v>
      </c>
      <c r="V934" s="45">
        <v>0.36113814300000002</v>
      </c>
      <c r="W934" s="45">
        <v>109.762523</v>
      </c>
      <c r="X934" s="45">
        <v>1.0404076999999999E-2</v>
      </c>
      <c r="Y934" s="45">
        <v>4.1262142000000002E-2</v>
      </c>
      <c r="Z934" s="36">
        <v>5.17</v>
      </c>
      <c r="AA934" s="38">
        <v>719</v>
      </c>
      <c r="AB934" s="38">
        <v>803</v>
      </c>
      <c r="AC934" s="49" t="s">
        <v>506</v>
      </c>
      <c r="AD934" s="39" t="s">
        <v>1371</v>
      </c>
      <c r="AE934" s="48" t="str">
        <f t="shared" si="108"/>
        <v/>
      </c>
    </row>
    <row r="935" spans="1:31" ht="15" thickBot="1">
      <c r="A935" s="34">
        <v>933</v>
      </c>
      <c r="B935" s="34" t="s">
        <v>753</v>
      </c>
      <c r="C935" s="41" t="s">
        <v>1358</v>
      </c>
      <c r="D935" s="34" t="s">
        <v>1279</v>
      </c>
      <c r="E935" s="80">
        <f t="shared" si="101"/>
        <v>1.8829995702113698</v>
      </c>
      <c r="F935" s="35">
        <f t="shared" si="102"/>
        <v>39.235953955185344</v>
      </c>
      <c r="G935" s="42" cm="1">
        <f t="array" ref="G93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38.982469971557556</v>
      </c>
      <c r="H935" s="81" cm="1">
        <f t="array" ref="H9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1.8763401652306901</v>
      </c>
      <c r="I935" s="81" cm="1">
        <f t="array" ref="I9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1.8829995702113698</v>
      </c>
      <c r="J935" s="81" cm="1">
        <f t="array" ref="J9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1.8883431346640278</v>
      </c>
      <c r="K935" s="81" cm="1">
        <f t="array" ref="K9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1.8988450231785794</v>
      </c>
      <c r="L935" s="81" cm="1">
        <f t="array" ref="L9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1.9117313076186049</v>
      </c>
      <c r="M935" s="37">
        <f t="shared" si="103"/>
        <v>2.2504857947889256E-2</v>
      </c>
      <c r="N935" s="43">
        <f t="shared" si="104"/>
        <v>6.6594049806796285E-3</v>
      </c>
      <c r="O935" s="43">
        <f t="shared" si="105"/>
        <v>1.2886284440025486E-2</v>
      </c>
      <c r="P935" s="43">
        <f t="shared" si="106"/>
        <v>0.29590966519760759</v>
      </c>
      <c r="Q935" s="37">
        <f t="shared" si="107"/>
        <v>0.57260012348729794</v>
      </c>
      <c r="R935" s="37">
        <v>-6.3E-3</v>
      </c>
      <c r="S935" s="44" t="s">
        <v>1393</v>
      </c>
      <c r="T935" s="45">
        <v>2.0892926900000002</v>
      </c>
      <c r="U935" s="45">
        <v>0.347248008</v>
      </c>
      <c r="V935" s="45">
        <v>1.58624783</v>
      </c>
      <c r="W935" s="45">
        <v>1.0631461E-2</v>
      </c>
      <c r="X935" s="45">
        <v>4.1414395700000002E-2</v>
      </c>
      <c r="Y935" s="45">
        <v>120.087801</v>
      </c>
      <c r="Z935" s="36">
        <v>4.93</v>
      </c>
      <c r="AA935" s="38">
        <v>732</v>
      </c>
      <c r="AB935" s="38"/>
      <c r="AC935" s="49" t="s">
        <v>506</v>
      </c>
      <c r="AD935" s="49" t="s">
        <v>506</v>
      </c>
      <c r="AE935" s="48" t="str">
        <f t="shared" si="108"/>
        <v/>
      </c>
    </row>
    <row r="936" spans="1:31" ht="15" thickBot="1">
      <c r="A936" s="34">
        <v>934</v>
      </c>
      <c r="B936" s="34" t="s">
        <v>753</v>
      </c>
      <c r="C936" s="41" t="s">
        <v>1358</v>
      </c>
      <c r="D936" s="34" t="s">
        <v>665</v>
      </c>
      <c r="E936" s="80">
        <f t="shared" si="101"/>
        <v>1.8830035017902687</v>
      </c>
      <c r="F936" s="35">
        <f t="shared" si="102"/>
        <v>40.807372370114862</v>
      </c>
      <c r="G936" s="42" cm="1">
        <f t="array" ref="G93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40.558865668274741</v>
      </c>
      <c r="H936" s="81" cm="1">
        <f t="array" ref="H9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1.8765699645808847</v>
      </c>
      <c r="I936" s="81" cm="1">
        <f t="array" ref="I9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1.8830035017902687</v>
      </c>
      <c r="J936" s="81" cm="1">
        <f t="array" ref="J9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1.8881423862209723</v>
      </c>
      <c r="K936" s="81" cm="1">
        <f t="array" ref="K9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1.8982082973258014</v>
      </c>
      <c r="L936" s="81" cm="1">
        <f t="array" ref="L9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1.9105313148744394</v>
      </c>
      <c r="M936" s="37">
        <f t="shared" si="103"/>
        <v>2.1638332744916777E-2</v>
      </c>
      <c r="N936" s="43">
        <f t="shared" si="104"/>
        <v>6.4335372093839993E-3</v>
      </c>
      <c r="O936" s="43">
        <f t="shared" si="105"/>
        <v>1.232301754863796E-2</v>
      </c>
      <c r="P936" s="43">
        <f t="shared" si="106"/>
        <v>0.29732129943770041</v>
      </c>
      <c r="Q936" s="37">
        <f t="shared" si="107"/>
        <v>0.56949940154390377</v>
      </c>
      <c r="R936" s="37">
        <v>-6.7000000000000002E-3</v>
      </c>
      <c r="S936" s="44" t="s">
        <v>1394</v>
      </c>
      <c r="T936" s="45">
        <v>3.4341826100000001</v>
      </c>
      <c r="U936" s="45">
        <v>-1.06199538E-2</v>
      </c>
      <c r="V936" s="45">
        <v>4.0004630300000003E-2</v>
      </c>
      <c r="W936" s="45">
        <v>-6.3794223499999999E-4</v>
      </c>
      <c r="X936" s="45">
        <v>2.1635302900000001E-4</v>
      </c>
      <c r="Y936" s="45">
        <v>-8.4987644499999994E-6</v>
      </c>
      <c r="Z936" s="36">
        <v>5.53</v>
      </c>
      <c r="AA936" s="38">
        <v>735</v>
      </c>
      <c r="AB936" s="38">
        <v>830</v>
      </c>
      <c r="AC936" s="49" t="s">
        <v>506</v>
      </c>
      <c r="AD936" s="49" t="s">
        <v>506</v>
      </c>
      <c r="AE936" s="48" t="str">
        <f t="shared" si="108"/>
        <v/>
      </c>
    </row>
    <row r="937" spans="1:31" ht="15" thickBot="1">
      <c r="A937" s="34">
        <v>935</v>
      </c>
      <c r="B937" s="34" t="s">
        <v>753</v>
      </c>
      <c r="C937" s="41" t="s">
        <v>1358</v>
      </c>
      <c r="D937" s="34" t="s">
        <v>666</v>
      </c>
      <c r="E937" s="80">
        <f t="shared" si="101"/>
        <v>1.816000045210322</v>
      </c>
      <c r="F937" s="35">
        <f t="shared" si="102"/>
        <v>46.549859339084364</v>
      </c>
      <c r="G937" s="42" cm="1">
        <f t="array" ref="G93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46.299380420095417</v>
      </c>
      <c r="H937" s="81" cm="1">
        <f t="array" ref="H9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1.8107410451187371</v>
      </c>
      <c r="I937" s="81" cm="1">
        <f t="array" ref="I9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1.816000045210322</v>
      </c>
      <c r="J937" s="81" cm="1">
        <f t="array" ref="J9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1.8201727896123252</v>
      </c>
      <c r="K937" s="81" cm="1">
        <f t="array" ref="K9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1.828270637190462</v>
      </c>
      <c r="L937" s="81" cm="1">
        <f t="array" ref="L9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1.8380343678313464</v>
      </c>
      <c r="M937" s="37">
        <f t="shared" si="103"/>
        <v>1.7529592071724887E-2</v>
      </c>
      <c r="N937" s="43">
        <f t="shared" si="104"/>
        <v>5.2590000915848645E-3</v>
      </c>
      <c r="O937" s="43">
        <f t="shared" si="105"/>
        <v>9.7637306408844271E-3</v>
      </c>
      <c r="P937" s="43">
        <f t="shared" si="106"/>
        <v>0.30000698647560636</v>
      </c>
      <c r="Q937" s="37">
        <f t="shared" si="107"/>
        <v>0.5569856161475234</v>
      </c>
      <c r="R937" s="37">
        <v>-9.4999999999999998E-3</v>
      </c>
      <c r="S937" s="44" t="s">
        <v>1393</v>
      </c>
      <c r="T937" s="45">
        <v>0.659414732</v>
      </c>
      <c r="U937" s="45">
        <v>1.5567563799999999</v>
      </c>
      <c r="V937" s="45">
        <v>1.2541796700000001</v>
      </c>
      <c r="W937" s="45">
        <v>2.5605995999999999E-2</v>
      </c>
      <c r="X937" s="45">
        <v>7.2776957700000002E-3</v>
      </c>
      <c r="Y937" s="45">
        <v>93.117668199999997</v>
      </c>
      <c r="Z937" s="36">
        <v>5.01</v>
      </c>
      <c r="AA937" s="38">
        <v>720</v>
      </c>
      <c r="AB937" s="38">
        <v>797</v>
      </c>
      <c r="AC937" s="49" t="s">
        <v>506</v>
      </c>
      <c r="AD937" s="49" t="s">
        <v>506</v>
      </c>
      <c r="AE937" s="48" t="str">
        <f t="shared" si="108"/>
        <v/>
      </c>
    </row>
    <row r="938" spans="1:31" ht="15" thickBot="1">
      <c r="A938" s="34">
        <v>936</v>
      </c>
      <c r="B938" s="34" t="s">
        <v>753</v>
      </c>
      <c r="C938" s="41" t="s">
        <v>1358</v>
      </c>
      <c r="D938" s="34" t="s">
        <v>735</v>
      </c>
      <c r="E938" s="80">
        <f t="shared" si="101"/>
        <v>1.8160000338508051</v>
      </c>
      <c r="F938" s="35">
        <f t="shared" si="102"/>
        <v>46.556626422748216</v>
      </c>
      <c r="G938" s="42" cm="1">
        <f t="array" ref="G93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46.3033801973544</v>
      </c>
      <c r="H938" s="81" cm="1">
        <f t="array" ref="H9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1.8107437648731872</v>
      </c>
      <c r="I938" s="81" cm="1">
        <f t="array" ref="I9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1.8160000338508051</v>
      </c>
      <c r="J938" s="81" cm="1">
        <f t="array" ref="J9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1.8201716918505186</v>
      </c>
      <c r="K938" s="81" cm="1">
        <f t="array" ref="K9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1.8282708087453372</v>
      </c>
      <c r="L938" s="81" cm="1">
        <f t="array" ref="L9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1.8380421268848182</v>
      </c>
      <c r="M938" s="37">
        <f t="shared" si="103"/>
        <v>1.7527043872149983E-2</v>
      </c>
      <c r="N938" s="43">
        <f t="shared" si="104"/>
        <v>5.2562689776178839E-3</v>
      </c>
      <c r="O938" s="43">
        <f t="shared" si="105"/>
        <v>9.7713181394809556E-3</v>
      </c>
      <c r="P938" s="43">
        <f t="shared" si="106"/>
        <v>0.29989478065779013</v>
      </c>
      <c r="Q938" s="37">
        <f t="shared" si="107"/>
        <v>0.55749949682087152</v>
      </c>
      <c r="R938" s="37">
        <v>-8.8999999999999999E-3</v>
      </c>
      <c r="S938" s="44" t="s">
        <v>1393</v>
      </c>
      <c r="T938" s="45">
        <v>1.3926990299999999</v>
      </c>
      <c r="U938" s="45">
        <v>0.82369742800000001</v>
      </c>
      <c r="V938" s="45">
        <v>1.29547295</v>
      </c>
      <c r="W938" s="45">
        <v>5.9333522300000002E-3</v>
      </c>
      <c r="X938" s="45">
        <v>2.4098083400000001E-2</v>
      </c>
      <c r="Y938" s="45">
        <v>95.376285800000005</v>
      </c>
      <c r="Z938" s="36">
        <v>5.0599999999999996</v>
      </c>
      <c r="AA938" s="38">
        <v>719</v>
      </c>
      <c r="AB938" s="38">
        <v>790</v>
      </c>
      <c r="AC938" s="49" t="s">
        <v>506</v>
      </c>
      <c r="AD938" s="39" t="s">
        <v>1371</v>
      </c>
      <c r="AE938" s="48" t="str">
        <f t="shared" si="108"/>
        <v/>
      </c>
    </row>
    <row r="939" spans="1:31" ht="15" thickBot="1">
      <c r="A939" s="34">
        <v>937</v>
      </c>
      <c r="B939" s="34" t="s">
        <v>753</v>
      </c>
      <c r="C939" s="41" t="s">
        <v>1358</v>
      </c>
      <c r="D939" s="34" t="s">
        <v>667</v>
      </c>
      <c r="E939" s="80">
        <f t="shared" si="101"/>
        <v>1.8502601002498293</v>
      </c>
      <c r="F939" s="35">
        <f t="shared" si="102"/>
        <v>32.297691420525524</v>
      </c>
      <c r="G939" s="42" cm="1">
        <f t="array" ref="G93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32.059869655104883</v>
      </c>
      <c r="H939" s="81" cm="1">
        <f t="array" ref="H9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1.8425786541664837</v>
      </c>
      <c r="I939" s="81" cm="1">
        <f t="array" ref="I9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1.8502601002498293</v>
      </c>
      <c r="J939" s="81" cm="1">
        <f t="array" ref="J9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1.8564863243099949</v>
      </c>
      <c r="K939" s="81" cm="1">
        <f t="array" ref="K9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1.8689043778592143</v>
      </c>
      <c r="L939" s="81" cm="1">
        <f t="array" ref="L9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1.8845187590299137</v>
      </c>
      <c r="M939" s="37">
        <f t="shared" si="103"/>
        <v>2.6325723692730563E-2</v>
      </c>
      <c r="N939" s="43">
        <f t="shared" si="104"/>
        <v>7.6814460833456444E-3</v>
      </c>
      <c r="O939" s="43">
        <f t="shared" si="105"/>
        <v>1.5614381170699465E-2</v>
      </c>
      <c r="P939" s="43">
        <f t="shared" si="106"/>
        <v>0.29178480230979387</v>
      </c>
      <c r="Q939" s="37">
        <f t="shared" si="107"/>
        <v>0.59312258052040301</v>
      </c>
      <c r="R939" s="37">
        <v>2.3999999999999998E-3</v>
      </c>
      <c r="S939" s="44" t="s">
        <v>1393</v>
      </c>
      <c r="T939" s="45">
        <v>0.27615459799999997</v>
      </c>
      <c r="U939" s="45">
        <v>2.0256908500000002</v>
      </c>
      <c r="V939" s="45">
        <v>1.44513509</v>
      </c>
      <c r="W939" s="45">
        <v>5.5799638200000001E-2</v>
      </c>
      <c r="X939" s="45">
        <v>1.20700588E-2</v>
      </c>
      <c r="Y939" s="45">
        <v>99.877822300000005</v>
      </c>
      <c r="Z939" s="36">
        <v>4.22</v>
      </c>
      <c r="AA939" s="38">
        <v>612</v>
      </c>
      <c r="AB939" s="38">
        <v>706</v>
      </c>
      <c r="AC939" s="49" t="s">
        <v>506</v>
      </c>
      <c r="AD939" s="49" t="s">
        <v>506</v>
      </c>
      <c r="AE939" s="48" t="str">
        <f t="shared" si="108"/>
        <v/>
      </c>
    </row>
    <row r="940" spans="1:31" ht="15" thickBot="1">
      <c r="A940" s="34">
        <v>938</v>
      </c>
      <c r="B940" s="34" t="s">
        <v>753</v>
      </c>
      <c r="C940" s="41" t="s">
        <v>1358</v>
      </c>
      <c r="D940" s="34" t="s">
        <v>736</v>
      </c>
      <c r="E940" s="80">
        <f t="shared" si="101"/>
        <v>1.8502600341237903</v>
      </c>
      <c r="F940" s="35">
        <f t="shared" si="102"/>
        <v>32.217204769038176</v>
      </c>
      <c r="G940" s="42" cm="1">
        <f t="array" ref="G94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31.972795278328256</v>
      </c>
      <c r="H940" s="81" cm="1">
        <f t="array" ref="H9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1.8425750390098288</v>
      </c>
      <c r="I940" s="81" cm="1">
        <f t="array" ref="I9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1.8502600341237903</v>
      </c>
      <c r="J940" s="81" cm="1">
        <f t="array" ref="J9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1.8565027474113358</v>
      </c>
      <c r="K940" s="81" cm="1">
        <f t="array" ref="K9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1.8689665289053432</v>
      </c>
      <c r="L940" s="81" cm="1">
        <f t="array" ref="L9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1.8846377403360968</v>
      </c>
      <c r="M940" s="37">
        <f t="shared" si="103"/>
        <v>2.6391489895514431E-2</v>
      </c>
      <c r="N940" s="43">
        <f t="shared" si="104"/>
        <v>7.6849951139614792E-3</v>
      </c>
      <c r="O940" s="43">
        <f t="shared" si="105"/>
        <v>1.5671211430753562E-2</v>
      </c>
      <c r="P940" s="43">
        <f t="shared" si="106"/>
        <v>0.2911921662773439</v>
      </c>
      <c r="Q940" s="37">
        <f t="shared" si="107"/>
        <v>0.59379790579451464</v>
      </c>
      <c r="R940" s="37">
        <v>2.8999999999999998E-3</v>
      </c>
      <c r="S940" s="44" t="s">
        <v>1393</v>
      </c>
      <c r="T940" s="45">
        <v>1.5417277899999999</v>
      </c>
      <c r="U940" s="45">
        <v>2.0346990100000002</v>
      </c>
      <c r="V940" s="45">
        <v>0.26481183400000002</v>
      </c>
      <c r="W940" s="45">
        <v>131.96377899999999</v>
      </c>
      <c r="X940" s="45">
        <v>1.2548128299999999E-2</v>
      </c>
      <c r="Y940" s="45">
        <v>5.5979471000000003E-2</v>
      </c>
      <c r="Z940" s="36">
        <v>4.42</v>
      </c>
      <c r="AA940" s="38">
        <v>720</v>
      </c>
      <c r="AB940" s="38">
        <v>831</v>
      </c>
      <c r="AC940" s="49" t="s">
        <v>506</v>
      </c>
      <c r="AD940" s="49" t="s">
        <v>506</v>
      </c>
      <c r="AE940" s="48" t="str">
        <f t="shared" si="108"/>
        <v>Transmission improved type.</v>
      </c>
    </row>
    <row r="941" spans="1:31" ht="15" thickBot="1">
      <c r="A941" s="34">
        <v>939</v>
      </c>
      <c r="B941" s="34" t="s">
        <v>753</v>
      </c>
      <c r="C941" s="41" t="s">
        <v>1358</v>
      </c>
      <c r="D941" s="34" t="s">
        <v>1280</v>
      </c>
      <c r="E941" s="80">
        <f t="shared" si="101"/>
        <v>1.8810000285941479</v>
      </c>
      <c r="F941" s="35">
        <f t="shared" si="102"/>
        <v>40.161821205141109</v>
      </c>
      <c r="G941" s="42" cm="1">
        <f t="array" ref="G94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39.910239372238131</v>
      </c>
      <c r="H941" s="81" cm="1">
        <f t="array" ref="H9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1.8744952364814258</v>
      </c>
      <c r="I941" s="81" cm="1">
        <f t="array" ref="I9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1.8810000285941479</v>
      </c>
      <c r="J941" s="81" cm="1">
        <f t="array" ref="J9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1.8862118581013756</v>
      </c>
      <c r="K941" s="81" cm="1">
        <f t="array" ref="K9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1.896431493407976</v>
      </c>
      <c r="L941" s="81" cm="1">
        <f t="array" ref="L9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1.908921140401687</v>
      </c>
      <c r="M941" s="37">
        <f t="shared" si="103"/>
        <v>2.1936256926550213E-2</v>
      </c>
      <c r="N941" s="43">
        <f t="shared" si="104"/>
        <v>6.5047921127221464E-3</v>
      </c>
      <c r="O941" s="43">
        <f t="shared" si="105"/>
        <v>1.2489646993711023E-2</v>
      </c>
      <c r="P941" s="43">
        <f t="shared" si="106"/>
        <v>0.2965315429383566</v>
      </c>
      <c r="Q941" s="37">
        <f t="shared" si="107"/>
        <v>0.56936090033639108</v>
      </c>
      <c r="R941" s="37">
        <v>-8.0000000000000002E-3</v>
      </c>
      <c r="S941" s="44" t="s">
        <v>1393</v>
      </c>
      <c r="T941" s="45">
        <v>0.50709001499999995</v>
      </c>
      <c r="U941" s="45">
        <v>1.9243026000000001</v>
      </c>
      <c r="V941" s="45">
        <v>1.4988641</v>
      </c>
      <c r="W941" s="45">
        <v>3.4998760199999999E-2</v>
      </c>
      <c r="X941" s="45">
        <v>9.4287814400000006E-3</v>
      </c>
      <c r="Y941" s="45">
        <v>116.08666599999999</v>
      </c>
      <c r="Z941" s="36">
        <v>5.2</v>
      </c>
      <c r="AA941" s="38">
        <v>707</v>
      </c>
      <c r="AB941" s="38">
        <v>805</v>
      </c>
      <c r="AC941" s="49" t="s">
        <v>506</v>
      </c>
      <c r="AD941" s="49" t="s">
        <v>506</v>
      </c>
      <c r="AE941" s="48" t="str">
        <f t="shared" si="108"/>
        <v/>
      </c>
    </row>
    <row r="942" spans="1:31" ht="15" thickBot="1">
      <c r="A942" s="34">
        <v>940</v>
      </c>
      <c r="B942" s="34" t="s">
        <v>753</v>
      </c>
      <c r="C942" s="41" t="s">
        <v>1358</v>
      </c>
      <c r="D942" s="34" t="s">
        <v>668</v>
      </c>
      <c r="E942" s="80">
        <f t="shared" si="101"/>
        <v>1.9036600362888674</v>
      </c>
      <c r="F942" s="35">
        <f t="shared" si="102"/>
        <v>31.315362783480243</v>
      </c>
      <c r="G942" s="42" cm="1">
        <f t="array" ref="G94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31.081997979674135</v>
      </c>
      <c r="H942" s="81" cm="1">
        <f t="array" ref="H9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1.8952591976427675</v>
      </c>
      <c r="I942" s="81" cm="1">
        <f t="array" ref="I9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1.9036600362888674</v>
      </c>
      <c r="J942" s="81" cm="1">
        <f t="array" ref="J9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1.9104829774026646</v>
      </c>
      <c r="K942" s="81" cm="1">
        <f t="array" ref="K9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1.9241159617344668</v>
      </c>
      <c r="L942" s="81" cm="1">
        <f t="array" ref="L9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1.9412946012199219</v>
      </c>
      <c r="M942" s="37">
        <f t="shared" si="103"/>
        <v>2.8856764091699239E-2</v>
      </c>
      <c r="N942" s="43">
        <f t="shared" si="104"/>
        <v>8.4008386460998619E-3</v>
      </c>
      <c r="O942" s="43">
        <f t="shared" si="105"/>
        <v>1.7178639485455172E-2</v>
      </c>
      <c r="P942" s="43">
        <f t="shared" si="106"/>
        <v>0.29112199203639733</v>
      </c>
      <c r="Q942" s="37">
        <f t="shared" si="107"/>
        <v>0.59530720183545027</v>
      </c>
      <c r="R942" s="37">
        <v>2.8999999999999998E-3</v>
      </c>
      <c r="S942" s="44" t="s">
        <v>1393</v>
      </c>
      <c r="T942" s="45">
        <v>1.50615126</v>
      </c>
      <c r="U942" s="45">
        <v>2.1880922100000002</v>
      </c>
      <c r="V942" s="45">
        <v>0.29795577600000001</v>
      </c>
      <c r="W942" s="45">
        <v>102.994725</v>
      </c>
      <c r="X942" s="45">
        <v>1.2771610500000001E-2</v>
      </c>
      <c r="Y942" s="45">
        <v>5.6966166800000002E-2</v>
      </c>
      <c r="Z942" s="36">
        <v>4.5599999999999996</v>
      </c>
      <c r="AA942" s="38">
        <v>671</v>
      </c>
      <c r="AB942" s="38">
        <v>753</v>
      </c>
      <c r="AC942" s="49" t="s">
        <v>506</v>
      </c>
      <c r="AD942" s="39" t="s">
        <v>1371</v>
      </c>
      <c r="AE942" s="48" t="str">
        <f t="shared" si="108"/>
        <v/>
      </c>
    </row>
    <row r="943" spans="1:31" ht="15" thickBot="1">
      <c r="A943" s="34">
        <v>941</v>
      </c>
      <c r="B943" s="34" t="s">
        <v>753</v>
      </c>
      <c r="C943" s="41" t="s">
        <v>1358</v>
      </c>
      <c r="D943" s="34" t="s">
        <v>737</v>
      </c>
      <c r="E943" s="80">
        <f t="shared" si="101"/>
        <v>1.9036600023403909</v>
      </c>
      <c r="F943" s="35">
        <f t="shared" si="102"/>
        <v>31.418804476316371</v>
      </c>
      <c r="G943" s="42" cm="1">
        <f t="array" ref="G94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31.186892947362995</v>
      </c>
      <c r="H943" s="81" cm="1">
        <f t="array" ref="H9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1.8952818417626029</v>
      </c>
      <c r="I943" s="81" cm="1">
        <f t="array" ref="I9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1.9036600023403909</v>
      </c>
      <c r="J943" s="81" cm="1">
        <f t="array" ref="J9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1.9104616445565326</v>
      </c>
      <c r="K943" s="81" cm="1">
        <f t="array" ref="K9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1.9240435982139528</v>
      </c>
      <c r="L943" s="81" cm="1">
        <f t="array" ref="L9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1.9411374411031763</v>
      </c>
      <c r="M943" s="37">
        <f t="shared" si="103"/>
        <v>2.8761756451349818E-2</v>
      </c>
      <c r="N943" s="43">
        <f t="shared" si="104"/>
        <v>8.378160577787952E-3</v>
      </c>
      <c r="O943" s="43">
        <f t="shared" si="105"/>
        <v>1.7093842889223554E-2</v>
      </c>
      <c r="P943" s="43">
        <f t="shared" si="106"/>
        <v>0.29129516453417975</v>
      </c>
      <c r="Q943" s="37">
        <f t="shared" si="107"/>
        <v>0.59432541674350081</v>
      </c>
      <c r="R943" s="37">
        <v>2.0999999999999999E-3</v>
      </c>
      <c r="S943" s="44" t="s">
        <v>1393</v>
      </c>
      <c r="T943" s="45">
        <v>0.32280434499999999</v>
      </c>
      <c r="U943" s="45">
        <v>2.1637114400000002</v>
      </c>
      <c r="V943" s="45">
        <v>1.5986772199999999</v>
      </c>
      <c r="W943" s="45">
        <v>5.5262706000000002E-2</v>
      </c>
      <c r="X943" s="45">
        <v>1.24574436E-2</v>
      </c>
      <c r="Y943" s="45">
        <v>108.245897</v>
      </c>
      <c r="Z943" s="36">
        <v>4.5599999999999996</v>
      </c>
      <c r="AA943" s="38">
        <v>668</v>
      </c>
      <c r="AB943" s="38">
        <v>748</v>
      </c>
      <c r="AC943" s="49" t="s">
        <v>506</v>
      </c>
      <c r="AD943" s="49" t="s">
        <v>506</v>
      </c>
      <c r="AE943" s="48" t="str">
        <f t="shared" si="108"/>
        <v/>
      </c>
    </row>
    <row r="944" spans="1:31" ht="15" thickBot="1">
      <c r="A944" s="34">
        <v>942</v>
      </c>
      <c r="B944" s="34" t="s">
        <v>753</v>
      </c>
      <c r="C944" s="41" t="s">
        <v>1358</v>
      </c>
      <c r="D944" s="34" t="s">
        <v>1281</v>
      </c>
      <c r="E944" s="80">
        <f t="shared" si="101"/>
        <v>1.903660050603216</v>
      </c>
      <c r="F944" s="35">
        <f t="shared" si="102"/>
        <v>31.357519667501656</v>
      </c>
      <c r="G944" s="42" cm="1">
        <f t="array" ref="G94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31.120841168989077</v>
      </c>
      <c r="H944" s="81" cm="1">
        <f t="array" ref="H9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1.8952762301447617</v>
      </c>
      <c r="I944" s="81" cm="1">
        <f t="array" ref="I9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1.903660050603216</v>
      </c>
      <c r="J944" s="81" cm="1">
        <f t="array" ref="J9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1.9104737957974587</v>
      </c>
      <c r="K944" s="81" cm="1">
        <f t="array" ref="K9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1.924094199811532</v>
      </c>
      <c r="L944" s="81" cm="1">
        <f t="array" ref="L9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1.9412606894567503</v>
      </c>
      <c r="M944" s="37">
        <f t="shared" si="103"/>
        <v>2.8817969666770304E-2</v>
      </c>
      <c r="N944" s="43">
        <f t="shared" si="104"/>
        <v>8.3838204584543163E-3</v>
      </c>
      <c r="O944" s="43">
        <f t="shared" si="105"/>
        <v>1.7166489645218386E-2</v>
      </c>
      <c r="P944" s="43">
        <f t="shared" si="106"/>
        <v>0.29092335634323369</v>
      </c>
      <c r="Q944" s="37">
        <f t="shared" si="107"/>
        <v>0.59568699126687208</v>
      </c>
      <c r="R944" s="37">
        <v>3.3999999999999998E-3</v>
      </c>
      <c r="S944" s="44" t="s">
        <v>1393</v>
      </c>
      <c r="T944" s="45">
        <v>1.59326832</v>
      </c>
      <c r="U944" s="45">
        <v>0.299676795</v>
      </c>
      <c r="V944" s="45">
        <v>2.1860425299999999</v>
      </c>
      <c r="W944" s="45">
        <v>115.386081</v>
      </c>
      <c r="X944" s="45">
        <v>5.6806871799999999E-2</v>
      </c>
      <c r="Y944" s="45">
        <v>1.27688844E-2</v>
      </c>
      <c r="Z944" s="36">
        <v>4.54</v>
      </c>
      <c r="AA944" s="38">
        <v>670</v>
      </c>
      <c r="AB944" s="38">
        <v>763</v>
      </c>
      <c r="AC944" s="49" t="s">
        <v>506</v>
      </c>
      <c r="AD944" s="49" t="s">
        <v>506</v>
      </c>
      <c r="AE944" s="48" t="str">
        <f t="shared" si="108"/>
        <v/>
      </c>
    </row>
    <row r="945" spans="1:31" ht="15" thickBot="1">
      <c r="A945" s="34">
        <v>943</v>
      </c>
      <c r="B945" s="34" t="s">
        <v>753</v>
      </c>
      <c r="C945" s="41" t="s">
        <v>1358</v>
      </c>
      <c r="D945" s="34" t="s">
        <v>669</v>
      </c>
      <c r="E945" s="80">
        <f t="shared" si="101"/>
        <v>1.8501299346771312</v>
      </c>
      <c r="F945" s="35">
        <f t="shared" si="102"/>
        <v>30.055895624277909</v>
      </c>
      <c r="G945" s="42" cm="1">
        <f t="array" ref="G94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29.829363201924693</v>
      </c>
      <c r="H945" s="81" cm="1">
        <f t="array" ref="H9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1.8419141630253164</v>
      </c>
      <c r="I945" s="81" cm="1">
        <f t="array" ref="I9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1.8501299346771312</v>
      </c>
      <c r="J945" s="81" cm="1">
        <f t="array" ref="J9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1.8568104872393585</v>
      </c>
      <c r="K945" s="81" cm="1">
        <f t="array" ref="K9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1.8701991273233169</v>
      </c>
      <c r="L945" s="81" cm="1">
        <f t="array" ref="L9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1.8871729951178666</v>
      </c>
      <c r="M945" s="37">
        <f t="shared" si="103"/>
        <v>2.8284964298000537E-2</v>
      </c>
      <c r="N945" s="43">
        <f t="shared" si="104"/>
        <v>8.2157716518147517E-3</v>
      </c>
      <c r="O945" s="43">
        <f t="shared" si="105"/>
        <v>1.697386779454968E-2</v>
      </c>
      <c r="P945" s="43">
        <f t="shared" si="106"/>
        <v>0.29046427512710432</v>
      </c>
      <c r="Q945" s="37">
        <f t="shared" si="107"/>
        <v>0.60010214669952977</v>
      </c>
      <c r="R945" s="37">
        <v>5.5999999999999999E-3</v>
      </c>
      <c r="S945" s="44" t="s">
        <v>1393</v>
      </c>
      <c r="T945" s="45">
        <v>0.27951856899999999</v>
      </c>
      <c r="U945" s="45">
        <v>2.0142974100000002</v>
      </c>
      <c r="V945" s="45">
        <v>1.5507336</v>
      </c>
      <c r="W945" s="45">
        <v>5.9385652599999998E-2</v>
      </c>
      <c r="X945" s="45">
        <v>1.2625744E-2</v>
      </c>
      <c r="Y945" s="45">
        <v>100.032291</v>
      </c>
      <c r="Z945" s="36">
        <v>3.98</v>
      </c>
      <c r="AA945" s="38">
        <v>607</v>
      </c>
      <c r="AB945" s="38">
        <v>703</v>
      </c>
      <c r="AC945" s="49" t="s">
        <v>506</v>
      </c>
      <c r="AD945" s="49" t="s">
        <v>506</v>
      </c>
      <c r="AE945" s="48" t="str">
        <f t="shared" si="108"/>
        <v/>
      </c>
    </row>
    <row r="946" spans="1:31" ht="15" thickBot="1">
      <c r="A946" s="34">
        <v>944</v>
      </c>
      <c r="B946" s="34" t="s">
        <v>753</v>
      </c>
      <c r="C946" s="41" t="s">
        <v>1358</v>
      </c>
      <c r="D946" s="34" t="s">
        <v>738</v>
      </c>
      <c r="E946" s="80">
        <f t="shared" si="101"/>
        <v>1.850130022791576</v>
      </c>
      <c r="F946" s="35">
        <f t="shared" si="102"/>
        <v>30.012697184861803</v>
      </c>
      <c r="G946" s="42" cm="1">
        <f t="array" ref="G94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29.78042653270867</v>
      </c>
      <c r="H946" s="81" cm="1">
        <f t="array" ref="H9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1.8419193778532221</v>
      </c>
      <c r="I946" s="81" cm="1">
        <f t="array" ref="I9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1.850130022791576</v>
      </c>
      <c r="J946" s="81" cm="1">
        <f t="array" ref="J9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1.8568228758244965</v>
      </c>
      <c r="K946" s="81" cm="1">
        <f t="array" ref="K9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1.870245056733572</v>
      </c>
      <c r="L946" s="81" cm="1">
        <f t="array" ref="L9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1.8872360886224326</v>
      </c>
      <c r="M946" s="37">
        <f t="shared" si="103"/>
        <v>2.8325678880349869E-2</v>
      </c>
      <c r="N946" s="43">
        <f t="shared" si="104"/>
        <v>8.2106449383538838E-3</v>
      </c>
      <c r="O946" s="43">
        <f t="shared" si="105"/>
        <v>1.6991031888860642E-2</v>
      </c>
      <c r="P946" s="43">
        <f t="shared" si="106"/>
        <v>0.28986577772897737</v>
      </c>
      <c r="Q946" s="37">
        <f t="shared" si="107"/>
        <v>0.59984553099794136</v>
      </c>
      <c r="R946" s="37">
        <v>5.1999999999999998E-3</v>
      </c>
      <c r="S946" s="44" t="s">
        <v>1393</v>
      </c>
      <c r="T946" s="45">
        <v>2.0007928599999998</v>
      </c>
      <c r="U946" s="45">
        <v>1.5302067100000001</v>
      </c>
      <c r="V946" s="45">
        <v>0.289955307</v>
      </c>
      <c r="W946" s="45">
        <v>1.2959986999999999E-2</v>
      </c>
      <c r="X946" s="45">
        <v>131.107483</v>
      </c>
      <c r="Y946" s="45">
        <v>5.7737977000000003E-2</v>
      </c>
      <c r="Z946" s="36">
        <v>4.3099999999999996</v>
      </c>
      <c r="AA946" s="38">
        <v>685</v>
      </c>
      <c r="AB946" s="38">
        <v>804</v>
      </c>
      <c r="AC946" s="49" t="s">
        <v>506</v>
      </c>
      <c r="AD946" s="49" t="s">
        <v>506</v>
      </c>
      <c r="AE946" s="48" t="str">
        <f t="shared" si="108"/>
        <v/>
      </c>
    </row>
    <row r="947" spans="1:31" ht="15" thickBot="1">
      <c r="A947" s="34">
        <v>945</v>
      </c>
      <c r="B947" s="34" t="s">
        <v>753</v>
      </c>
      <c r="C947" s="41" t="s">
        <v>1358</v>
      </c>
      <c r="D947" s="34" t="s">
        <v>739</v>
      </c>
      <c r="E947" s="80">
        <f t="shared" si="101"/>
        <v>1.9006900806239733</v>
      </c>
      <c r="F947" s="35">
        <f t="shared" si="102"/>
        <v>37.05098744430078</v>
      </c>
      <c r="G947" s="42" cm="1">
        <f t="array" ref="G94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36.801733960777831</v>
      </c>
      <c r="H947" s="81" cm="1">
        <f t="array" ref="H9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1.8935258331279454</v>
      </c>
      <c r="I947" s="81" cm="1">
        <f t="array" ref="I9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1.9006900806239733</v>
      </c>
      <c r="J947" s="81" cm="1">
        <f t="array" ref="J9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1.9064564295546926</v>
      </c>
      <c r="K947" s="81" cm="1">
        <f t="array" ref="K9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1.9178353088734432</v>
      </c>
      <c r="L947" s="81" cm="1">
        <f t="array" ref="L9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1.9318876112417629</v>
      </c>
      <c r="M947" s="37">
        <f t="shared" si="103"/>
        <v>2.4309475745497799E-2</v>
      </c>
      <c r="N947" s="43">
        <f t="shared" si="104"/>
        <v>7.1642474960278424E-3</v>
      </c>
      <c r="O947" s="43">
        <f t="shared" si="105"/>
        <v>1.4052302368319669E-2</v>
      </c>
      <c r="P947" s="43">
        <f t="shared" si="106"/>
        <v>0.29471007812065575</v>
      </c>
      <c r="Q947" s="37">
        <f t="shared" si="107"/>
        <v>0.57805863505395438</v>
      </c>
      <c r="R947" s="37">
        <v>-4.5999999999999999E-3</v>
      </c>
      <c r="S947" s="44" t="s">
        <v>1393</v>
      </c>
      <c r="T947" s="45">
        <v>0.29963652800000001</v>
      </c>
      <c r="U947" s="45">
        <v>2.1945271800000001</v>
      </c>
      <c r="V947" s="45">
        <v>1.5357238499999999</v>
      </c>
      <c r="W947" s="45">
        <v>4.7054626000000002E-2</v>
      </c>
      <c r="X947" s="45">
        <v>1.1540397000000001E-2</v>
      </c>
      <c r="Y947" s="45">
        <v>112.60892800000001</v>
      </c>
      <c r="Z947" s="36">
        <v>4.95</v>
      </c>
      <c r="AA947" s="38">
        <v>725</v>
      </c>
      <c r="AB947" s="38"/>
      <c r="AC947" s="49" t="s">
        <v>506</v>
      </c>
      <c r="AD947" s="49" t="s">
        <v>506</v>
      </c>
      <c r="AE947" s="48" t="str">
        <f t="shared" si="108"/>
        <v/>
      </c>
    </row>
    <row r="948" spans="1:31" ht="15" thickBot="1">
      <c r="A948" s="34">
        <v>946</v>
      </c>
      <c r="B948" s="34" t="s">
        <v>753</v>
      </c>
      <c r="C948" s="41" t="s">
        <v>1358</v>
      </c>
      <c r="D948" s="34" t="s">
        <v>740</v>
      </c>
      <c r="E948" s="80">
        <f t="shared" si="101"/>
        <v>1.9537500782295607</v>
      </c>
      <c r="F948" s="35">
        <f t="shared" si="102"/>
        <v>32.309193376312713</v>
      </c>
      <c r="G948" s="42" cm="1">
        <f t="array" ref="G94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32.07411139143251</v>
      </c>
      <c r="H948" s="81" cm="1">
        <f t="array" ref="H9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1.9451357687726314</v>
      </c>
      <c r="I948" s="81" cm="1">
        <f t="array" ref="I9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1.9537500782295607</v>
      </c>
      <c r="J948" s="81" cm="1">
        <f t="array" ref="J9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1.9607366383426821</v>
      </c>
      <c r="K948" s="81" cm="1">
        <f t="array" ref="K9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1.9746552330044063</v>
      </c>
      <c r="L948" s="81" cm="1">
        <f t="array" ref="L9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1.9920919232370466</v>
      </c>
      <c r="M948" s="37">
        <f t="shared" si="103"/>
        <v>2.9519464231774872E-2</v>
      </c>
      <c r="N948" s="43">
        <f t="shared" si="104"/>
        <v>8.6143094569293144E-3</v>
      </c>
      <c r="O948" s="43">
        <f t="shared" si="105"/>
        <v>1.7436690232640384E-2</v>
      </c>
      <c r="P948" s="43">
        <f t="shared" si="106"/>
        <v>0.29181794728025029</v>
      </c>
      <c r="Q948" s="37">
        <f t="shared" si="107"/>
        <v>0.59068450889672508</v>
      </c>
      <c r="R948" s="37">
        <v>-1E-4</v>
      </c>
      <c r="S948" s="44" t="s">
        <v>1393</v>
      </c>
      <c r="T948" s="45">
        <v>2.3325003299999998</v>
      </c>
      <c r="U948" s="45">
        <v>0.33802743899999999</v>
      </c>
      <c r="V948" s="45">
        <v>1.63568735</v>
      </c>
      <c r="W948" s="45">
        <v>1.2751939300000001E-2</v>
      </c>
      <c r="X948" s="45">
        <v>5.3563180699999997E-2</v>
      </c>
      <c r="Y948" s="45">
        <v>114.94941799999999</v>
      </c>
      <c r="Z948" s="36">
        <v>5.0999999999999996</v>
      </c>
      <c r="AA948" s="38">
        <v>708</v>
      </c>
      <c r="AB948" s="38">
        <v>800</v>
      </c>
      <c r="AC948" s="49" t="s">
        <v>506</v>
      </c>
      <c r="AD948" s="49" t="s">
        <v>506</v>
      </c>
      <c r="AE948" s="48" t="str">
        <f t="shared" si="108"/>
        <v/>
      </c>
    </row>
    <row r="949" spans="1:31" ht="15" thickBot="1">
      <c r="A949" s="34">
        <v>947</v>
      </c>
      <c r="B949" s="34" t="s">
        <v>753</v>
      </c>
      <c r="C949" s="41" t="s">
        <v>1358</v>
      </c>
      <c r="D949" s="34" t="s">
        <v>1282</v>
      </c>
      <c r="E949" s="80">
        <f t="shared" si="101"/>
        <v>1.9537499302887589</v>
      </c>
      <c r="F949" s="35">
        <f t="shared" si="102"/>
        <v>32.27663830681395</v>
      </c>
      <c r="G949" s="42" cm="1">
        <f t="array" ref="G94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32.042364117424221</v>
      </c>
      <c r="H949" s="81" cm="1">
        <f t="array" ref="H9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1.9451261969810516</v>
      </c>
      <c r="I949" s="81" cm="1">
        <f t="array" ref="I9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1.9537499302887589</v>
      </c>
      <c r="J949" s="81" cm="1">
        <f t="array" ref="J9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1.9607435773585529</v>
      </c>
      <c r="K949" s="81" cm="1">
        <f t="array" ref="K9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1.9746754307402381</v>
      </c>
      <c r="L949" s="81" cm="1">
        <f t="array" ref="L9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1.9921286394116666</v>
      </c>
      <c r="M949" s="37">
        <f t="shared" si="103"/>
        <v>2.95492337591865E-2</v>
      </c>
      <c r="N949" s="43">
        <f t="shared" si="104"/>
        <v>8.6237333077072709E-3</v>
      </c>
      <c r="O949" s="43">
        <f t="shared" si="105"/>
        <v>1.7453208671428522E-2</v>
      </c>
      <c r="P949" s="43">
        <f t="shared" si="106"/>
        <v>0.29184287409910442</v>
      </c>
      <c r="Q949" s="37">
        <f t="shared" si="107"/>
        <v>0.59064843486855323</v>
      </c>
      <c r="R949" s="37">
        <v>-1E-4</v>
      </c>
      <c r="S949" s="44" t="s">
        <v>1393</v>
      </c>
      <c r="T949" s="45">
        <v>0.32738999200000002</v>
      </c>
      <c r="U949" s="45">
        <v>2.3429781699999999</v>
      </c>
      <c r="V949" s="45">
        <v>1.76955342</v>
      </c>
      <c r="W949" s="45">
        <v>5.4065505100000001E-2</v>
      </c>
      <c r="X949" s="45">
        <v>1.2896736000000001E-2</v>
      </c>
      <c r="Y949" s="45">
        <v>123.881024</v>
      </c>
      <c r="Z949" s="36">
        <v>4.93</v>
      </c>
      <c r="AA949" s="38">
        <v>733</v>
      </c>
      <c r="AB949" s="38">
        <v>817</v>
      </c>
      <c r="AC949" s="49" t="s">
        <v>506</v>
      </c>
      <c r="AD949" s="49" t="s">
        <v>506</v>
      </c>
      <c r="AE949" s="48" t="str">
        <f t="shared" si="108"/>
        <v/>
      </c>
    </row>
    <row r="950" spans="1:31" ht="15" thickBot="1">
      <c r="A950" s="34">
        <v>948</v>
      </c>
      <c r="B950" s="34" t="s">
        <v>753</v>
      </c>
      <c r="C950" s="41" t="s">
        <v>1358</v>
      </c>
      <c r="D950" s="34" t="s">
        <v>741</v>
      </c>
      <c r="E950" s="80">
        <f t="shared" si="101"/>
        <v>2.0006899856983336</v>
      </c>
      <c r="F950" s="35">
        <f t="shared" si="102"/>
        <v>25.426077324248979</v>
      </c>
      <c r="G950" s="42" cm="1">
        <f t="array" ref="G95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25.224241697769834</v>
      </c>
      <c r="H950" s="81" cm="1">
        <f t="array" ref="H9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1.9894026775049705</v>
      </c>
      <c r="I950" s="81" cm="1">
        <f t="array" ref="I9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2.0006899856983336</v>
      </c>
      <c r="J950" s="81" cm="1">
        <f t="array" ref="J9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2.0099644478220062</v>
      </c>
      <c r="K950" s="81" cm="1">
        <f t="array" ref="K9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2.0287595146976258</v>
      </c>
      <c r="L950" s="81" cm="1">
        <f t="array" ref="L9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2.0529317487201446</v>
      </c>
      <c r="M950" s="37">
        <f t="shared" si="103"/>
        <v>3.935683719265537E-2</v>
      </c>
      <c r="N950" s="43">
        <f t="shared" si="104"/>
        <v>1.1287308193363099E-2</v>
      </c>
      <c r="O950" s="43">
        <f t="shared" si="105"/>
        <v>2.4172234022518779E-2</v>
      </c>
      <c r="P950" s="43">
        <f t="shared" si="106"/>
        <v>0.28679408708862142</v>
      </c>
      <c r="Q950" s="37">
        <f t="shared" si="107"/>
        <v>0.61418131503284812</v>
      </c>
      <c r="R950" s="37">
        <v>1.17E-2</v>
      </c>
      <c r="S950" s="44" t="s">
        <v>1393</v>
      </c>
      <c r="T950" s="45">
        <v>0.49416718300000001</v>
      </c>
      <c r="U950" s="45">
        <v>2.3137514299999999</v>
      </c>
      <c r="V950" s="45">
        <v>2.2792987</v>
      </c>
      <c r="W950" s="45">
        <v>6.0235803800000001E-2</v>
      </c>
      <c r="X950" s="45">
        <v>1.37149187E-2</v>
      </c>
      <c r="Y950" s="45">
        <v>148.088436</v>
      </c>
      <c r="Z950" s="36">
        <v>4.74</v>
      </c>
      <c r="AA950" s="38">
        <v>683</v>
      </c>
      <c r="AB950" s="38">
        <v>785</v>
      </c>
      <c r="AC950" s="49" t="s">
        <v>506</v>
      </c>
      <c r="AD950" s="39" t="s">
        <v>1371</v>
      </c>
      <c r="AE950" s="48" t="str">
        <f t="shared" si="108"/>
        <v/>
      </c>
    </row>
    <row r="951" spans="1:31" ht="15" thickBot="1">
      <c r="A951" s="34">
        <v>949</v>
      </c>
      <c r="B951" s="34" t="s">
        <v>753</v>
      </c>
      <c r="C951" s="41" t="s">
        <v>1358</v>
      </c>
      <c r="D951" s="34" t="s">
        <v>1283</v>
      </c>
      <c r="E951" s="80">
        <f t="shared" si="101"/>
        <v>2.0006897806682615</v>
      </c>
      <c r="F951" s="35">
        <f t="shared" si="102"/>
        <v>25.458381573681443</v>
      </c>
      <c r="G951" s="42" cm="1">
        <f t="array" ref="G95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25.256869339391216</v>
      </c>
      <c r="H951" s="81" cm="1">
        <f t="array" ref="H9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1.9894138590224821</v>
      </c>
      <c r="I951" s="81" cm="1">
        <f t="array" ref="I9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2.0006897806682615</v>
      </c>
      <c r="J951" s="81" cm="1">
        <f t="array" ref="J9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2.0099529532191194</v>
      </c>
      <c r="K951" s="81" cm="1">
        <f t="array" ref="K9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2.0287207481022955</v>
      </c>
      <c r="L951" s="81" cm="1">
        <f t="array" ref="L9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2.0528544003190667</v>
      </c>
      <c r="M951" s="37">
        <f t="shared" si="103"/>
        <v>3.930688907981339E-2</v>
      </c>
      <c r="N951" s="43">
        <f t="shared" si="104"/>
        <v>1.1275921645779396E-2</v>
      </c>
      <c r="O951" s="43">
        <f t="shared" si="105"/>
        <v>2.4133652216771218E-2</v>
      </c>
      <c r="P951" s="43">
        <f t="shared" si="106"/>
        <v>0.28686883927352841</v>
      </c>
      <c r="Q951" s="37">
        <f t="shared" si="107"/>
        <v>0.61398021521793233</v>
      </c>
      <c r="R951" s="37">
        <v>1.17E-2</v>
      </c>
      <c r="S951" s="44" t="s">
        <v>1393</v>
      </c>
      <c r="T951" s="45">
        <v>2.3454312700000002</v>
      </c>
      <c r="U951" s="45">
        <v>0.46243436599999999</v>
      </c>
      <c r="V951" s="45">
        <v>1.97876853</v>
      </c>
      <c r="W951" s="45">
        <v>1.41722355E-2</v>
      </c>
      <c r="X951" s="45">
        <v>6.1262219999999999E-2</v>
      </c>
      <c r="Y951" s="45">
        <v>129.81849</v>
      </c>
      <c r="Z951" s="36">
        <v>4.7300000000000004</v>
      </c>
      <c r="AA951" s="38">
        <v>691</v>
      </c>
      <c r="AB951" s="38">
        <v>784</v>
      </c>
      <c r="AC951" s="49" t="s">
        <v>506</v>
      </c>
      <c r="AD951" s="49" t="s">
        <v>506</v>
      </c>
      <c r="AE951" s="48" t="str">
        <f t="shared" si="108"/>
        <v/>
      </c>
    </row>
    <row r="952" spans="1:31" ht="15" thickBot="1">
      <c r="A952" s="34">
        <v>950</v>
      </c>
      <c r="B952" s="34" t="s">
        <v>753</v>
      </c>
      <c r="C952" s="41" t="s">
        <v>1358</v>
      </c>
      <c r="D952" s="34" t="s">
        <v>1284</v>
      </c>
      <c r="E952" s="80">
        <f t="shared" si="101"/>
        <v>2.0010001654231666</v>
      </c>
      <c r="F952" s="35">
        <f t="shared" si="102"/>
        <v>29.151714234627729</v>
      </c>
      <c r="G952" s="42" cm="1">
        <f t="array" ref="G95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28.931303113803846</v>
      </c>
      <c r="H952" s="81" cm="1">
        <f t="array" ref="H9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1.9910509804030534</v>
      </c>
      <c r="I952" s="81" cm="1">
        <f t="array" ref="I9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2.0010001654231666</v>
      </c>
      <c r="J952" s="81" cm="1">
        <f t="array" ref="J9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2.0091134692973851</v>
      </c>
      <c r="K952" s="81" cm="1">
        <f t="array" ref="K9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2.0253885894152237</v>
      </c>
      <c r="L952" s="81" cm="1">
        <f t="array" ref="L9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2.0459927313984454</v>
      </c>
      <c r="M952" s="37">
        <f t="shared" si="103"/>
        <v>3.4337609012170311E-2</v>
      </c>
      <c r="N952" s="43">
        <f t="shared" si="104"/>
        <v>9.9491850201132159E-3</v>
      </c>
      <c r="O952" s="43">
        <f t="shared" si="105"/>
        <v>2.0604141983221691E-2</v>
      </c>
      <c r="P952" s="43">
        <f t="shared" si="106"/>
        <v>0.28974600463843936</v>
      </c>
      <c r="Q952" s="37">
        <f t="shared" si="107"/>
        <v>0.60004591396911022</v>
      </c>
      <c r="R952" s="37">
        <v>3.8999999999999998E-3</v>
      </c>
      <c r="S952" s="44" t="s">
        <v>1393</v>
      </c>
      <c r="T952" s="45">
        <v>0.38429319899999997</v>
      </c>
      <c r="U952" s="45">
        <v>2.4463161900000001</v>
      </c>
      <c r="V952" s="45">
        <v>1.89452351</v>
      </c>
      <c r="W952" s="45">
        <v>5.75837118E-2</v>
      </c>
      <c r="X952" s="45">
        <v>1.37640864E-2</v>
      </c>
      <c r="Y952" s="45">
        <v>128.018843</v>
      </c>
      <c r="Z952" s="36">
        <v>5.14</v>
      </c>
      <c r="AA952" s="38">
        <v>722</v>
      </c>
      <c r="AB952" s="38">
        <v>809</v>
      </c>
      <c r="AC952" s="49" t="s">
        <v>506</v>
      </c>
      <c r="AD952" s="39" t="s">
        <v>1371</v>
      </c>
      <c r="AE952" s="48" t="str">
        <f t="shared" si="108"/>
        <v/>
      </c>
    </row>
    <row r="953" spans="1:31" ht="15" thickBot="1">
      <c r="A953" s="34">
        <v>951</v>
      </c>
      <c r="B953" s="34" t="s">
        <v>753</v>
      </c>
      <c r="C953" s="41" t="s">
        <v>1358</v>
      </c>
      <c r="D953" s="34" t="s">
        <v>742</v>
      </c>
      <c r="E953" s="80">
        <f t="shared" si="101"/>
        <v>2.0033001855781087</v>
      </c>
      <c r="F953" s="35">
        <f t="shared" si="102"/>
        <v>28.316663395235132</v>
      </c>
      <c r="G953" s="42" cm="1">
        <f t="array" ref="G95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28.100125429868324</v>
      </c>
      <c r="H953" s="81" cm="1">
        <f t="array" ref="H9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1.993055088347063</v>
      </c>
      <c r="I953" s="81" cm="1">
        <f t="array" ref="I9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2.0033001855781087</v>
      </c>
      <c r="J953" s="81" cm="1">
        <f t="array" ref="J9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2.0116668225639116</v>
      </c>
      <c r="K953" s="81" cm="1">
        <f t="array" ref="K9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2.0284865292472269</v>
      </c>
      <c r="L953" s="81" cm="1">
        <f t="array" ref="L9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2.0498601668237253</v>
      </c>
      <c r="M953" s="37">
        <f t="shared" si="103"/>
        <v>3.5431440900163924E-2</v>
      </c>
      <c r="N953" s="43">
        <f t="shared" si="104"/>
        <v>1.0245097231045719E-2</v>
      </c>
      <c r="O953" s="43">
        <f t="shared" si="105"/>
        <v>2.137363757649835E-2</v>
      </c>
      <c r="P953" s="43">
        <f t="shared" si="106"/>
        <v>0.28915271213252636</v>
      </c>
      <c r="Q953" s="37">
        <f t="shared" si="107"/>
        <v>0.60323929915024888</v>
      </c>
      <c r="R953" s="37">
        <v>5.7000000000000002E-3</v>
      </c>
      <c r="S953" s="44" t="s">
        <v>1393</v>
      </c>
      <c r="T953" s="45">
        <v>1.8676223700000001</v>
      </c>
      <c r="U953" s="45">
        <v>0.37556919599999999</v>
      </c>
      <c r="V953" s="45">
        <v>2.45933103</v>
      </c>
      <c r="W953" s="45">
        <v>123.07862</v>
      </c>
      <c r="X953" s="45">
        <v>5.9664373E-2</v>
      </c>
      <c r="Y953" s="45">
        <v>1.4148157999999999E-2</v>
      </c>
      <c r="Z953" s="36">
        <v>5.0199999999999996</v>
      </c>
      <c r="AA953" s="38">
        <v>703</v>
      </c>
      <c r="AB953" s="38">
        <v>800</v>
      </c>
      <c r="AC953" s="49" t="s">
        <v>506</v>
      </c>
      <c r="AD953" s="39" t="s">
        <v>1371</v>
      </c>
      <c r="AE953" s="48" t="str">
        <f t="shared" si="108"/>
        <v/>
      </c>
    </row>
    <row r="954" spans="1:31" ht="15" thickBot="1">
      <c r="A954" s="34">
        <v>952</v>
      </c>
      <c r="B954" s="34" t="s">
        <v>753</v>
      </c>
      <c r="C954" s="41" t="s">
        <v>1358</v>
      </c>
      <c r="D954" s="34" t="s">
        <v>1285</v>
      </c>
      <c r="E954" s="80">
        <f t="shared" si="101"/>
        <v>2.003300037823077</v>
      </c>
      <c r="F954" s="35">
        <f t="shared" si="102"/>
        <v>28.276263423290285</v>
      </c>
      <c r="G954" s="42" cm="1">
        <f t="array" ref="G95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28.060388976252131</v>
      </c>
      <c r="H954" s="81" cm="1">
        <f t="array" ref="H9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1.9930402187504219</v>
      </c>
      <c r="I954" s="81" cm="1">
        <f t="array" ref="I9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2.003300037823077</v>
      </c>
      <c r="J954" s="81" cm="1">
        <f t="array" ref="J9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2.0116787550654003</v>
      </c>
      <c r="K954" s="81" cm="1">
        <f t="array" ref="K9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2.0285222774228804</v>
      </c>
      <c r="L954" s="81" cm="1">
        <f t="array" ref="L9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2.0499266946304218</v>
      </c>
      <c r="M954" s="37">
        <f t="shared" si="103"/>
        <v>3.5482058672458461E-2</v>
      </c>
      <c r="N954" s="43">
        <f t="shared" si="104"/>
        <v>1.0259819072655052E-2</v>
      </c>
      <c r="O954" s="43">
        <f t="shared" si="105"/>
        <v>2.1404417207541382E-2</v>
      </c>
      <c r="P954" s="43">
        <f t="shared" si="106"/>
        <v>0.2891551239279932</v>
      </c>
      <c r="Q954" s="37">
        <f t="shared" si="107"/>
        <v>0.60324620409231533</v>
      </c>
      <c r="R954" s="37">
        <v>5.7000000000000002E-3</v>
      </c>
      <c r="S954" s="44" t="s">
        <v>1393</v>
      </c>
      <c r="T954" s="45">
        <v>0.35894915999999999</v>
      </c>
      <c r="U954" s="45">
        <v>2.4754879299999999</v>
      </c>
      <c r="V954" s="45">
        <v>1.96701528</v>
      </c>
      <c r="W954" s="45">
        <v>6.0408585100000002E-2</v>
      </c>
      <c r="X954" s="45">
        <v>1.44112384E-2</v>
      </c>
      <c r="Y954" s="45">
        <v>131.05362</v>
      </c>
      <c r="Z954" s="36">
        <v>4.91</v>
      </c>
      <c r="AA954" s="38">
        <v>730</v>
      </c>
      <c r="AB954" s="38"/>
      <c r="AC954" s="49" t="s">
        <v>506</v>
      </c>
      <c r="AD954" s="49" t="s">
        <v>506</v>
      </c>
      <c r="AE954" s="48" t="str">
        <f t="shared" si="108"/>
        <v/>
      </c>
    </row>
    <row r="955" spans="1:31" ht="15" thickBot="1">
      <c r="A955" s="34">
        <v>953</v>
      </c>
      <c r="B955" s="34" t="s">
        <v>753</v>
      </c>
      <c r="C955" s="41" t="s">
        <v>1358</v>
      </c>
      <c r="D955" s="34" t="s">
        <v>1286</v>
      </c>
      <c r="E955" s="80">
        <f t="shared" si="101"/>
        <v>2.0509002768975622</v>
      </c>
      <c r="F955" s="35">
        <f t="shared" si="102"/>
        <v>26.986200163359555</v>
      </c>
      <c r="G955" s="42" cm="1">
        <f t="array" ref="G95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26.781052712907012</v>
      </c>
      <c r="H955" s="81" cm="1">
        <f t="array" ref="H9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2.0396691613950471</v>
      </c>
      <c r="I955" s="81" cm="1">
        <f t="array" ref="I9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2.0509002768975622</v>
      </c>
      <c r="J955" s="81" cm="1">
        <f t="array" ref="J9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2.0600924012150106</v>
      </c>
      <c r="K955" s="81" cm="1">
        <f t="array" ref="K9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2.0786112973955211</v>
      </c>
      <c r="L955" s="81" cm="1">
        <f t="array" ref="L9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2.1022038071809797</v>
      </c>
      <c r="M955" s="37">
        <f t="shared" si="103"/>
        <v>3.8942136000474026E-2</v>
      </c>
      <c r="N955" s="43">
        <f t="shared" si="104"/>
        <v>1.1231115502515099E-2</v>
      </c>
      <c r="O955" s="43">
        <f t="shared" si="105"/>
        <v>2.3592509785458571E-2</v>
      </c>
      <c r="P955" s="43">
        <f t="shared" si="106"/>
        <v>0.28840522518791439</v>
      </c>
      <c r="Q955" s="37">
        <f t="shared" si="107"/>
        <v>0.60583502109826204</v>
      </c>
      <c r="R955" s="37">
        <v>6.1000000000000004E-3</v>
      </c>
      <c r="S955" s="44" t="s">
        <v>1393</v>
      </c>
      <c r="T955" s="45">
        <v>2.57270171</v>
      </c>
      <c r="U955" s="45">
        <v>0.43241039999999997</v>
      </c>
      <c r="V955" s="45">
        <v>2.3487053699999998</v>
      </c>
      <c r="W955" s="45">
        <v>1.4842568400000001E-2</v>
      </c>
      <c r="X955" s="45">
        <v>5.9852045100000001E-2</v>
      </c>
      <c r="Y955" s="45">
        <v>156.64029300000001</v>
      </c>
      <c r="Z955" s="36">
        <v>5.29</v>
      </c>
      <c r="AA955" s="38">
        <v>764</v>
      </c>
      <c r="AB955" s="38">
        <v>855</v>
      </c>
      <c r="AC955" s="49" t="s">
        <v>506</v>
      </c>
      <c r="AD955" s="49" t="s">
        <v>506</v>
      </c>
      <c r="AE955" s="48" t="str">
        <f t="shared" si="108"/>
        <v/>
      </c>
    </row>
    <row r="956" spans="1:31" ht="15" thickBot="1">
      <c r="A956" s="34">
        <v>954</v>
      </c>
      <c r="B956" s="34" t="s">
        <v>753</v>
      </c>
      <c r="C956" s="41" t="s">
        <v>1359</v>
      </c>
      <c r="D956" s="34" t="s">
        <v>670</v>
      </c>
      <c r="E956" s="80">
        <f t="shared" si="101"/>
        <v>1.61340003612593</v>
      </c>
      <c r="F956" s="35">
        <f t="shared" si="102"/>
        <v>44.107556838551652</v>
      </c>
      <c r="G956" s="42" cm="1">
        <f t="array" ref="G95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43.854173250092963</v>
      </c>
      <c r="H956" s="81" cm="1">
        <f t="array" ref="H9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1.6092416245945114</v>
      </c>
      <c r="I956" s="81" cm="1">
        <f t="array" ref="I9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1.61340003612593</v>
      </c>
      <c r="J956" s="81" cm="1">
        <f t="array" ref="J9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1.6167031770081335</v>
      </c>
      <c r="K956" s="81" cm="1">
        <f t="array" ref="K9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1.6231485394202674</v>
      </c>
      <c r="L956" s="81" cm="1">
        <f t="array" ref="L9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1.6310154114101487</v>
      </c>
      <c r="M956" s="37">
        <f t="shared" si="103"/>
        <v>1.3906914825756012E-2</v>
      </c>
      <c r="N956" s="43">
        <f t="shared" si="104"/>
        <v>4.1584115314186043E-3</v>
      </c>
      <c r="O956" s="43">
        <f t="shared" si="105"/>
        <v>7.8668719898813411E-3</v>
      </c>
      <c r="P956" s="43">
        <f t="shared" si="106"/>
        <v>0.29901754512202122</v>
      </c>
      <c r="Q956" s="37">
        <f t="shared" si="107"/>
        <v>0.5656806048248505</v>
      </c>
      <c r="R956" s="37">
        <v>-5.0000000000000001E-3</v>
      </c>
      <c r="S956" s="44" t="s">
        <v>1393</v>
      </c>
      <c r="T956" s="45">
        <v>1.3560981700000001</v>
      </c>
      <c r="U956" s="45">
        <v>0.19204779899999999</v>
      </c>
      <c r="V956" s="45">
        <v>1.325836</v>
      </c>
      <c r="W956" s="45">
        <v>8.2337021200000002E-3</v>
      </c>
      <c r="X956" s="45">
        <v>4.10079104E-2</v>
      </c>
      <c r="Y956" s="45">
        <v>111.798686</v>
      </c>
      <c r="Z956" s="36">
        <v>2.8</v>
      </c>
      <c r="AA956" s="38">
        <v>525</v>
      </c>
      <c r="AB956" s="38">
        <v>663</v>
      </c>
      <c r="AC956" s="49" t="s">
        <v>506</v>
      </c>
      <c r="AD956" s="39" t="s">
        <v>1371</v>
      </c>
      <c r="AE956" s="48" t="str">
        <f t="shared" si="108"/>
        <v/>
      </c>
    </row>
    <row r="957" spans="1:31" ht="15" thickBot="1">
      <c r="A957" s="34">
        <v>955</v>
      </c>
      <c r="B957" s="34" t="s">
        <v>753</v>
      </c>
      <c r="C957" s="41" t="s">
        <v>1359</v>
      </c>
      <c r="D957" s="34" t="s">
        <v>671</v>
      </c>
      <c r="E957" s="80">
        <f t="shared" si="101"/>
        <v>1.6124234635428971</v>
      </c>
      <c r="F957" s="35">
        <f t="shared" si="102"/>
        <v>44.094018232055305</v>
      </c>
      <c r="G957" s="42" cm="1">
        <f t="array" ref="G95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43.864798034177788</v>
      </c>
      <c r="H957" s="81" cm="1">
        <f t="array" ref="H9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1.6082521250431048</v>
      </c>
      <c r="I957" s="81" cm="1">
        <f t="array" ref="I9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1.6124234635428971</v>
      </c>
      <c r="J957" s="81" cm="1">
        <f t="array" ref="J9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1.6157226132675091</v>
      </c>
      <c r="K957" s="81" cm="1">
        <f t="array" ref="K9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1.6221411623342827</v>
      </c>
      <c r="L957" s="81" cm="1">
        <f t="array" ref="L9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1.6299639163485184</v>
      </c>
      <c r="M957" s="37">
        <f t="shared" si="103"/>
        <v>1.3889037291177964E-2</v>
      </c>
      <c r="N957" s="43">
        <f t="shared" si="104"/>
        <v>4.1713384997923431E-3</v>
      </c>
      <c r="O957" s="43">
        <f t="shared" si="105"/>
        <v>7.822754014235711E-3</v>
      </c>
      <c r="P957" s="43">
        <f t="shared" si="106"/>
        <v>0.30033316293577045</v>
      </c>
      <c r="Q957" s="37">
        <f t="shared" si="107"/>
        <v>0.56323227090797479</v>
      </c>
      <c r="R957" s="37">
        <v>-7.3000000000000001E-3</v>
      </c>
      <c r="S957" s="44" t="s">
        <v>1394</v>
      </c>
      <c r="T957" s="45">
        <v>2.5414159299999999</v>
      </c>
      <c r="U957" s="45">
        <v>-1.0660778799999999E-2</v>
      </c>
      <c r="V957" s="45">
        <v>2.1716721000000001E-2</v>
      </c>
      <c r="W957" s="45">
        <v>-4.01848477E-4</v>
      </c>
      <c r="X957" s="45">
        <v>1.22475727E-4</v>
      </c>
      <c r="Y957" s="45">
        <v>-4.7776413000000001E-6</v>
      </c>
      <c r="Z957" s="36">
        <v>3.25</v>
      </c>
      <c r="AA957" s="38">
        <v>486</v>
      </c>
      <c r="AB957" s="38">
        <v>580</v>
      </c>
      <c r="AC957" s="49" t="s">
        <v>506</v>
      </c>
      <c r="AD957" s="49" t="s">
        <v>506</v>
      </c>
      <c r="AE957" s="48" t="str">
        <f t="shared" si="108"/>
        <v/>
      </c>
    </row>
    <row r="958" spans="1:31" ht="15" thickBot="1">
      <c r="A958" s="34">
        <v>956</v>
      </c>
      <c r="B958" s="34" t="s">
        <v>753</v>
      </c>
      <c r="C958" s="41" t="s">
        <v>1359</v>
      </c>
      <c r="D958" s="34" t="s">
        <v>743</v>
      </c>
      <c r="E958" s="80">
        <f t="shared" si="101"/>
        <v>1.6541000158933283</v>
      </c>
      <c r="F958" s="35">
        <f t="shared" si="102"/>
        <v>39.539907103373793</v>
      </c>
      <c r="G958" s="42" cm="1">
        <f t="array" ref="G95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39.303132794188365</v>
      </c>
      <c r="H958" s="81" cm="1">
        <f t="array" ref="H9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1.6491819205863461</v>
      </c>
      <c r="I958" s="81" cm="1">
        <f t="array" ref="I9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1.6541000158933283</v>
      </c>
      <c r="J958" s="81" cm="1">
        <f t="array" ref="J9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1.6580252794717867</v>
      </c>
      <c r="K958" s="81" cm="1">
        <f t="array" ref="K9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1.6657247013820429</v>
      </c>
      <c r="L958" s="81" cm="1">
        <f t="array" ref="L9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1.6751959143970667</v>
      </c>
      <c r="M958" s="37">
        <f t="shared" si="103"/>
        <v>1.6542780795696821E-2</v>
      </c>
      <c r="N958" s="43">
        <f t="shared" si="104"/>
        <v>4.9180953069822841E-3</v>
      </c>
      <c r="O958" s="43">
        <f t="shared" si="105"/>
        <v>9.4712130150238494E-3</v>
      </c>
      <c r="P958" s="43">
        <f t="shared" si="106"/>
        <v>0.29729556159394921</v>
      </c>
      <c r="Q958" s="37">
        <f t="shared" si="107"/>
        <v>0.57252847220749858</v>
      </c>
      <c r="R958" s="37">
        <v>-5.8999999999999999E-3</v>
      </c>
      <c r="S958" s="44" t="s">
        <v>1393</v>
      </c>
      <c r="T958" s="45">
        <v>1.55856807</v>
      </c>
      <c r="U958" s="45">
        <v>0.109731968</v>
      </c>
      <c r="V958" s="45">
        <v>1.1077489599999999</v>
      </c>
      <c r="W958" s="45">
        <v>1.10562787E-2</v>
      </c>
      <c r="X958" s="45">
        <v>5.4404744999999997E-2</v>
      </c>
      <c r="Y958" s="45">
        <v>88.322235599999999</v>
      </c>
      <c r="Z958" s="36">
        <v>3.01</v>
      </c>
      <c r="AA958" s="38">
        <v>539</v>
      </c>
      <c r="AB958" s="38">
        <v>667</v>
      </c>
      <c r="AC958" s="49" t="s">
        <v>506</v>
      </c>
      <c r="AD958" s="49" t="s">
        <v>506</v>
      </c>
      <c r="AE958" s="48" t="str">
        <f t="shared" si="108"/>
        <v/>
      </c>
    </row>
    <row r="959" spans="1:31" ht="15" thickBot="1">
      <c r="A959" s="34">
        <v>957</v>
      </c>
      <c r="B959" s="34" t="s">
        <v>753</v>
      </c>
      <c r="C959" s="41" t="s">
        <v>1359</v>
      </c>
      <c r="D959" s="34" t="s">
        <v>1287</v>
      </c>
      <c r="E959" s="80">
        <f t="shared" si="101"/>
        <v>1.770469993710053</v>
      </c>
      <c r="F959" s="35">
        <f t="shared" si="102"/>
        <v>29.80638820563739</v>
      </c>
      <c r="G959" s="42" cm="1">
        <f t="array" ref="G95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29.593960985326806</v>
      </c>
      <c r="H959" s="81" cm="1">
        <f t="array" ref="H9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1.762947254087275</v>
      </c>
      <c r="I959" s="81" cm="1">
        <f t="array" ref="I9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1.770469993710053</v>
      </c>
      <c r="J959" s="81" cm="1">
        <f t="array" ref="J9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1.7765807432726255</v>
      </c>
      <c r="K959" s="81" cm="1">
        <f t="array" ref="K9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1.7887964105967622</v>
      </c>
      <c r="L959" s="81" cm="1">
        <f t="array" ref="L9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1.8041965990685453</v>
      </c>
      <c r="M959" s="37">
        <f t="shared" si="103"/>
        <v>2.5849156509487159E-2</v>
      </c>
      <c r="N959" s="43">
        <f t="shared" si="104"/>
        <v>7.5227396227779408E-3</v>
      </c>
      <c r="O959" s="43">
        <f t="shared" si="105"/>
        <v>1.5400188471783149E-2</v>
      </c>
      <c r="P959" s="43">
        <f t="shared" si="106"/>
        <v>0.29102456863599957</v>
      </c>
      <c r="Q959" s="37">
        <f t="shared" si="107"/>
        <v>0.59577141196584005</v>
      </c>
      <c r="R959" s="37">
        <v>8.0000000000000004E-4</v>
      </c>
      <c r="S959" s="44" t="s">
        <v>1393</v>
      </c>
      <c r="T959" s="45">
        <v>0.31139576099999999</v>
      </c>
      <c r="U959" s="45">
        <v>1.70916917</v>
      </c>
      <c r="V959" s="45">
        <v>2.2176593200000001</v>
      </c>
      <c r="W959" s="45">
        <v>5.3506970399999999E-2</v>
      </c>
      <c r="X959" s="45">
        <v>1.1966252700000001E-2</v>
      </c>
      <c r="Y959" s="45">
        <v>170.99018000000001</v>
      </c>
      <c r="Z959" s="36">
        <v>3.31</v>
      </c>
      <c r="AA959" s="38">
        <v>592</v>
      </c>
      <c r="AB959" s="38"/>
      <c r="AC959" s="49" t="s">
        <v>506</v>
      </c>
      <c r="AD959" s="49" t="s">
        <v>506</v>
      </c>
      <c r="AE959" s="48" t="str">
        <f t="shared" si="108"/>
        <v/>
      </c>
    </row>
    <row r="960" spans="1:31" ht="15" thickBot="1">
      <c r="A960" s="34">
        <v>958</v>
      </c>
      <c r="B960" s="34" t="s">
        <v>753</v>
      </c>
      <c r="C960" s="41" t="s">
        <v>1365</v>
      </c>
      <c r="D960" s="34" t="s">
        <v>744</v>
      </c>
      <c r="E960" s="80">
        <f t="shared" si="101"/>
        <v>1.4970001300627946</v>
      </c>
      <c r="F960" s="35">
        <f t="shared" si="102"/>
        <v>81.612575230687156</v>
      </c>
      <c r="G960" s="42" cm="1">
        <f t="array" ref="G96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81.193788831998134</v>
      </c>
      <c r="H960" s="81" cm="1">
        <f t="array" ref="H9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1.4951427922710867</v>
      </c>
      <c r="I960" s="81" cm="1">
        <f t="array" ref="I9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1.4970001300627946</v>
      </c>
      <c r="J960" s="81" cm="1">
        <f t="array" ref="J9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1.4984540023279047</v>
      </c>
      <c r="K960" s="81" cm="1">
        <f t="array" ref="K9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1.5012325416590697</v>
      </c>
      <c r="L960" s="81" cm="1">
        <f t="array" ref="L9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1.5045146666256077</v>
      </c>
      <c r="M960" s="37">
        <f t="shared" si="103"/>
        <v>6.0897493879830122E-3</v>
      </c>
      <c r="N960" s="43">
        <f t="shared" si="104"/>
        <v>1.8573377917079359E-3</v>
      </c>
      <c r="O960" s="43">
        <f t="shared" si="105"/>
        <v>3.2821249665380137E-3</v>
      </c>
      <c r="P960" s="43">
        <f t="shared" si="106"/>
        <v>0.3049941259279153</v>
      </c>
      <c r="Q960" s="37">
        <f t="shared" si="107"/>
        <v>0.53895895502936075</v>
      </c>
      <c r="R960" s="37">
        <v>3.2199999999999999E-2</v>
      </c>
      <c r="S960" s="44" t="s">
        <v>1393</v>
      </c>
      <c r="T960" s="45">
        <v>0.87299143199999996</v>
      </c>
      <c r="U960" s="45">
        <v>0.75643782800000003</v>
      </c>
      <c r="V960" s="45">
        <v>0.344497102</v>
      </c>
      <c r="W960" s="45">
        <v>4.2211133099999999E-3</v>
      </c>
      <c r="X960" s="45">
        <v>151.20118400000001</v>
      </c>
      <c r="Y960" s="45">
        <v>1.38938225E-2</v>
      </c>
      <c r="Z960" s="36">
        <v>3.9</v>
      </c>
      <c r="AA960" s="38">
        <v>440</v>
      </c>
      <c r="AB960" s="38">
        <v>517</v>
      </c>
      <c r="AC960" s="39" t="s">
        <v>508</v>
      </c>
      <c r="AD960" s="49" t="s">
        <v>506</v>
      </c>
      <c r="AE960" s="48" t="str">
        <f t="shared" ref="AE960:AE991" si="109">IF(RIGHT(D960,3)="-25","For rapid annealing at 25°C/h","")</f>
        <v/>
      </c>
    </row>
    <row r="961" spans="1:31" ht="15" thickBot="1">
      <c r="A961" s="34">
        <v>959</v>
      </c>
      <c r="B961" s="34" t="s">
        <v>753</v>
      </c>
      <c r="C961" s="41" t="s">
        <v>1365</v>
      </c>
      <c r="D961" s="34" t="s">
        <v>1288</v>
      </c>
      <c r="E961" s="80">
        <f t="shared" si="101"/>
        <v>1.4965300049258328</v>
      </c>
      <c r="F961" s="35">
        <f t="shared" si="102"/>
        <v>81.532731215768919</v>
      </c>
      <c r="G961" s="42" cm="1">
        <f t="array" ref="G96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81.114708497166149</v>
      </c>
      <c r="H961" s="81" cm="1">
        <f t="array" ref="H9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1.4946725890715837</v>
      </c>
      <c r="I961" s="81" cm="1">
        <f t="array" ref="I9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1.4965300049258328</v>
      </c>
      <c r="J961" s="81" cm="1">
        <f t="array" ref="J9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1.4979839293546222</v>
      </c>
      <c r="K961" s="81" cm="1">
        <f t="array" ref="K9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1.5007625359864223</v>
      </c>
      <c r="L961" s="81" cm="1">
        <f t="array" ref="L9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1.5040446859479883</v>
      </c>
      <c r="M961" s="37">
        <f t="shared" si="103"/>
        <v>6.089946914838551E-3</v>
      </c>
      <c r="N961" s="43">
        <f t="shared" si="104"/>
        <v>1.8574158542490338E-3</v>
      </c>
      <c r="O961" s="43">
        <f t="shared" si="105"/>
        <v>3.282149961566061E-3</v>
      </c>
      <c r="P961" s="43">
        <f t="shared" si="106"/>
        <v>0.30499705173510122</v>
      </c>
      <c r="Q961" s="37">
        <f t="shared" si="107"/>
        <v>0.53894557825600897</v>
      </c>
      <c r="R961" s="37">
        <v>3.2099999999999997E-2</v>
      </c>
      <c r="S961" s="44" t="s">
        <v>1393</v>
      </c>
      <c r="T961" s="45">
        <v>0.89443249899999999</v>
      </c>
      <c r="U961" s="45">
        <v>0.32165212300000001</v>
      </c>
      <c r="V961" s="45">
        <v>0.74870428499999997</v>
      </c>
      <c r="W961" s="45">
        <v>4.3667897799999997E-3</v>
      </c>
      <c r="X961" s="45">
        <v>1.41909741E-2</v>
      </c>
      <c r="Y961" s="45">
        <v>149.771388</v>
      </c>
      <c r="Z961" s="36">
        <v>3.9</v>
      </c>
      <c r="AA961" s="38">
        <v>440</v>
      </c>
      <c r="AB961" s="38">
        <v>517</v>
      </c>
      <c r="AC961" s="39" t="s">
        <v>508</v>
      </c>
      <c r="AD961" s="49" t="s">
        <v>506</v>
      </c>
      <c r="AE961" s="48" t="str">
        <f t="shared" si="109"/>
        <v>For rapid annealing at 25°C/h</v>
      </c>
    </row>
    <row r="962" spans="1:31" ht="15" thickBot="1">
      <c r="A962" s="34">
        <v>960</v>
      </c>
      <c r="B962" s="34" t="s">
        <v>753</v>
      </c>
      <c r="C962" s="41" t="s">
        <v>1365</v>
      </c>
      <c r="D962" s="34" t="s">
        <v>763</v>
      </c>
      <c r="E962" s="80">
        <f t="shared" si="101"/>
        <v>1.4970001449410866</v>
      </c>
      <c r="F962" s="35">
        <f t="shared" si="102"/>
        <v>81.606377610571656</v>
      </c>
      <c r="G962" s="42" cm="1">
        <f t="array" ref="G96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81.208849216032959</v>
      </c>
      <c r="H962" s="81" cm="1">
        <f t="array" ref="H9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1.4951390632067358</v>
      </c>
      <c r="I962" s="81" cm="1">
        <f t="array" ref="I9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1.4970001449410866</v>
      </c>
      <c r="J962" s="81" cm="1">
        <f t="array" ref="J9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1.4984541377475591</v>
      </c>
      <c r="K962" s="81" cm="1">
        <f t="array" ref="K9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1.5012292752648275</v>
      </c>
      <c r="L962" s="81" cm="1">
        <f t="array" ref="L9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1.5045043275514407</v>
      </c>
      <c r="M962" s="37">
        <f t="shared" si="103"/>
        <v>6.0902120580916819E-3</v>
      </c>
      <c r="N962" s="43">
        <f t="shared" si="104"/>
        <v>1.8610817343507335E-3</v>
      </c>
      <c r="O962" s="43">
        <f t="shared" si="105"/>
        <v>3.2750522866131782E-3</v>
      </c>
      <c r="P962" s="43">
        <f t="shared" si="106"/>
        <v>0.30558570319042194</v>
      </c>
      <c r="Q962" s="37">
        <f t="shared" si="107"/>
        <v>0.53775669145408855</v>
      </c>
      <c r="R962" s="37">
        <v>3.1E-2</v>
      </c>
      <c r="S962" s="44" t="s">
        <v>1393</v>
      </c>
      <c r="T962" s="45">
        <v>0.714812161</v>
      </c>
      <c r="U962" s="45">
        <v>0.50298499799999996</v>
      </c>
      <c r="V962" s="45">
        <v>0.836119846</v>
      </c>
      <c r="W962" s="45">
        <v>1.08370689E-2</v>
      </c>
      <c r="X962" s="45">
        <v>1.32155859E-3</v>
      </c>
      <c r="Y962" s="45">
        <v>153.36067399999999</v>
      </c>
      <c r="Z962" s="36">
        <v>3.68</v>
      </c>
      <c r="AA962" s="38">
        <v>467</v>
      </c>
      <c r="AB962" s="38">
        <v>538</v>
      </c>
      <c r="AC962" s="39" t="s">
        <v>508</v>
      </c>
      <c r="AD962" s="39" t="s">
        <v>1371</v>
      </c>
      <c r="AE962" s="48" t="str">
        <f t="shared" si="109"/>
        <v/>
      </c>
    </row>
    <row r="963" spans="1:31" ht="15" thickBot="1">
      <c r="A963" s="34">
        <v>961</v>
      </c>
      <c r="B963" s="34" t="s">
        <v>753</v>
      </c>
      <c r="C963" s="41" t="s">
        <v>1365</v>
      </c>
      <c r="D963" s="34" t="s">
        <v>1289</v>
      </c>
      <c r="E963" s="80">
        <f t="shared" ref="E963:E1026" si="110">I963</f>
        <v>1.4966502383884315</v>
      </c>
      <c r="F963" s="35">
        <f t="shared" ref="F963:F1026" si="111">(I963-1)/M963</f>
        <v>81.550073951285768</v>
      </c>
      <c r="G963" s="42" cm="1">
        <f t="array" ref="G96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81.153008674573087</v>
      </c>
      <c r="H963" s="81" cm="1">
        <f t="array" ref="H9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1.4947891783960174</v>
      </c>
      <c r="I963" s="81" cm="1">
        <f t="array" ref="I9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1.4966502383884315</v>
      </c>
      <c r="J963" s="81" cm="1">
        <f t="array" ref="J9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1.4981042105097979</v>
      </c>
      <c r="K963" s="81" cm="1">
        <f t="array" ref="K9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1.5008793045519435</v>
      </c>
      <c r="L963" s="81" cm="1">
        <f t="array" ref="L9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1.504154304032254</v>
      </c>
      <c r="M963" s="37">
        <f t="shared" ref="M963:M1026" si="112">K963-H963</f>
        <v>6.0901261559260789E-3</v>
      </c>
      <c r="N963" s="43">
        <f t="shared" ref="N963:N1026" si="113">I963-H963</f>
        <v>1.8610599924140381E-3</v>
      </c>
      <c r="O963" s="43">
        <f t="shared" ref="O963:O1026" si="114">L963-K963</f>
        <v>3.2749994803105142E-3</v>
      </c>
      <c r="P963" s="43">
        <f t="shared" ref="P963:P1026" si="115">(I963-H963)/M963</f>
        <v>0.30558644349314645</v>
      </c>
      <c r="Q963" s="37">
        <f t="shared" ref="Q963:Q1026" si="116">(L963-K963)/M963</f>
        <v>0.53775560578884429</v>
      </c>
      <c r="R963" s="37">
        <v>3.09E-2</v>
      </c>
      <c r="S963" s="44" t="s">
        <v>1393</v>
      </c>
      <c r="T963" s="45">
        <v>0.71458100199999997</v>
      </c>
      <c r="U963" s="45">
        <v>0.50217496699999997</v>
      </c>
      <c r="V963" s="45">
        <v>0.83829616399999995</v>
      </c>
      <c r="W963" s="45">
        <v>1.0837896600000001E-2</v>
      </c>
      <c r="X963" s="45">
        <v>1.32310137E-3</v>
      </c>
      <c r="Y963" s="45">
        <v>153.77593899999999</v>
      </c>
      <c r="Z963" s="36">
        <v>3.68</v>
      </c>
      <c r="AA963" s="38">
        <v>467</v>
      </c>
      <c r="AB963" s="38">
        <v>538</v>
      </c>
      <c r="AC963" s="39" t="s">
        <v>508</v>
      </c>
      <c r="AD963" s="39" t="s">
        <v>1371</v>
      </c>
      <c r="AE963" s="48" t="str">
        <f t="shared" si="109"/>
        <v>For rapid annealing at 25°C/h</v>
      </c>
    </row>
    <row r="964" spans="1:31" ht="15" thickBot="1">
      <c r="A964" s="34">
        <v>962</v>
      </c>
      <c r="B964" s="34" t="s">
        <v>753</v>
      </c>
      <c r="C964" s="41" t="s">
        <v>1365</v>
      </c>
      <c r="D964" s="34" t="s">
        <v>764</v>
      </c>
      <c r="E964" s="80">
        <f t="shared" si="110"/>
        <v>1.437800098864598</v>
      </c>
      <c r="F964" s="35">
        <f t="shared" si="111"/>
        <v>94.524492254681022</v>
      </c>
      <c r="G964" s="42" cm="1">
        <f t="array" ref="G96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94.087018658652383</v>
      </c>
      <c r="H964" s="81" cm="1">
        <f t="array" ref="H9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1.4363784508970292</v>
      </c>
      <c r="I964" s="81" cm="1">
        <f t="array" ref="I9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1.437800098864598</v>
      </c>
      <c r="J964" s="81" cm="1">
        <f t="array" ref="J9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1.4389064988760232</v>
      </c>
      <c r="K964" s="81" cm="1">
        <f t="array" ref="K9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1.4410100557691825</v>
      </c>
      <c r="L964" s="81" cm="1">
        <f t="array" ref="L9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1.4434813162534721</v>
      </c>
      <c r="M964" s="37">
        <f t="shared" si="112"/>
        <v>4.6316048721533054E-3</v>
      </c>
      <c r="N964" s="43">
        <f t="shared" si="113"/>
        <v>1.4216479675688287E-3</v>
      </c>
      <c r="O964" s="43">
        <f t="shared" si="114"/>
        <v>2.4712604842895836E-3</v>
      </c>
      <c r="P964" s="43">
        <f t="shared" si="115"/>
        <v>0.30694500217758913</v>
      </c>
      <c r="Q964" s="37">
        <f t="shared" si="116"/>
        <v>0.53356461798967236</v>
      </c>
      <c r="R964" s="37">
        <v>4.87E-2</v>
      </c>
      <c r="S964" s="44" t="s">
        <v>1393</v>
      </c>
      <c r="T964" s="45">
        <v>0.97302704299999998</v>
      </c>
      <c r="U964" s="45">
        <v>7.7363215999999999E-2</v>
      </c>
      <c r="V964" s="45">
        <v>0.68794495600000005</v>
      </c>
      <c r="W964" s="45">
        <v>4.9194579999999998E-3</v>
      </c>
      <c r="X964" s="45">
        <v>1.8200939999999999E-2</v>
      </c>
      <c r="Y964" s="45">
        <v>159.44609</v>
      </c>
      <c r="Z964" s="36">
        <v>3.52</v>
      </c>
      <c r="AA964" s="38">
        <v>409</v>
      </c>
      <c r="AB964" s="38">
        <v>482</v>
      </c>
      <c r="AC964" s="39" t="s">
        <v>508</v>
      </c>
      <c r="AD964" s="49" t="s">
        <v>506</v>
      </c>
      <c r="AE964" s="48" t="str">
        <f t="shared" si="109"/>
        <v/>
      </c>
    </row>
    <row r="965" spans="1:31" ht="15" thickBot="1">
      <c r="A965" s="34">
        <v>963</v>
      </c>
      <c r="B965" s="34" t="s">
        <v>753</v>
      </c>
      <c r="C965" s="41" t="s">
        <v>1365</v>
      </c>
      <c r="D965" s="34" t="s">
        <v>1290</v>
      </c>
      <c r="E965" s="80">
        <f t="shared" si="110"/>
        <v>1.4374400141291168</v>
      </c>
      <c r="F965" s="35">
        <f t="shared" si="111"/>
        <v>94.439943776989423</v>
      </c>
      <c r="G965" s="42" cm="1">
        <f t="array" ref="G96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94.003779651369669</v>
      </c>
      <c r="H965" s="81" cm="1">
        <f t="array" ref="H9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1.4360181921076869</v>
      </c>
      <c r="I965" s="81" cm="1">
        <f t="array" ref="I9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1.4374400141291168</v>
      </c>
      <c r="J965" s="81" cm="1">
        <f t="array" ref="J9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1.4385465062125582</v>
      </c>
      <c r="K965" s="81" cm="1">
        <f t="array" ref="K9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1.4406501306353303</v>
      </c>
      <c r="L965" s="81" cm="1">
        <f t="array" ref="L9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1.443121314316163</v>
      </c>
      <c r="M965" s="37">
        <f t="shared" si="112"/>
        <v>4.6319385276434311E-3</v>
      </c>
      <c r="N965" s="43">
        <f t="shared" si="113"/>
        <v>1.4218220214299304E-3</v>
      </c>
      <c r="O965" s="43">
        <f t="shared" si="114"/>
        <v>2.4711836808326559E-3</v>
      </c>
      <c r="P965" s="43">
        <f t="shared" si="115"/>
        <v>0.30696046869890214</v>
      </c>
      <c r="Q965" s="37">
        <f t="shared" si="116"/>
        <v>0.53350960209955722</v>
      </c>
      <c r="R965" s="37">
        <v>4.8599999999999997E-2</v>
      </c>
      <c r="S965" s="44" t="s">
        <v>1393</v>
      </c>
      <c r="T965" s="45">
        <v>0.98921196300000003</v>
      </c>
      <c r="U965" s="45">
        <v>6.0141262000000001E-2</v>
      </c>
      <c r="V965" s="45">
        <v>0.68537788600000005</v>
      </c>
      <c r="W965" s="45">
        <v>5.0659069999999997E-3</v>
      </c>
      <c r="X965" s="45">
        <v>1.9705385999999998E-2</v>
      </c>
      <c r="Y965" s="45">
        <v>158.93508299999999</v>
      </c>
      <c r="Z965" s="36">
        <v>3.52</v>
      </c>
      <c r="AA965" s="38">
        <v>409</v>
      </c>
      <c r="AB965" s="38">
        <v>482</v>
      </c>
      <c r="AC965" s="39" t="s">
        <v>508</v>
      </c>
      <c r="AD965" s="49" t="s">
        <v>506</v>
      </c>
      <c r="AE965" s="48" t="str">
        <f t="shared" si="109"/>
        <v>For rapid annealing at 25°C/h</v>
      </c>
    </row>
    <row r="966" spans="1:31" ht="15" thickBot="1">
      <c r="A966" s="34">
        <v>964</v>
      </c>
      <c r="B966" s="34" t="s">
        <v>753</v>
      </c>
      <c r="C966" s="41" t="s">
        <v>1355</v>
      </c>
      <c r="D966" s="34" t="s">
        <v>765</v>
      </c>
      <c r="E966" s="80">
        <f t="shared" si="110"/>
        <v>1.4874900414887489</v>
      </c>
      <c r="F966" s="35">
        <f t="shared" si="111"/>
        <v>70.441303586187928</v>
      </c>
      <c r="G966" s="42" cm="1">
        <f t="array" ref="G96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70.256612847922867</v>
      </c>
      <c r="H966" s="81" cm="1">
        <f t="array" ref="H9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1.4853471835869769</v>
      </c>
      <c r="I966" s="81" cm="1">
        <f t="array" ref="I9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1.4874900414887489</v>
      </c>
      <c r="J966" s="81" cm="1">
        <f t="array" ref="J9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1.4891425568770613</v>
      </c>
      <c r="K966" s="81" cm="1">
        <f t="array" ref="K9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1.492267697783485</v>
      </c>
      <c r="L966" s="81" cm="1">
        <f t="array" ref="L9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1.495931042122802</v>
      </c>
      <c r="M966" s="37">
        <f t="shared" si="112"/>
        <v>6.9205141965080763E-3</v>
      </c>
      <c r="N966" s="43">
        <f t="shared" si="113"/>
        <v>2.1428579017719329E-3</v>
      </c>
      <c r="O966" s="43">
        <f t="shared" si="114"/>
        <v>3.6633443393170317E-3</v>
      </c>
      <c r="P966" s="43">
        <f t="shared" si="115"/>
        <v>0.30963853854286827</v>
      </c>
      <c r="Q966" s="37">
        <f t="shared" si="116"/>
        <v>0.52934568664933401</v>
      </c>
      <c r="R966" s="37">
        <v>3.5000000000000001E-3</v>
      </c>
      <c r="S966" s="44" t="s">
        <v>1393</v>
      </c>
      <c r="T966" s="45">
        <v>0.60173749099999996</v>
      </c>
      <c r="U966" s="45">
        <v>0.85873700399999997</v>
      </c>
      <c r="V966" s="45">
        <v>0.58676150100000002</v>
      </c>
      <c r="W966" s="45">
        <v>1.2574973999999999E-2</v>
      </c>
      <c r="X966" s="45">
        <v>92.332566299999996</v>
      </c>
      <c r="Y966" s="45">
        <v>2.6875089999999998E-3</v>
      </c>
      <c r="Z966" s="36">
        <v>2.4300000000000002</v>
      </c>
      <c r="AA966" s="38">
        <v>473</v>
      </c>
      <c r="AB966" s="38">
        <v>673</v>
      </c>
      <c r="AC966" s="39" t="s">
        <v>508</v>
      </c>
      <c r="AD966" s="49" t="s">
        <v>506</v>
      </c>
      <c r="AE966" s="48" t="str">
        <f t="shared" si="109"/>
        <v/>
      </c>
    </row>
    <row r="967" spans="1:31" ht="15" thickBot="1">
      <c r="A967" s="34">
        <v>965</v>
      </c>
      <c r="B967" s="34" t="s">
        <v>753</v>
      </c>
      <c r="C967" s="41" t="s">
        <v>1355</v>
      </c>
      <c r="D967" s="34" t="s">
        <v>1291</v>
      </c>
      <c r="E967" s="80">
        <f t="shared" si="110"/>
        <v>1.4868700625731366</v>
      </c>
      <c r="F967" s="35">
        <f t="shared" si="111"/>
        <v>70.41790158468703</v>
      </c>
      <c r="G967" s="42" cm="1">
        <f t="array" ref="G96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70.236114460829853</v>
      </c>
      <c r="H967" s="81" cm="1">
        <f t="array" ref="H9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1.484728644725319</v>
      </c>
      <c r="I967" s="81" cm="1">
        <f t="array" ref="I9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1.4868700625731366</v>
      </c>
      <c r="J967" s="81" cm="1">
        <f t="array" ref="J9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1.4885211164638688</v>
      </c>
      <c r="K967" s="81" cm="1">
        <f t="array" ref="K9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1.4916426545384005</v>
      </c>
      <c r="L967" s="81" cm="1">
        <f t="array" ref="L9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1.4953007266146972</v>
      </c>
      <c r="M967" s="37">
        <f t="shared" si="112"/>
        <v>6.9140098130815453E-3</v>
      </c>
      <c r="N967" s="43">
        <f t="shared" si="113"/>
        <v>2.1414178478176282E-3</v>
      </c>
      <c r="O967" s="43">
        <f t="shared" si="114"/>
        <v>3.6580720762966479E-3</v>
      </c>
      <c r="P967" s="43">
        <f t="shared" si="115"/>
        <v>0.30972155170592786</v>
      </c>
      <c r="Q967" s="37">
        <f t="shared" si="116"/>
        <v>0.52908112299398957</v>
      </c>
      <c r="R967" s="37">
        <v>3.3E-3</v>
      </c>
      <c r="S967" s="44" t="s">
        <v>1393</v>
      </c>
      <c r="T967" s="45">
        <v>0.83488819999999997</v>
      </c>
      <c r="U967" s="45">
        <v>0.14025611700000001</v>
      </c>
      <c r="V967" s="45">
        <v>1.0463804999999999</v>
      </c>
      <c r="W967" s="45">
        <v>90.1036067</v>
      </c>
      <c r="X967" s="45">
        <v>1.9928316000000001E-2</v>
      </c>
      <c r="Y967" s="45">
        <v>6.0819569999999998E-3</v>
      </c>
      <c r="Z967" s="36">
        <v>2.4300000000000002</v>
      </c>
      <c r="AA967" s="38">
        <v>473</v>
      </c>
      <c r="AB967" s="38">
        <v>673</v>
      </c>
      <c r="AC967" s="39" t="s">
        <v>508</v>
      </c>
      <c r="AD967" s="49" t="s">
        <v>506</v>
      </c>
      <c r="AE967" s="48" t="str">
        <f t="shared" si="109"/>
        <v>For rapid annealing at 25°C/h</v>
      </c>
    </row>
    <row r="968" spans="1:31" ht="15" thickBot="1">
      <c r="A968" s="34">
        <v>966</v>
      </c>
      <c r="B968" s="34" t="s">
        <v>753</v>
      </c>
      <c r="C968" s="41" t="s">
        <v>1355</v>
      </c>
      <c r="D968" s="34" t="s">
        <v>745</v>
      </c>
      <c r="E968" s="80">
        <f t="shared" si="110"/>
        <v>1.5163299751635304</v>
      </c>
      <c r="F968" s="35">
        <f t="shared" si="111"/>
        <v>64.059698568013673</v>
      </c>
      <c r="G968" s="42" cm="1">
        <f t="array" ref="G96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63.865355240070102</v>
      </c>
      <c r="H968" s="81" cm="1">
        <f t="array" ref="H9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1.5138472560513874</v>
      </c>
      <c r="I968" s="81" cm="1">
        <f t="array" ref="I9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1.5163299751635304</v>
      </c>
      <c r="J968" s="81" cm="1">
        <f t="array" ref="J9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1.5182537131044758</v>
      </c>
      <c r="K968" s="81" cm="1">
        <f t="array" ref="K9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1.5219073934967007</v>
      </c>
      <c r="L968" s="81" cm="1">
        <f t="array" ref="L9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1.5262098675182436</v>
      </c>
      <c r="M968" s="37">
        <f t="shared" si="112"/>
        <v>8.060137445313309E-3</v>
      </c>
      <c r="N968" s="43">
        <f t="shared" si="113"/>
        <v>2.4827191121430392E-3</v>
      </c>
      <c r="O968" s="43">
        <f t="shared" si="114"/>
        <v>4.3024740215429347E-3</v>
      </c>
      <c r="P968" s="43">
        <f t="shared" si="115"/>
        <v>0.30802441384999635</v>
      </c>
      <c r="Q968" s="37">
        <f t="shared" si="116"/>
        <v>0.53379660715893551</v>
      </c>
      <c r="R968" s="37">
        <v>-2.7000000000000001E-3</v>
      </c>
      <c r="S968" s="44" t="s">
        <v>1393</v>
      </c>
      <c r="T968" s="45">
        <v>0.56785379199999997</v>
      </c>
      <c r="U968" s="45">
        <v>0.70226968899999997</v>
      </c>
      <c r="V968" s="45">
        <v>1.08102455</v>
      </c>
      <c r="W968" s="45">
        <v>2.3858157900000002E-3</v>
      </c>
      <c r="X968" s="45">
        <v>1.3534833200000001E-2</v>
      </c>
      <c r="Y968" s="45">
        <v>107.748228</v>
      </c>
      <c r="Z968" s="36">
        <v>2.41</v>
      </c>
      <c r="AA968" s="38">
        <v>496</v>
      </c>
      <c r="AB968" s="38">
        <v>637</v>
      </c>
      <c r="AC968" s="39" t="s">
        <v>508</v>
      </c>
      <c r="AD968" s="39" t="s">
        <v>1371</v>
      </c>
      <c r="AE968" s="48" t="str">
        <f t="shared" si="109"/>
        <v/>
      </c>
    </row>
    <row r="969" spans="1:31" ht="15" thickBot="1">
      <c r="A969" s="34">
        <v>967</v>
      </c>
      <c r="B969" s="34" t="s">
        <v>753</v>
      </c>
      <c r="C969" s="41" t="s">
        <v>1355</v>
      </c>
      <c r="D969" s="34" t="s">
        <v>1292</v>
      </c>
      <c r="E969" s="80">
        <f t="shared" si="110"/>
        <v>1.5157699920294929</v>
      </c>
      <c r="F969" s="35">
        <f t="shared" si="111"/>
        <v>63.990382945304894</v>
      </c>
      <c r="G969" s="42" cm="1">
        <f t="array" ref="G96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63.796425568522224</v>
      </c>
      <c r="H969" s="81" cm="1">
        <f t="array" ref="H9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1.5132873006536653</v>
      </c>
      <c r="I969" s="81" cm="1">
        <f t="array" ref="I9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1.5157699920294929</v>
      </c>
      <c r="J969" s="81" cm="1">
        <f t="array" ref="J9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1.5176937215684647</v>
      </c>
      <c r="K969" s="81" cm="1">
        <f t="array" ref="K9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1.5213474179445767</v>
      </c>
      <c r="L969" s="81" cm="1">
        <f t="array" ref="L9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1.5256499507027919</v>
      </c>
      <c r="M969" s="37">
        <f t="shared" si="112"/>
        <v>8.0601172909113838E-3</v>
      </c>
      <c r="N969" s="43">
        <f t="shared" si="113"/>
        <v>2.4826913758275726E-3</v>
      </c>
      <c r="O969" s="43">
        <f t="shared" si="114"/>
        <v>4.3025327582151274E-3</v>
      </c>
      <c r="P969" s="43">
        <f t="shared" si="115"/>
        <v>0.3080217428879185</v>
      </c>
      <c r="Q969" s="37">
        <f t="shared" si="116"/>
        <v>0.53380522924482476</v>
      </c>
      <c r="R969" s="37">
        <v>-2.8999999999999998E-3</v>
      </c>
      <c r="S969" s="44" t="s">
        <v>1393</v>
      </c>
      <c r="T969" s="45">
        <v>1.08234297</v>
      </c>
      <c r="U969" s="45">
        <v>0.54843884600000004</v>
      </c>
      <c r="V969" s="45">
        <v>0.71999985499999997</v>
      </c>
      <c r="W969" s="45">
        <v>107.907645</v>
      </c>
      <c r="X969" s="45">
        <v>2.1909289999999999E-3</v>
      </c>
      <c r="Y969" s="45">
        <v>1.3407001999999999E-2</v>
      </c>
      <c r="Z969" s="36">
        <v>2.41</v>
      </c>
      <c r="AA969" s="38">
        <v>496</v>
      </c>
      <c r="AB969" s="38">
        <v>637</v>
      </c>
      <c r="AC969" s="39" t="s">
        <v>508</v>
      </c>
      <c r="AD969" s="39" t="s">
        <v>1371</v>
      </c>
      <c r="AE969" s="48" t="str">
        <f t="shared" si="109"/>
        <v>For rapid annealing at 25°C/h</v>
      </c>
    </row>
    <row r="970" spans="1:31" ht="15" thickBot="1">
      <c r="A970" s="34">
        <v>968</v>
      </c>
      <c r="B970" s="34" t="s">
        <v>753</v>
      </c>
      <c r="C970" s="41" t="s">
        <v>1355</v>
      </c>
      <c r="D970" s="34" t="s">
        <v>757</v>
      </c>
      <c r="E970" s="80">
        <f t="shared" si="110"/>
        <v>1.5163299751635304</v>
      </c>
      <c r="F970" s="35">
        <f t="shared" si="111"/>
        <v>64.059698568013673</v>
      </c>
      <c r="G970" s="42" cm="1">
        <f t="array" ref="G97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63.865355240070102</v>
      </c>
      <c r="H970" s="81" cm="1">
        <f t="array" ref="H9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1.5138472560513874</v>
      </c>
      <c r="I970" s="81" cm="1">
        <f t="array" ref="I9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1.5163299751635304</v>
      </c>
      <c r="J970" s="81" cm="1">
        <f t="array" ref="J9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1.5182537131044758</v>
      </c>
      <c r="K970" s="81" cm="1">
        <f t="array" ref="K9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1.5219073934967007</v>
      </c>
      <c r="L970" s="81" cm="1">
        <f t="array" ref="L9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1.5262098675182436</v>
      </c>
      <c r="M970" s="37">
        <f t="shared" si="112"/>
        <v>8.060137445313309E-3</v>
      </c>
      <c r="N970" s="43">
        <f t="shared" si="113"/>
        <v>2.4827191121430392E-3</v>
      </c>
      <c r="O970" s="43">
        <f t="shared" si="114"/>
        <v>4.3024740215429347E-3</v>
      </c>
      <c r="P970" s="43">
        <f t="shared" si="115"/>
        <v>0.30802441384999635</v>
      </c>
      <c r="Q970" s="37">
        <f t="shared" si="116"/>
        <v>0.53379660715893551</v>
      </c>
      <c r="R970" s="37">
        <v>-2.7000000000000001E-3</v>
      </c>
      <c r="S970" s="44" t="s">
        <v>1393</v>
      </c>
      <c r="T970" s="45">
        <v>0.56785379199999997</v>
      </c>
      <c r="U970" s="45">
        <v>0.70226968899999997</v>
      </c>
      <c r="V970" s="45">
        <v>1.08102455</v>
      </c>
      <c r="W970" s="45">
        <v>2.3858157900000002E-3</v>
      </c>
      <c r="X970" s="45">
        <v>1.3534833200000001E-2</v>
      </c>
      <c r="Y970" s="45">
        <v>107.748228</v>
      </c>
      <c r="Z970" s="36">
        <v>2.41</v>
      </c>
      <c r="AA970" s="38">
        <v>496</v>
      </c>
      <c r="AB970" s="38">
        <v>637</v>
      </c>
      <c r="AC970" s="39" t="s">
        <v>508</v>
      </c>
      <c r="AD970" s="49" t="s">
        <v>506</v>
      </c>
      <c r="AE970" s="48" t="str">
        <f t="shared" si="109"/>
        <v/>
      </c>
    </row>
    <row r="971" spans="1:31" ht="15" thickBot="1">
      <c r="A971" s="34">
        <v>969</v>
      </c>
      <c r="B971" s="34" t="s">
        <v>753</v>
      </c>
      <c r="C971" s="41" t="s">
        <v>1355</v>
      </c>
      <c r="D971" s="34" t="s">
        <v>1293</v>
      </c>
      <c r="E971" s="80">
        <f t="shared" si="110"/>
        <v>1.5157699920294929</v>
      </c>
      <c r="F971" s="35">
        <f t="shared" si="111"/>
        <v>63.990382945304894</v>
      </c>
      <c r="G971" s="42" cm="1">
        <f t="array" ref="G97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63.796425568522224</v>
      </c>
      <c r="H971" s="81" cm="1">
        <f t="array" ref="H9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1.5132873006536653</v>
      </c>
      <c r="I971" s="81" cm="1">
        <f t="array" ref="I9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1.5157699920294929</v>
      </c>
      <c r="J971" s="81" cm="1">
        <f t="array" ref="J9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1.5176937215684647</v>
      </c>
      <c r="K971" s="81" cm="1">
        <f t="array" ref="K9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1.5213474179445767</v>
      </c>
      <c r="L971" s="81" cm="1">
        <f t="array" ref="L9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1.5256499507027919</v>
      </c>
      <c r="M971" s="37">
        <f t="shared" si="112"/>
        <v>8.0601172909113838E-3</v>
      </c>
      <c r="N971" s="43">
        <f t="shared" si="113"/>
        <v>2.4826913758275726E-3</v>
      </c>
      <c r="O971" s="43">
        <f t="shared" si="114"/>
        <v>4.3025327582151274E-3</v>
      </c>
      <c r="P971" s="43">
        <f t="shared" si="115"/>
        <v>0.3080217428879185</v>
      </c>
      <c r="Q971" s="37">
        <f t="shared" si="116"/>
        <v>0.53380522924482476</v>
      </c>
      <c r="R971" s="37">
        <v>-2.8999999999999998E-3</v>
      </c>
      <c r="S971" s="44" t="s">
        <v>1393</v>
      </c>
      <c r="T971" s="45">
        <v>1.08234297</v>
      </c>
      <c r="U971" s="45">
        <v>0.54843884600000004</v>
      </c>
      <c r="V971" s="45">
        <v>0.71999985499999997</v>
      </c>
      <c r="W971" s="45">
        <v>107.907645</v>
      </c>
      <c r="X971" s="45">
        <v>2.1909289999999999E-3</v>
      </c>
      <c r="Y971" s="45">
        <v>1.3407001999999999E-2</v>
      </c>
      <c r="Z971" s="36">
        <v>2.41</v>
      </c>
      <c r="AA971" s="38">
        <v>496</v>
      </c>
      <c r="AB971" s="38">
        <v>637</v>
      </c>
      <c r="AC971" s="39" t="s">
        <v>508</v>
      </c>
      <c r="AD971" s="49" t="s">
        <v>506</v>
      </c>
      <c r="AE971" s="48" t="str">
        <f t="shared" si="109"/>
        <v>For rapid annealing at 25°C/h</v>
      </c>
    </row>
    <row r="972" spans="1:31" ht="15" thickBot="1">
      <c r="A972" s="34">
        <v>970</v>
      </c>
      <c r="B972" s="34" t="s">
        <v>753</v>
      </c>
      <c r="C972" s="41" t="s">
        <v>1355</v>
      </c>
      <c r="D972" s="34" t="s">
        <v>672</v>
      </c>
      <c r="E972" s="80">
        <f t="shared" si="110"/>
        <v>1.5175997788745725</v>
      </c>
      <c r="F972" s="35">
        <f t="shared" si="111"/>
        <v>63.500731932604836</v>
      </c>
      <c r="G972" s="42" cm="1">
        <f t="array" ref="G97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63.30163711224354</v>
      </c>
      <c r="H972" s="81" cm="1">
        <f t="array" ref="H9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1.51509111322441</v>
      </c>
      <c r="I972" s="81" cm="1">
        <f t="array" ref="I9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1.5175997788745725</v>
      </c>
      <c r="J972" s="81" cm="1">
        <f t="array" ref="J9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1.5195447786627105</v>
      </c>
      <c r="K972" s="81" cm="1">
        <f t="array" ref="K9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1.5232421968910348</v>
      </c>
      <c r="L972" s="81" cm="1">
        <f t="array" ref="L9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1.5276032089208009</v>
      </c>
      <c r="M972" s="37">
        <f t="shared" si="112"/>
        <v>8.1510836666247588E-3</v>
      </c>
      <c r="N972" s="43">
        <f t="shared" si="113"/>
        <v>2.5086656501625004E-3</v>
      </c>
      <c r="O972" s="43">
        <f t="shared" si="114"/>
        <v>4.3610120297661314E-3</v>
      </c>
      <c r="P972" s="43">
        <f t="shared" si="115"/>
        <v>0.30777081339925705</v>
      </c>
      <c r="Q972" s="37">
        <f t="shared" si="116"/>
        <v>0.53502236121347058</v>
      </c>
      <c r="R972" s="37">
        <v>-2.5000000000000001E-3</v>
      </c>
      <c r="S972" s="44" t="s">
        <v>1393</v>
      </c>
      <c r="T972" s="45">
        <v>1.1209537999999999</v>
      </c>
      <c r="U972" s="45">
        <v>0.15269060800000001</v>
      </c>
      <c r="V972" s="45">
        <v>1.0750292400000001</v>
      </c>
      <c r="W972" s="45">
        <v>6.5790807299999999E-3</v>
      </c>
      <c r="X972" s="45">
        <v>2.3572477800000002E-2</v>
      </c>
      <c r="Y972" s="45">
        <v>106.309977</v>
      </c>
      <c r="Z972" s="36">
        <v>2.41</v>
      </c>
      <c r="AA972" s="38">
        <v>497</v>
      </c>
      <c r="AB972" s="38">
        <v>637</v>
      </c>
      <c r="AC972" s="39" t="s">
        <v>508</v>
      </c>
      <c r="AD972" s="49" t="s">
        <v>506</v>
      </c>
      <c r="AE972" s="48" t="str">
        <f t="shared" si="109"/>
        <v/>
      </c>
    </row>
    <row r="973" spans="1:31" ht="15" thickBot="1">
      <c r="A973" s="34">
        <v>971</v>
      </c>
      <c r="B973" s="34" t="s">
        <v>753</v>
      </c>
      <c r="C973" s="41" t="s">
        <v>1355</v>
      </c>
      <c r="D973" s="34" t="s">
        <v>1294</v>
      </c>
      <c r="E973" s="80">
        <f t="shared" si="110"/>
        <v>1.5169797068772501</v>
      </c>
      <c r="F973" s="35">
        <f t="shared" si="111"/>
        <v>63.409240618895886</v>
      </c>
      <c r="G973" s="42" cm="1">
        <f t="array" ref="G97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63.212001782062593</v>
      </c>
      <c r="H973" s="81" cm="1">
        <f t="array" ref="H9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1.5144701740408046</v>
      </c>
      <c r="I973" s="81" cm="1">
        <f t="array" ref="I9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1.5169797068772501</v>
      </c>
      <c r="J973" s="81" cm="1">
        <f t="array" ref="J9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1.5189253168216421</v>
      </c>
      <c r="K973" s="81" cm="1">
        <f t="array" ref="K9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1.5226232397743058</v>
      </c>
      <c r="L973" s="81" cm="1">
        <f t="array" ref="L9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1.5269833343414083</v>
      </c>
      <c r="M973" s="37">
        <f t="shared" si="112"/>
        <v>8.1530657335011636E-3</v>
      </c>
      <c r="N973" s="43">
        <f t="shared" si="113"/>
        <v>2.509532836445505E-3</v>
      </c>
      <c r="O973" s="43">
        <f t="shared" si="114"/>
        <v>4.3600945671025126E-3</v>
      </c>
      <c r="P973" s="43">
        <f t="shared" si="115"/>
        <v>0.30780235539298645</v>
      </c>
      <c r="Q973" s="37">
        <f t="shared" si="116"/>
        <v>0.53477976378710745</v>
      </c>
      <c r="R973" s="37">
        <v>-2.8999999999999998E-3</v>
      </c>
      <c r="S973" s="44" t="s">
        <v>1393</v>
      </c>
      <c r="T973" s="45">
        <v>1.1666574300000001</v>
      </c>
      <c r="U973" s="45">
        <v>0.105028598</v>
      </c>
      <c r="V973" s="45">
        <v>0.99026900200000001</v>
      </c>
      <c r="W973" s="45">
        <v>7.0795329899999999E-3</v>
      </c>
      <c r="X973" s="45">
        <v>2.61090052E-2</v>
      </c>
      <c r="Y973" s="45">
        <v>98.672445499999995</v>
      </c>
      <c r="Z973" s="36">
        <v>2.41</v>
      </c>
      <c r="AA973" s="38">
        <v>497</v>
      </c>
      <c r="AB973" s="38">
        <v>637</v>
      </c>
      <c r="AC973" s="39" t="s">
        <v>508</v>
      </c>
      <c r="AD973" s="49" t="s">
        <v>506</v>
      </c>
      <c r="AE973" s="48" t="str">
        <f t="shared" si="109"/>
        <v>For rapid annealing at 25°C/h</v>
      </c>
    </row>
    <row r="974" spans="1:31" ht="15" thickBot="1">
      <c r="A974" s="34">
        <v>972</v>
      </c>
      <c r="B974" s="34" t="s">
        <v>753</v>
      </c>
      <c r="C974" s="41" t="s">
        <v>1355</v>
      </c>
      <c r="D974" s="34" t="s">
        <v>673</v>
      </c>
      <c r="E974" s="80">
        <f t="shared" si="110"/>
        <v>1.5250001724942683</v>
      </c>
      <c r="F974" s="35">
        <f t="shared" si="111"/>
        <v>70.371395083946837</v>
      </c>
      <c r="G974" s="42" cm="1">
        <f t="array" ref="G97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70.166434289314097</v>
      </c>
      <c r="H974" s="81" cm="1">
        <f t="array" ref="H9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1.5226950909281307</v>
      </c>
      <c r="I974" s="81" cm="1">
        <f t="array" ref="I9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1.5250001724942683</v>
      </c>
      <c r="J974" s="81" cm="1">
        <f t="array" ref="J9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1.5267815474449218</v>
      </c>
      <c r="K974" s="81" cm="1">
        <f t="array" ref="K9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1.5301555110586111</v>
      </c>
      <c r="L974" s="81" cm="1">
        <f t="array" ref="L9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1.5341150589809913</v>
      </c>
      <c r="M974" s="37">
        <f t="shared" si="112"/>
        <v>7.4604201304804274E-3</v>
      </c>
      <c r="N974" s="43">
        <f t="shared" si="113"/>
        <v>2.3050815661376234E-3</v>
      </c>
      <c r="O974" s="43">
        <f t="shared" si="114"/>
        <v>3.9595479223801799E-3</v>
      </c>
      <c r="P974" s="43">
        <f t="shared" si="115"/>
        <v>0.30897476627622356</v>
      </c>
      <c r="Q974" s="37">
        <f t="shared" si="116"/>
        <v>0.53074060885699714</v>
      </c>
      <c r="R974" s="37">
        <v>4.7999999999999996E-3</v>
      </c>
      <c r="S974" s="44" t="s">
        <v>1393</v>
      </c>
      <c r="T974" s="45">
        <v>0.63168871400000004</v>
      </c>
      <c r="U974" s="45">
        <v>0.66689643200000004</v>
      </c>
      <c r="V974" s="45">
        <v>0.87464481900000002</v>
      </c>
      <c r="W974" s="45">
        <v>1.27792227E-2</v>
      </c>
      <c r="X974" s="45">
        <v>3.13927857E-3</v>
      </c>
      <c r="Y974" s="45">
        <v>90.174066999999994</v>
      </c>
      <c r="Z974" s="36">
        <v>2.65</v>
      </c>
      <c r="AA974" s="38">
        <v>545</v>
      </c>
      <c r="AB974" s="38">
        <v>648</v>
      </c>
      <c r="AC974" s="39" t="s">
        <v>508</v>
      </c>
      <c r="AD974" s="49" t="s">
        <v>506</v>
      </c>
      <c r="AE974" s="48" t="str">
        <f t="shared" si="109"/>
        <v/>
      </c>
    </row>
    <row r="975" spans="1:31" ht="15" thickBot="1">
      <c r="A975" s="34">
        <v>973</v>
      </c>
      <c r="B975" s="34" t="s">
        <v>753</v>
      </c>
      <c r="C975" s="41" t="s">
        <v>1355</v>
      </c>
      <c r="D975" s="34" t="s">
        <v>1295</v>
      </c>
      <c r="E975" s="80">
        <f t="shared" si="110"/>
        <v>1.5236800501906926</v>
      </c>
      <c r="F975" s="35">
        <f t="shared" si="111"/>
        <v>70.275655671136192</v>
      </c>
      <c r="G975" s="42" cm="1">
        <f t="array" ref="G97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70.070364878564675</v>
      </c>
      <c r="H975" s="81" cm="1">
        <f t="array" ref="H9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1.5213778364726589</v>
      </c>
      <c r="I975" s="81" cm="1">
        <f t="array" ref="I9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1.5236800501906926</v>
      </c>
      <c r="J975" s="81" cm="1">
        <f t="array" ref="J9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1.5254593335178905</v>
      </c>
      <c r="K975" s="81" cm="1">
        <f t="array" ref="K9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1.528829635323762</v>
      </c>
      <c r="L975" s="81" cm="1">
        <f t="array" ref="L9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1.5327853195974459</v>
      </c>
      <c r="M975" s="37">
        <f t="shared" si="112"/>
        <v>7.4517988511031419E-3</v>
      </c>
      <c r="N975" s="43">
        <f t="shared" si="113"/>
        <v>2.302213718033741E-3</v>
      </c>
      <c r="O975" s="43">
        <f t="shared" si="114"/>
        <v>3.9556842736838682E-3</v>
      </c>
      <c r="P975" s="43">
        <f t="shared" si="115"/>
        <v>0.30894737821498336</v>
      </c>
      <c r="Q975" s="37">
        <f t="shared" si="116"/>
        <v>0.5308361581845813</v>
      </c>
      <c r="R975" s="37">
        <v>4.7000000000000002E-3</v>
      </c>
      <c r="S975" s="44" t="s">
        <v>1393</v>
      </c>
      <c r="T975" s="45">
        <v>0.51340765300000002</v>
      </c>
      <c r="U975" s="45">
        <v>0.92380637300000001</v>
      </c>
      <c r="V975" s="45">
        <v>0.78122483700000001</v>
      </c>
      <c r="W975" s="45">
        <v>1.7353546700000001E-3</v>
      </c>
      <c r="X975" s="45">
        <v>95.326220199999995</v>
      </c>
      <c r="Y975" s="45">
        <v>1.18350221E-2</v>
      </c>
      <c r="Z975" s="36">
        <v>2.65</v>
      </c>
      <c r="AA975" s="38">
        <v>545</v>
      </c>
      <c r="AB975" s="38">
        <v>648</v>
      </c>
      <c r="AC975" s="39" t="s">
        <v>508</v>
      </c>
      <c r="AD975" s="49" t="s">
        <v>506</v>
      </c>
      <c r="AE975" s="48" t="str">
        <f t="shared" si="109"/>
        <v>For rapid annealing at 25°C/h</v>
      </c>
    </row>
    <row r="976" spans="1:31" ht="15" thickBot="1">
      <c r="A976" s="34">
        <v>974</v>
      </c>
      <c r="B976" s="34" t="s">
        <v>753</v>
      </c>
      <c r="C976" s="41" t="s">
        <v>1366</v>
      </c>
      <c r="D976" s="34" t="s">
        <v>746</v>
      </c>
      <c r="E976" s="80">
        <f t="shared" si="110"/>
        <v>1.6208700468189059</v>
      </c>
      <c r="F976" s="35">
        <f t="shared" si="111"/>
        <v>63.829286265823086</v>
      </c>
      <c r="G976" s="42" cm="1">
        <f t="array" ref="G97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63.517917829747965</v>
      </c>
      <c r="H976" s="81" cm="1">
        <f t="array" ref="H9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1.6179142456153432</v>
      </c>
      <c r="I976" s="81" cm="1">
        <f t="array" ref="I9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1.6208700468189059</v>
      </c>
      <c r="J976" s="81" cm="1">
        <f t="array" ref="J9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1.6231904452032397</v>
      </c>
      <c r="K976" s="81" cm="1">
        <f t="array" ref="K9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1.6276412860248699</v>
      </c>
      <c r="L976" s="81" cm="1">
        <f t="array" ref="L9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1.6329261670425113</v>
      </c>
      <c r="M976" s="37">
        <f t="shared" si="112"/>
        <v>9.7270404095266549E-3</v>
      </c>
      <c r="N976" s="43">
        <f t="shared" si="113"/>
        <v>2.9558012035626469E-3</v>
      </c>
      <c r="O976" s="43">
        <f t="shared" si="114"/>
        <v>5.2848810176413519E-3</v>
      </c>
      <c r="P976" s="43">
        <f t="shared" si="115"/>
        <v>0.30387467092947795</v>
      </c>
      <c r="Q976" s="37">
        <f t="shared" si="116"/>
        <v>0.54331850132598858</v>
      </c>
      <c r="R976" s="37">
        <v>6.3E-3</v>
      </c>
      <c r="S976" s="44" t="s">
        <v>1393</v>
      </c>
      <c r="T976" s="45">
        <v>0.72332452599999997</v>
      </c>
      <c r="U976" s="45">
        <v>0.86355245199999997</v>
      </c>
      <c r="V976" s="45">
        <v>0.98507716899999997</v>
      </c>
      <c r="W976" s="45">
        <v>2.8894575800000001E-3</v>
      </c>
      <c r="X976" s="45">
        <v>1.42439384E-2</v>
      </c>
      <c r="Y976" s="45">
        <v>116.59691599999999</v>
      </c>
      <c r="Z976" s="36">
        <v>3.69</v>
      </c>
      <c r="AA976" s="38">
        <v>546</v>
      </c>
      <c r="AB976" s="38">
        <v>645</v>
      </c>
      <c r="AC976" s="39" t="s">
        <v>508</v>
      </c>
      <c r="AD976" s="49" t="s">
        <v>506</v>
      </c>
      <c r="AE976" s="48" t="str">
        <f t="shared" si="109"/>
        <v/>
      </c>
    </row>
    <row r="977" spans="1:31" ht="15" thickBot="1">
      <c r="A977" s="34">
        <v>975</v>
      </c>
      <c r="B977" s="34" t="s">
        <v>753</v>
      </c>
      <c r="C977" s="41" t="s">
        <v>1366</v>
      </c>
      <c r="D977" s="34" t="s">
        <v>1296</v>
      </c>
      <c r="E977" s="80">
        <f t="shared" si="110"/>
        <v>1.6199897397473384</v>
      </c>
      <c r="F977" s="35">
        <f t="shared" si="111"/>
        <v>63.764585131022066</v>
      </c>
      <c r="G977" s="42" cm="1">
        <f t="array" ref="G97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63.452851918399965</v>
      </c>
      <c r="H977" s="81" cm="1">
        <f t="array" ref="H9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1.6170354575349359</v>
      </c>
      <c r="I977" s="81" cm="1">
        <f t="array" ref="I9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1.6199897397473384</v>
      </c>
      <c r="J977" s="81" cm="1">
        <f t="array" ref="J9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1.6223091997997203</v>
      </c>
      <c r="K977" s="81" cm="1">
        <f t="array" ref="K9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1.6267585622720466</v>
      </c>
      <c r="L977" s="81" cm="1">
        <f t="array" ref="L9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1.6320419221288984</v>
      </c>
      <c r="M977" s="37">
        <f t="shared" si="112"/>
        <v>9.7231047371106882E-3</v>
      </c>
      <c r="N977" s="43">
        <f t="shared" si="113"/>
        <v>2.9542822124024593E-3</v>
      </c>
      <c r="O977" s="43">
        <f t="shared" si="114"/>
        <v>5.2833598568517992E-3</v>
      </c>
      <c r="P977" s="43">
        <f t="shared" si="115"/>
        <v>0.30384144697389653</v>
      </c>
      <c r="Q977" s="37">
        <f t="shared" si="116"/>
        <v>0.54338197517162601</v>
      </c>
      <c r="R977" s="37">
        <v>6.1999999999999998E-3</v>
      </c>
      <c r="S977" s="44" t="s">
        <v>1393</v>
      </c>
      <c r="T977" s="45">
        <v>0.86062149600000004</v>
      </c>
      <c r="U977" s="45">
        <v>0.72340866299999995</v>
      </c>
      <c r="V977" s="45">
        <v>0.91527877999999996</v>
      </c>
      <c r="W977" s="45">
        <v>1.4247194100000001E-2</v>
      </c>
      <c r="X977" s="45">
        <v>2.9322636400000001E-3</v>
      </c>
      <c r="Y977" s="45">
        <v>109.07459900000001</v>
      </c>
      <c r="Z977" s="36">
        <v>3.69</v>
      </c>
      <c r="AA977" s="38">
        <v>546</v>
      </c>
      <c r="AB977" s="38">
        <v>645</v>
      </c>
      <c r="AC977" s="39" t="s">
        <v>508</v>
      </c>
      <c r="AD977" s="49" t="s">
        <v>506</v>
      </c>
      <c r="AE977" s="48" t="str">
        <f t="shared" si="109"/>
        <v>For rapid annealing at 25°C/h</v>
      </c>
    </row>
    <row r="978" spans="1:31" ht="15" thickBot="1">
      <c r="A978" s="34">
        <v>976</v>
      </c>
      <c r="B978" s="34" t="s">
        <v>753</v>
      </c>
      <c r="C978" s="41" t="s">
        <v>1365</v>
      </c>
      <c r="D978" s="34" t="s">
        <v>766</v>
      </c>
      <c r="E978" s="80">
        <f t="shared" si="110"/>
        <v>1.594190254539122</v>
      </c>
      <c r="F978" s="35">
        <f t="shared" si="111"/>
        <v>67.296173289659464</v>
      </c>
      <c r="G978" s="42" cm="1">
        <f t="array" ref="G97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67.036727673842009</v>
      </c>
      <c r="H978" s="81" cm="1">
        <f t="array" ref="H9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1.591483532088251</v>
      </c>
      <c r="I978" s="81" cm="1">
        <f t="array" ref="I9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1.594190254539122</v>
      </c>
      <c r="J978" s="81" cm="1">
        <f t="array" ref="J9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1.5962975949314369</v>
      </c>
      <c r="K978" s="81" cm="1">
        <f t="array" ref="K9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1.6003130126588858</v>
      </c>
      <c r="L978" s="81" cm="1">
        <f t="array" ref="L9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1.6050516647061333</v>
      </c>
      <c r="M978" s="37">
        <f t="shared" si="112"/>
        <v>8.8294805706348178E-3</v>
      </c>
      <c r="N978" s="43">
        <f t="shared" si="113"/>
        <v>2.7067224508710019E-3</v>
      </c>
      <c r="O978" s="43">
        <f t="shared" si="114"/>
        <v>4.738652047247438E-3</v>
      </c>
      <c r="P978" s="43">
        <f t="shared" si="115"/>
        <v>0.30655511716884554</v>
      </c>
      <c r="Q978" s="37">
        <f t="shared" si="116"/>
        <v>0.53668525677572676</v>
      </c>
      <c r="R978" s="37">
        <v>5.7000000000000002E-3</v>
      </c>
      <c r="S978" s="44" t="s">
        <v>1393</v>
      </c>
      <c r="T978" s="45">
        <v>0.922289896</v>
      </c>
      <c r="U978" s="45">
        <v>0.58449287400000005</v>
      </c>
      <c r="V978" s="45">
        <v>1.0497079199999999</v>
      </c>
      <c r="W978" s="45">
        <v>1.2650338699999999E-2</v>
      </c>
      <c r="X978" s="45">
        <v>1.7661458899999999E-3</v>
      </c>
      <c r="Y978" s="45">
        <v>106.089243</v>
      </c>
      <c r="Z978" s="36">
        <v>3.37</v>
      </c>
      <c r="AA978" s="38">
        <v>519</v>
      </c>
      <c r="AB978" s="38">
        <v>604</v>
      </c>
      <c r="AC978" s="39" t="s">
        <v>508</v>
      </c>
      <c r="AD978" s="49" t="s">
        <v>506</v>
      </c>
      <c r="AE978" s="48" t="str">
        <f t="shared" si="109"/>
        <v/>
      </c>
    </row>
    <row r="979" spans="1:31" ht="15" thickBot="1">
      <c r="A979" s="34">
        <v>977</v>
      </c>
      <c r="B979" s="34" t="s">
        <v>753</v>
      </c>
      <c r="C979" s="41" t="s">
        <v>1365</v>
      </c>
      <c r="D979" s="34" t="s">
        <v>1297</v>
      </c>
      <c r="E979" s="80">
        <f t="shared" si="110"/>
        <v>1.5932697754438101</v>
      </c>
      <c r="F979" s="35">
        <f t="shared" si="111"/>
        <v>67.227207792306373</v>
      </c>
      <c r="G979" s="42" cm="1">
        <f t="array" ref="G97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66.967320681613032</v>
      </c>
      <c r="H979" s="81" cm="1">
        <f t="array" ref="H9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1.5905647416029589</v>
      </c>
      <c r="I979" s="81" cm="1">
        <f t="array" ref="I9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1.5932697754438101</v>
      </c>
      <c r="J979" s="81" cm="1">
        <f t="array" ref="J9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1.5953759880480818</v>
      </c>
      <c r="K979" s="81" cm="1">
        <f t="array" ref="K9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1.5993895878954998</v>
      </c>
      <c r="L979" s="81" cm="1">
        <f t="array" ref="L9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1.6041265237978426</v>
      </c>
      <c r="M979" s="37">
        <f t="shared" si="112"/>
        <v>8.8248462925408777E-3</v>
      </c>
      <c r="N979" s="43">
        <f t="shared" si="113"/>
        <v>2.7050338408511898E-3</v>
      </c>
      <c r="O979" s="43">
        <f t="shared" si="114"/>
        <v>4.7369359023428093E-3</v>
      </c>
      <c r="P979" s="43">
        <f t="shared" si="115"/>
        <v>0.30652475422009279</v>
      </c>
      <c r="Q979" s="37">
        <f t="shared" si="116"/>
        <v>0.53677262416985805</v>
      </c>
      <c r="R979" s="37">
        <v>5.4000000000000003E-3</v>
      </c>
      <c r="S979" s="44" t="s">
        <v>1393</v>
      </c>
      <c r="T979" s="45">
        <v>0.58037425799999998</v>
      </c>
      <c r="U979" s="45">
        <v>0.92350378799999999</v>
      </c>
      <c r="V979" s="45">
        <v>1.03923776</v>
      </c>
      <c r="W979" s="45">
        <v>1.7213118800000001E-3</v>
      </c>
      <c r="X979" s="45">
        <v>1.2654172199999999E-2</v>
      </c>
      <c r="Y979" s="45">
        <v>105.366349</v>
      </c>
      <c r="Z979" s="36">
        <v>3.37</v>
      </c>
      <c r="AA979" s="38">
        <v>519</v>
      </c>
      <c r="AB979" s="38">
        <v>604</v>
      </c>
      <c r="AC979" s="39" t="s">
        <v>508</v>
      </c>
      <c r="AD979" s="49" t="s">
        <v>506</v>
      </c>
      <c r="AE979" s="48" t="str">
        <f t="shared" si="109"/>
        <v>For rapid annealing at 25°C/h</v>
      </c>
    </row>
    <row r="980" spans="1:31" ht="15" thickBot="1">
      <c r="A980" s="34">
        <v>978</v>
      </c>
      <c r="B980" s="34" t="s">
        <v>753</v>
      </c>
      <c r="C980" s="41" t="s">
        <v>1365</v>
      </c>
      <c r="D980" s="34" t="s">
        <v>1298</v>
      </c>
      <c r="E980" s="80">
        <f t="shared" si="110"/>
        <v>1.5927999667494963</v>
      </c>
      <c r="F980" s="35">
        <f t="shared" si="111"/>
        <v>68.342833679957408</v>
      </c>
      <c r="G980" s="42" cm="1">
        <f t="array" ref="G98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67.968916463768068</v>
      </c>
      <c r="H980" s="81" cm="1">
        <f t="array" ref="H9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1.5901712006994453</v>
      </c>
      <c r="I980" s="81" cm="1">
        <f t="array" ref="I9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1.5927999667494963</v>
      </c>
      <c r="J980" s="81" cm="1">
        <f t="array" ref="J9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1.5948692982177803</v>
      </c>
      <c r="K980" s="81" cm="1">
        <f t="array" ref="K9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1.598845116234255</v>
      </c>
      <c r="L980" s="81" cm="1">
        <f t="array" ref="L9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1.6035701626604231</v>
      </c>
      <c r="M980" s="37">
        <f t="shared" si="112"/>
        <v>8.673915534809673E-3</v>
      </c>
      <c r="N980" s="43">
        <f t="shared" si="113"/>
        <v>2.6287660500510235E-3</v>
      </c>
      <c r="O980" s="43">
        <f t="shared" si="114"/>
        <v>4.7250464261681113E-3</v>
      </c>
      <c r="P980" s="43">
        <f t="shared" si="115"/>
        <v>0.30306567310938254</v>
      </c>
      <c r="Q980" s="37">
        <f t="shared" si="116"/>
        <v>0.54474203803412879</v>
      </c>
      <c r="R980" s="37">
        <v>1.54E-2</v>
      </c>
      <c r="S980" s="44" t="s">
        <v>1393</v>
      </c>
      <c r="T980" s="45">
        <v>0.25956293400000002</v>
      </c>
      <c r="U980" s="45">
        <v>1.2413196900000001</v>
      </c>
      <c r="V980" s="45">
        <v>0.78723739000000004</v>
      </c>
      <c r="W980" s="45">
        <v>1.9623186899999999E-2</v>
      </c>
      <c r="X980" s="45">
        <v>6.1966995900000002E-3</v>
      </c>
      <c r="Y980" s="45">
        <v>123.753444</v>
      </c>
      <c r="Z980" s="36">
        <v>4.29</v>
      </c>
      <c r="AA980" s="38">
        <v>565</v>
      </c>
      <c r="AB980" s="38">
        <v>630</v>
      </c>
      <c r="AC980" s="39" t="s">
        <v>508</v>
      </c>
      <c r="AD980" s="49" t="s">
        <v>506</v>
      </c>
      <c r="AE980" s="48" t="str">
        <f t="shared" si="109"/>
        <v/>
      </c>
    </row>
    <row r="981" spans="1:31" ht="15" thickBot="1">
      <c r="A981" s="34">
        <v>979</v>
      </c>
      <c r="B981" s="34" t="s">
        <v>753</v>
      </c>
      <c r="C981" s="41" t="s">
        <v>1365</v>
      </c>
      <c r="D981" s="34" t="s">
        <v>1299</v>
      </c>
      <c r="E981" s="80">
        <f t="shared" si="110"/>
        <v>1.5921599575325296</v>
      </c>
      <c r="F981" s="35">
        <f t="shared" si="111"/>
        <v>68.282320028913944</v>
      </c>
      <c r="G981" s="42" cm="1">
        <f t="array" ref="G98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67.907910026546389</v>
      </c>
      <c r="H981" s="81" cm="1">
        <f t="array" ref="H9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1.5895319843102496</v>
      </c>
      <c r="I981" s="81" cm="1">
        <f t="array" ref="I9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1.5921599575325296</v>
      </c>
      <c r="J981" s="81" cm="1">
        <f t="array" ref="J9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1.594228851521833</v>
      </c>
      <c r="K981" s="81" cm="1">
        <f t="array" ref="K9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1.5982042139193458</v>
      </c>
      <c r="L981" s="81" cm="1">
        <f t="array" ref="L9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1.6029291860819583</v>
      </c>
      <c r="M981" s="37">
        <f t="shared" si="112"/>
        <v>8.6722296090961937E-3</v>
      </c>
      <c r="N981" s="43">
        <f t="shared" si="113"/>
        <v>2.6279732222800334E-3</v>
      </c>
      <c r="O981" s="43">
        <f t="shared" si="114"/>
        <v>4.724972162612584E-3</v>
      </c>
      <c r="P981" s="43">
        <f t="shared" si="115"/>
        <v>0.30303316917757633</v>
      </c>
      <c r="Q981" s="37">
        <f t="shared" si="116"/>
        <v>0.54483937529244142</v>
      </c>
      <c r="R981" s="37">
        <v>1.54E-2</v>
      </c>
      <c r="S981" s="44" t="s">
        <v>1393</v>
      </c>
      <c r="T981" s="45">
        <v>0.35307371100000001</v>
      </c>
      <c r="U981" s="45">
        <v>1.14580426</v>
      </c>
      <c r="V981" s="45">
        <v>0.79575468100000002</v>
      </c>
      <c r="W981" s="45">
        <v>1.7871287699999999E-2</v>
      </c>
      <c r="X981" s="45">
        <v>5.6372379900000002E-3</v>
      </c>
      <c r="Y981" s="45">
        <v>125.20288499999999</v>
      </c>
      <c r="Z981" s="36">
        <v>4.29</v>
      </c>
      <c r="AA981" s="38">
        <v>565</v>
      </c>
      <c r="AB981" s="38">
        <v>630</v>
      </c>
      <c r="AC981" s="39" t="s">
        <v>508</v>
      </c>
      <c r="AD981" s="49" t="s">
        <v>506</v>
      </c>
      <c r="AE981" s="48" t="str">
        <f t="shared" si="109"/>
        <v>For rapid annealing at 25°C/h</v>
      </c>
    </row>
    <row r="982" spans="1:31" ht="15" thickBot="1">
      <c r="A982" s="34">
        <v>980</v>
      </c>
      <c r="B982" s="34" t="s">
        <v>753</v>
      </c>
      <c r="C982" s="41" t="s">
        <v>1365</v>
      </c>
      <c r="D982" s="34" t="s">
        <v>1300</v>
      </c>
      <c r="E982" s="80">
        <f t="shared" si="110"/>
        <v>1.5690701313502844</v>
      </c>
      <c r="F982" s="35">
        <f t="shared" si="111"/>
        <v>71.305098964156883</v>
      </c>
      <c r="G982" s="42" cm="1">
        <f t="array" ref="G98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70.906522190085312</v>
      </c>
      <c r="H982" s="81" cm="1">
        <f t="array" ref="H9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1.5666511680201358</v>
      </c>
      <c r="I982" s="81" cm="1">
        <f t="array" ref="I9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1.5690701313502844</v>
      </c>
      <c r="J982" s="81" cm="1">
        <f t="array" ref="J9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1.5709743033287182</v>
      </c>
      <c r="K982" s="81" cm="1">
        <f t="array" ref="K9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1.5746319455468081</v>
      </c>
      <c r="L982" s="81" cm="1">
        <f t="array" ref="L9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1.5789761489770404</v>
      </c>
      <c r="M982" s="37">
        <f t="shared" si="112"/>
        <v>7.9807775266722558E-3</v>
      </c>
      <c r="N982" s="43">
        <f t="shared" si="113"/>
        <v>2.4189633301485713E-3</v>
      </c>
      <c r="O982" s="43">
        <f t="shared" si="114"/>
        <v>4.3442034302323407E-3</v>
      </c>
      <c r="P982" s="43">
        <f t="shared" si="115"/>
        <v>0.30309870461421146</v>
      </c>
      <c r="Q982" s="37">
        <f t="shared" si="116"/>
        <v>0.54433335796089322</v>
      </c>
      <c r="R982" s="37">
        <v>0.02</v>
      </c>
      <c r="S982" s="44" t="s">
        <v>1393</v>
      </c>
      <c r="T982" s="45">
        <v>0.72540053199999999</v>
      </c>
      <c r="U982" s="45">
        <v>0.70376766099999999</v>
      </c>
      <c r="V982" s="45">
        <v>0.77228313999999998</v>
      </c>
      <c r="W982" s="45">
        <v>2.9698378300000001E-3</v>
      </c>
      <c r="X982" s="45">
        <v>1.3434264E-2</v>
      </c>
      <c r="Y982" s="45">
        <v>135.21171100000001</v>
      </c>
      <c r="Z982" s="36">
        <v>4.3600000000000003</v>
      </c>
      <c r="AA982" s="38">
        <v>497</v>
      </c>
      <c r="AB982" s="38">
        <v>563</v>
      </c>
      <c r="AC982" s="39" t="s">
        <v>508</v>
      </c>
      <c r="AD982" s="49" t="s">
        <v>506</v>
      </c>
      <c r="AE982" s="48" t="str">
        <f t="shared" si="109"/>
        <v/>
      </c>
    </row>
    <row r="983" spans="1:31" ht="15" thickBot="1">
      <c r="A983" s="34">
        <v>981</v>
      </c>
      <c r="B983" s="34" t="s">
        <v>753</v>
      </c>
      <c r="C983" s="41" t="s">
        <v>1365</v>
      </c>
      <c r="D983" s="34" t="s">
        <v>1301</v>
      </c>
      <c r="E983" s="80">
        <f t="shared" si="110"/>
        <v>1.5685399980454395</v>
      </c>
      <c r="F983" s="35">
        <f t="shared" si="111"/>
        <v>71.236210906350991</v>
      </c>
      <c r="G983" s="42" cm="1">
        <f t="array" ref="G98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70.838160148426695</v>
      </c>
      <c r="H983" s="81" cm="1">
        <f t="array" ref="H9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1.5661209742425013</v>
      </c>
      <c r="I983" s="81" cm="1">
        <f t="array" ref="I9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1.5685399980454395</v>
      </c>
      <c r="J983" s="81" cm="1">
        <f t="array" ref="J9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1.5704442357831041</v>
      </c>
      <c r="K983" s="81" cm="1">
        <f t="array" ref="K9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1.5741020275693389</v>
      </c>
      <c r="L983" s="81" cm="1">
        <f t="array" ref="L9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1.5784464193329995</v>
      </c>
      <c r="M983" s="37">
        <f t="shared" si="112"/>
        <v>7.9810533268376282E-3</v>
      </c>
      <c r="N983" s="43">
        <f t="shared" si="113"/>
        <v>2.419023802938236E-3</v>
      </c>
      <c r="O983" s="43">
        <f t="shared" si="114"/>
        <v>4.3443917636605267E-3</v>
      </c>
      <c r="P983" s="43">
        <f t="shared" si="115"/>
        <v>0.30309580751751947</v>
      </c>
      <c r="Q983" s="37">
        <f t="shared" si="116"/>
        <v>0.54433814507312983</v>
      </c>
      <c r="R983" s="37">
        <v>1.9900000000000001E-2</v>
      </c>
      <c r="S983" s="44" t="s">
        <v>1393</v>
      </c>
      <c r="T983" s="45">
        <v>0.71411270999999998</v>
      </c>
      <c r="U983" s="45">
        <v>0.71340079499999998</v>
      </c>
      <c r="V983" s="45">
        <v>0.76548066800000003</v>
      </c>
      <c r="W983" s="45">
        <v>1.33604289E-2</v>
      </c>
      <c r="X983" s="45">
        <v>2.8939122999999999E-3</v>
      </c>
      <c r="Y983" s="45">
        <v>134.12522300000001</v>
      </c>
      <c r="Z983" s="36">
        <v>4.3600000000000003</v>
      </c>
      <c r="AA983" s="38">
        <v>497</v>
      </c>
      <c r="AB983" s="38">
        <v>563</v>
      </c>
      <c r="AC983" s="39" t="s">
        <v>508</v>
      </c>
      <c r="AD983" s="49" t="s">
        <v>506</v>
      </c>
      <c r="AE983" s="48" t="str">
        <f t="shared" si="109"/>
        <v>For rapid annealing at 25°C/h</v>
      </c>
    </row>
    <row r="984" spans="1:31" ht="15" thickBot="1">
      <c r="A984" s="34">
        <v>982</v>
      </c>
      <c r="B984" s="34" t="s">
        <v>753</v>
      </c>
      <c r="C984" s="41" t="s">
        <v>1355</v>
      </c>
      <c r="D984" s="34" t="s">
        <v>674</v>
      </c>
      <c r="E984" s="80">
        <f t="shared" si="110"/>
        <v>1.5831300149268486</v>
      </c>
      <c r="F984" s="35">
        <f t="shared" si="111"/>
        <v>59.382385900611688</v>
      </c>
      <c r="G984" s="42" cm="1">
        <f t="array" ref="G98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59.141021571641652</v>
      </c>
      <c r="H984" s="81" cm="1">
        <f t="array" ref="H9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1.5801336552068024</v>
      </c>
      <c r="I984" s="81" cm="1">
        <f t="array" ref="I9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1.5831300149268486</v>
      </c>
      <c r="J984" s="81" cm="1">
        <f t="array" ref="J9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1.5854722712444267</v>
      </c>
      <c r="K984" s="81" cm="1">
        <f t="array" ref="K9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1.589953570760597</v>
      </c>
      <c r="L984" s="81" cm="1">
        <f t="array" ref="L9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1.5952687336726894</v>
      </c>
      <c r="M984" s="37">
        <f t="shared" si="112"/>
        <v>9.8199155537945781E-3</v>
      </c>
      <c r="N984" s="43">
        <f t="shared" si="113"/>
        <v>2.9963597200461933E-3</v>
      </c>
      <c r="O984" s="43">
        <f t="shared" si="114"/>
        <v>5.3151629120924415E-3</v>
      </c>
      <c r="P984" s="43">
        <f t="shared" si="115"/>
        <v>0.3051309050094988</v>
      </c>
      <c r="Q984" s="37">
        <f t="shared" si="116"/>
        <v>0.54126360689920339</v>
      </c>
      <c r="R984" s="37">
        <v>-3.3E-3</v>
      </c>
      <c r="S984" s="44" t="s">
        <v>1393</v>
      </c>
      <c r="T984" s="45">
        <v>0.40276579600000001</v>
      </c>
      <c r="U984" s="45">
        <v>1.0170688699999999</v>
      </c>
      <c r="V984" s="45">
        <v>1.0649549899999999</v>
      </c>
      <c r="W984" s="45">
        <v>1.9063470999999999E-2</v>
      </c>
      <c r="X984" s="45">
        <v>101.270923</v>
      </c>
      <c r="Y984" s="45">
        <v>5.9005208900000002E-3</v>
      </c>
      <c r="Z984" s="36">
        <v>2.96</v>
      </c>
      <c r="AA984" s="38">
        <v>501</v>
      </c>
      <c r="AB984" s="38">
        <v>604</v>
      </c>
      <c r="AC984" s="39" t="s">
        <v>508</v>
      </c>
      <c r="AD984" s="39" t="s">
        <v>1371</v>
      </c>
      <c r="AE984" s="48" t="str">
        <f t="shared" si="109"/>
        <v/>
      </c>
    </row>
    <row r="985" spans="1:31" ht="15" thickBot="1">
      <c r="A985" s="34">
        <v>983</v>
      </c>
      <c r="B985" s="34" t="s">
        <v>753</v>
      </c>
      <c r="C985" s="41" t="s">
        <v>1355</v>
      </c>
      <c r="D985" s="34" t="s">
        <v>1302</v>
      </c>
      <c r="E985" s="80">
        <f t="shared" si="110"/>
        <v>1.5824097346062362</v>
      </c>
      <c r="F985" s="35">
        <f t="shared" si="111"/>
        <v>59.308953466678332</v>
      </c>
      <c r="G985" s="42" cm="1">
        <f t="array" ref="G98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59.068205873638043</v>
      </c>
      <c r="H985" s="81" cm="1">
        <f t="array" ref="H9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1.5794133762317837</v>
      </c>
      <c r="I985" s="81" cm="1">
        <f t="array" ref="I9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1.5824097346062362</v>
      </c>
      <c r="J985" s="81" cm="1">
        <f t="array" ref="J9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1.5847520183755073</v>
      </c>
      <c r="K985" s="81" cm="1">
        <f t="array" ref="K9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1.5892333056111387</v>
      </c>
      <c r="L985" s="81" cm="1">
        <f t="array" ref="L9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1.5945482609119503</v>
      </c>
      <c r="M985" s="37">
        <f t="shared" si="112"/>
        <v>9.8199293793550524E-3</v>
      </c>
      <c r="N985" s="43">
        <f t="shared" si="113"/>
        <v>2.9963583744525568E-3</v>
      </c>
      <c r="O985" s="43">
        <f t="shared" si="114"/>
        <v>5.3149553008116079E-3</v>
      </c>
      <c r="P985" s="43">
        <f t="shared" si="115"/>
        <v>0.3051303383863388</v>
      </c>
      <c r="Q985" s="37">
        <f t="shared" si="116"/>
        <v>0.54124170301932262</v>
      </c>
      <c r="R985" s="37">
        <v>-3.5000000000000001E-3</v>
      </c>
      <c r="S985" s="44" t="s">
        <v>1393</v>
      </c>
      <c r="T985" s="45">
        <v>1.1044946</v>
      </c>
      <c r="U985" s="45">
        <v>0.36094124</v>
      </c>
      <c r="V985" s="45">
        <v>1.0120834299999999</v>
      </c>
      <c r="W985" s="45">
        <v>6.2094806999999997E-3</v>
      </c>
      <c r="X985" s="45">
        <v>1.96844329E-2</v>
      </c>
      <c r="Y985" s="45">
        <v>101.038646</v>
      </c>
      <c r="Z985" s="36">
        <v>2.96</v>
      </c>
      <c r="AA985" s="38">
        <v>501</v>
      </c>
      <c r="AB985" s="38">
        <v>604</v>
      </c>
      <c r="AC985" s="39" t="s">
        <v>508</v>
      </c>
      <c r="AD985" s="39" t="s">
        <v>1371</v>
      </c>
      <c r="AE985" s="48" t="str">
        <f t="shared" si="109"/>
        <v>For rapid annealing at 25°C/h</v>
      </c>
    </row>
    <row r="986" spans="1:31" ht="15" thickBot="1">
      <c r="A986" s="34">
        <v>984</v>
      </c>
      <c r="B986" s="34" t="s">
        <v>753</v>
      </c>
      <c r="C986" s="41" t="s">
        <v>1355</v>
      </c>
      <c r="D986" s="34" t="s">
        <v>1303</v>
      </c>
      <c r="E986" s="80">
        <f t="shared" si="110"/>
        <v>1.5831300330837785</v>
      </c>
      <c r="F986" s="35">
        <f t="shared" si="111"/>
        <v>59.540453298417894</v>
      </c>
      <c r="G986" s="42" cm="1">
        <f t="array" ref="G98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59.292088211449354</v>
      </c>
      <c r="H986" s="81" cm="1">
        <f t="array" ref="H9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1.5801435020586758</v>
      </c>
      <c r="I986" s="81" cm="1">
        <f t="array" ref="I9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1.5831300330837785</v>
      </c>
      <c r="J986" s="81" cm="1">
        <f t="array" ref="J9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1.5854656855692035</v>
      </c>
      <c r="K986" s="81" cm="1">
        <f t="array" ref="K9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1.5899373481041723</v>
      </c>
      <c r="L986" s="81" cm="1">
        <f t="array" ref="L9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1.5952461418894461</v>
      </c>
      <c r="M986" s="37">
        <f t="shared" si="112"/>
        <v>9.7938460454964904E-3</v>
      </c>
      <c r="N986" s="43">
        <f t="shared" si="113"/>
        <v>2.9865310251027122E-3</v>
      </c>
      <c r="O986" s="43">
        <f t="shared" si="114"/>
        <v>5.3087937852738243E-3</v>
      </c>
      <c r="P986" s="43">
        <f t="shared" si="115"/>
        <v>0.30493955196242956</v>
      </c>
      <c r="Q986" s="37">
        <f t="shared" si="116"/>
        <v>0.54205403685255704</v>
      </c>
      <c r="R986" s="37">
        <v>-2.2000000000000001E-3</v>
      </c>
      <c r="S986" s="44" t="s">
        <v>1393</v>
      </c>
      <c r="T986" s="45">
        <v>0.71202714300000003</v>
      </c>
      <c r="U986" s="45">
        <v>0.75593373500000005</v>
      </c>
      <c r="V986" s="45">
        <v>1.03451888</v>
      </c>
      <c r="W986" s="45">
        <v>2.7155477799999999E-3</v>
      </c>
      <c r="X986" s="45">
        <v>1.57695219E-2</v>
      </c>
      <c r="Y986" s="45">
        <v>102.738117</v>
      </c>
      <c r="Z986" s="36">
        <v>3.09</v>
      </c>
      <c r="AA986" s="38">
        <v>525</v>
      </c>
      <c r="AB986" s="38">
        <v>642</v>
      </c>
      <c r="AC986" s="39" t="s">
        <v>508</v>
      </c>
      <c r="AD986" s="39" t="s">
        <v>1371</v>
      </c>
      <c r="AE986" s="48" t="str">
        <f t="shared" si="109"/>
        <v/>
      </c>
    </row>
    <row r="987" spans="1:31" ht="15" thickBot="1">
      <c r="A987" s="34">
        <v>985</v>
      </c>
      <c r="B987" s="34" t="s">
        <v>753</v>
      </c>
      <c r="C987" s="41" t="s">
        <v>1355</v>
      </c>
      <c r="D987" s="34" t="s">
        <v>1304</v>
      </c>
      <c r="E987" s="80">
        <f t="shared" si="110"/>
        <v>1.5822899916322049</v>
      </c>
      <c r="F987" s="35">
        <f t="shared" si="111"/>
        <v>59.454332187448415</v>
      </c>
      <c r="G987" s="42" cm="1">
        <f t="array" ref="G98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59.206698151542511</v>
      </c>
      <c r="H987" s="81" cm="1">
        <f t="array" ref="H9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1.5793034403469879</v>
      </c>
      <c r="I987" s="81" cm="1">
        <f t="array" ref="I9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1.5822899916322049</v>
      </c>
      <c r="J987" s="81" cm="1">
        <f t="array" ref="J9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1.5846256724644767</v>
      </c>
      <c r="K987" s="81" cm="1">
        <f t="array" ref="K9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1.5890973438391061</v>
      </c>
      <c r="L987" s="81" cm="1">
        <f t="array" ref="L9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1.5944060327019984</v>
      </c>
      <c r="M987" s="37">
        <f t="shared" si="112"/>
        <v>9.7939034921181722E-3</v>
      </c>
      <c r="N987" s="43">
        <f t="shared" si="113"/>
        <v>2.9865512852169651E-3</v>
      </c>
      <c r="O987" s="43">
        <f t="shared" si="114"/>
        <v>5.3086888628923745E-3</v>
      </c>
      <c r="P987" s="43">
        <f t="shared" si="115"/>
        <v>0.30493983197000546</v>
      </c>
      <c r="Q987" s="37">
        <f t="shared" si="116"/>
        <v>0.54204014437804515</v>
      </c>
      <c r="R987" s="37">
        <v>-2.3999999999999998E-3</v>
      </c>
      <c r="S987" s="44" t="s">
        <v>1393</v>
      </c>
      <c r="T987" s="45">
        <v>0.72748973800000005</v>
      </c>
      <c r="U987" s="45">
        <v>0.73782029000000005</v>
      </c>
      <c r="V987" s="45">
        <v>1.06057574</v>
      </c>
      <c r="W987" s="45">
        <v>1.5982471500000001E-2</v>
      </c>
      <c r="X987" s="45">
        <v>3.0148110800000002E-3</v>
      </c>
      <c r="Y987" s="45">
        <v>105.478633</v>
      </c>
      <c r="Z987" s="36">
        <v>3.09</v>
      </c>
      <c r="AA987" s="38">
        <v>525</v>
      </c>
      <c r="AB987" s="38">
        <v>642</v>
      </c>
      <c r="AC987" s="39" t="s">
        <v>508</v>
      </c>
      <c r="AD987" s="39" t="s">
        <v>1371</v>
      </c>
      <c r="AE987" s="48" t="str">
        <f t="shared" si="109"/>
        <v>For rapid annealing at 25°C/h</v>
      </c>
    </row>
    <row r="988" spans="1:31" ht="15" thickBot="1">
      <c r="A988" s="34">
        <v>986</v>
      </c>
      <c r="B988" s="34" t="s">
        <v>753</v>
      </c>
      <c r="C988" s="41" t="s">
        <v>1355</v>
      </c>
      <c r="D988" s="34" t="s">
        <v>1305</v>
      </c>
      <c r="E988" s="80">
        <f t="shared" si="110"/>
        <v>1.5870002394041642</v>
      </c>
      <c r="F988" s="35">
        <f t="shared" si="111"/>
        <v>59.601022790653943</v>
      </c>
      <c r="G988" s="42" cm="1">
        <f t="array" ref="G98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59.362383405317239</v>
      </c>
      <c r="H988" s="81" cm="1">
        <f t="array" ref="H9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1.5839933970927864</v>
      </c>
      <c r="I988" s="81" cm="1">
        <f t="array" ref="I9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1.5870002394041642</v>
      </c>
      <c r="J988" s="81" cm="1">
        <f t="array" ref="J9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1.5893494238012276</v>
      </c>
      <c r="K988" s="81" cm="1">
        <f t="array" ref="K9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1.5938422253833004</v>
      </c>
      <c r="L988" s="81" cm="1">
        <f t="array" ref="L9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1.5991693038898762</v>
      </c>
      <c r="M988" s="37">
        <f t="shared" si="112"/>
        <v>9.8488282905140334E-3</v>
      </c>
      <c r="N988" s="43">
        <f t="shared" si="113"/>
        <v>3.006842311377822E-3</v>
      </c>
      <c r="O988" s="43">
        <f t="shared" si="114"/>
        <v>5.3270785065757664E-3</v>
      </c>
      <c r="P988" s="43">
        <f t="shared" si="115"/>
        <v>0.30529949580640803</v>
      </c>
      <c r="Q988" s="37">
        <f t="shared" si="116"/>
        <v>0.54088449401707805</v>
      </c>
      <c r="R988" s="37">
        <v>-3.3E-3</v>
      </c>
      <c r="S988" s="44" t="s">
        <v>1393</v>
      </c>
      <c r="T988" s="45">
        <v>0.51252189400000003</v>
      </c>
      <c r="U988" s="45">
        <v>0.96740215799999996</v>
      </c>
      <c r="V988" s="45">
        <v>1.12488967</v>
      </c>
      <c r="W988" s="45">
        <v>1.76943616E-2</v>
      </c>
      <c r="X988" s="45">
        <v>5.10795325E-3</v>
      </c>
      <c r="Y988" s="45">
        <v>109.10377</v>
      </c>
      <c r="Z988" s="36">
        <v>2.99</v>
      </c>
      <c r="AA988" s="38">
        <v>509</v>
      </c>
      <c r="AB988" s="38">
        <v>614</v>
      </c>
      <c r="AC988" s="39" t="s">
        <v>508</v>
      </c>
      <c r="AD988" s="49" t="s">
        <v>506</v>
      </c>
      <c r="AE988" s="48" t="str">
        <f t="shared" si="109"/>
        <v/>
      </c>
    </row>
    <row r="989" spans="1:31" ht="15" thickBot="1">
      <c r="A989" s="34">
        <v>987</v>
      </c>
      <c r="B989" s="34" t="s">
        <v>753</v>
      </c>
      <c r="C989" s="41" t="s">
        <v>1355</v>
      </c>
      <c r="D989" s="34" t="s">
        <v>1306</v>
      </c>
      <c r="E989" s="80">
        <f t="shared" si="110"/>
        <v>1.5862500375157245</v>
      </c>
      <c r="F989" s="35">
        <f t="shared" si="111"/>
        <v>59.525569382495775</v>
      </c>
      <c r="G989" s="42" cm="1">
        <f t="array" ref="G98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59.287392959023805</v>
      </c>
      <c r="H989" s="81" cm="1">
        <f t="array" ref="H9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1.5832432792793854</v>
      </c>
      <c r="I989" s="81" cm="1">
        <f t="array" ref="I9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1.5862500375157245</v>
      </c>
      <c r="J989" s="81" cm="1">
        <f t="array" ref="J9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1.5885991856366766</v>
      </c>
      <c r="K989" s="81" cm="1">
        <f t="array" ref="K9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1.5930919887263901</v>
      </c>
      <c r="L989" s="81" cm="1">
        <f t="array" ref="L9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1.5984191671405203</v>
      </c>
      <c r="M989" s="37">
        <f t="shared" si="112"/>
        <v>9.8487094470047776E-3</v>
      </c>
      <c r="N989" s="43">
        <f t="shared" si="113"/>
        <v>3.0067582363391132E-3</v>
      </c>
      <c r="O989" s="43">
        <f t="shared" si="114"/>
        <v>5.3271784141302181E-3</v>
      </c>
      <c r="P989" s="43">
        <f t="shared" si="115"/>
        <v>0.30529464317312544</v>
      </c>
      <c r="Q989" s="37">
        <f t="shared" si="116"/>
        <v>0.54090116505064911</v>
      </c>
      <c r="R989" s="37">
        <v>-3.5000000000000001E-3</v>
      </c>
      <c r="S989" s="44" t="s">
        <v>1393</v>
      </c>
      <c r="T989" s="45">
        <v>0.53024848800000002</v>
      </c>
      <c r="U989" s="45">
        <v>1.1253733500000001</v>
      </c>
      <c r="V989" s="45">
        <v>0.94731734099999998</v>
      </c>
      <c r="W989" s="45">
        <v>1.75027403E-2</v>
      </c>
      <c r="X989" s="45">
        <v>109.192004</v>
      </c>
      <c r="Y989" s="45">
        <v>4.9830649700000002E-3</v>
      </c>
      <c r="Z989" s="36">
        <v>2.99</v>
      </c>
      <c r="AA989" s="38">
        <v>509</v>
      </c>
      <c r="AB989" s="38">
        <v>614</v>
      </c>
      <c r="AC989" s="39" t="s">
        <v>508</v>
      </c>
      <c r="AD989" s="49" t="s">
        <v>506</v>
      </c>
      <c r="AE989" s="48" t="str">
        <f t="shared" si="109"/>
        <v>For rapid annealing at 25°C/h</v>
      </c>
    </row>
    <row r="990" spans="1:31" ht="15" thickBot="1">
      <c r="A990" s="34">
        <v>988</v>
      </c>
      <c r="B990" s="34" t="s">
        <v>753</v>
      </c>
      <c r="C990" s="41" t="s">
        <v>1355</v>
      </c>
      <c r="D990" s="34" t="s">
        <v>675</v>
      </c>
      <c r="E990" s="80">
        <f t="shared" si="110"/>
        <v>1.5891301679740151</v>
      </c>
      <c r="F990" s="35">
        <f t="shared" si="111"/>
        <v>61.153616798613854</v>
      </c>
      <c r="G990" s="42" cm="1">
        <f t="array" ref="G99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60.949799338371939</v>
      </c>
      <c r="H990" s="81" cm="1">
        <f t="array" ref="H9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1.5861729462133494</v>
      </c>
      <c r="I990" s="81" cm="1">
        <f t="array" ref="I9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1.5891301679740151</v>
      </c>
      <c r="J990" s="81" cm="1">
        <f t="array" ref="J9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1.5914291732489554</v>
      </c>
      <c r="K990" s="81" cm="1">
        <f t="array" ref="K9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1.5958065574176399</v>
      </c>
      <c r="L990" s="81" cm="1">
        <f t="array" ref="L9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1.6009727400241931</v>
      </c>
      <c r="M990" s="37">
        <f t="shared" si="112"/>
        <v>9.6336112042905153E-3</v>
      </c>
      <c r="N990" s="43">
        <f t="shared" si="113"/>
        <v>2.957221760665707E-3</v>
      </c>
      <c r="O990" s="43">
        <f t="shared" si="114"/>
        <v>5.1661826065532157E-3</v>
      </c>
      <c r="P990" s="43">
        <f t="shared" si="115"/>
        <v>0.30696918299429099</v>
      </c>
      <c r="Q990" s="37">
        <f t="shared" si="116"/>
        <v>0.53626646301153991</v>
      </c>
      <c r="R990" s="37">
        <v>-5.3E-3</v>
      </c>
      <c r="S990" s="44" t="s">
        <v>1393</v>
      </c>
      <c r="T990" s="45">
        <v>1.3393681099999999</v>
      </c>
      <c r="U990" s="45">
        <v>0.14869026799999999</v>
      </c>
      <c r="V990" s="45">
        <v>1.0095403300000001</v>
      </c>
      <c r="W990" s="45">
        <v>7.6061230899999999E-3</v>
      </c>
      <c r="X990" s="45">
        <v>2.3844464400000001E-2</v>
      </c>
      <c r="Y990" s="45">
        <v>89.041978700000001</v>
      </c>
      <c r="Z990" s="36">
        <v>2.83</v>
      </c>
      <c r="AA990" s="38">
        <v>511</v>
      </c>
      <c r="AB990" s="38">
        <v>605</v>
      </c>
      <c r="AC990" s="39" t="s">
        <v>508</v>
      </c>
      <c r="AD990" s="39" t="s">
        <v>1371</v>
      </c>
      <c r="AE990" s="48" t="str">
        <f t="shared" si="109"/>
        <v/>
      </c>
    </row>
    <row r="991" spans="1:31" ht="15" thickBot="1">
      <c r="A991" s="34">
        <v>989</v>
      </c>
      <c r="B991" s="34" t="s">
        <v>753</v>
      </c>
      <c r="C991" s="41" t="s">
        <v>1355</v>
      </c>
      <c r="D991" s="34" t="s">
        <v>1307</v>
      </c>
      <c r="E991" s="80">
        <f t="shared" si="110"/>
        <v>1.5883301417711229</v>
      </c>
      <c r="F991" s="35">
        <f t="shared" si="111"/>
        <v>61.285079632022523</v>
      </c>
      <c r="G991" s="42" cm="1">
        <f t="array" ref="G99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61.072830341215898</v>
      </c>
      <c r="H991" s="81" cm="1">
        <f t="array" ref="H9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1.5853855166667199</v>
      </c>
      <c r="I991" s="81" cm="1">
        <f t="array" ref="I9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1.5883301417711229</v>
      </c>
      <c r="J991" s="81" cm="1">
        <f t="array" ref="J9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1.5906204920570814</v>
      </c>
      <c r="K991" s="81" cm="1">
        <f t="array" ref="K9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1.5949854086029573</v>
      </c>
      <c r="L991" s="81" cm="1">
        <f t="array" ref="L9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1.6001441654342077</v>
      </c>
      <c r="M991" s="37">
        <f t="shared" si="112"/>
        <v>9.599891936237448E-3</v>
      </c>
      <c r="N991" s="43">
        <f t="shared" si="113"/>
        <v>2.9446251044029648E-3</v>
      </c>
      <c r="O991" s="43">
        <f t="shared" si="114"/>
        <v>5.1587568312503329E-3</v>
      </c>
      <c r="P991" s="43">
        <f t="shared" si="115"/>
        <v>0.30673523451734519</v>
      </c>
      <c r="Q991" s="37">
        <f t="shared" si="116"/>
        <v>0.53737655231067527</v>
      </c>
      <c r="R991" s="37">
        <v>-3.8999999999999998E-3</v>
      </c>
      <c r="S991" s="44" t="s">
        <v>1393</v>
      </c>
      <c r="T991" s="45">
        <v>1.24347604</v>
      </c>
      <c r="U991" s="45">
        <v>0.91879849099999999</v>
      </c>
      <c r="V991" s="45">
        <v>0.56718004200000005</v>
      </c>
      <c r="W991" s="45">
        <v>108.031442</v>
      </c>
      <c r="X991" s="45">
        <v>1.3952040400000001E-2</v>
      </c>
      <c r="Y991" s="45">
        <v>1.27620015E-3</v>
      </c>
      <c r="Z991" s="36">
        <v>2.83</v>
      </c>
      <c r="AA991" s="38">
        <v>511</v>
      </c>
      <c r="AB991" s="38">
        <v>605</v>
      </c>
      <c r="AC991" s="39" t="s">
        <v>508</v>
      </c>
      <c r="AD991" s="39" t="s">
        <v>1371</v>
      </c>
      <c r="AE991" s="48" t="str">
        <f t="shared" si="109"/>
        <v>For rapid annealing at 25°C/h</v>
      </c>
    </row>
    <row r="992" spans="1:31" ht="15" thickBot="1">
      <c r="A992" s="34">
        <v>990</v>
      </c>
      <c r="B992" s="34" t="s">
        <v>753</v>
      </c>
      <c r="C992" s="41" t="s">
        <v>1355</v>
      </c>
      <c r="D992" s="34" t="s">
        <v>1308</v>
      </c>
      <c r="E992" s="80">
        <f t="shared" si="110"/>
        <v>1.5891300118243694</v>
      </c>
      <c r="F992" s="35">
        <f t="shared" si="111"/>
        <v>61.102288856503925</v>
      </c>
      <c r="G992" s="42" cm="1">
        <f t="array" ref="G99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60.893346065328387</v>
      </c>
      <c r="H992" s="81" cm="1">
        <f t="array" ref="H9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1.5861717603405976</v>
      </c>
      <c r="I992" s="81" cm="1">
        <f t="array" ref="I9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1.5891300118243694</v>
      </c>
      <c r="J992" s="81" cm="1">
        <f t="array" ref="J9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1.5914302227407247</v>
      </c>
      <c r="K992" s="81" cm="1">
        <f t="array" ref="K9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1.5958134615411519</v>
      </c>
      <c r="L992" s="81" cm="1">
        <f t="array" ref="L9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1.6009944494148771</v>
      </c>
      <c r="M992" s="37">
        <f t="shared" si="112"/>
        <v>9.6417012005542979E-3</v>
      </c>
      <c r="N992" s="43">
        <f t="shared" si="113"/>
        <v>2.9582514837718232E-3</v>
      </c>
      <c r="O992" s="43">
        <f t="shared" si="114"/>
        <v>5.1809878737252291E-3</v>
      </c>
      <c r="P992" s="43">
        <f t="shared" si="115"/>
        <v>0.30681841536447474</v>
      </c>
      <c r="Q992" s="37">
        <f t="shared" si="116"/>
        <v>0.53735204669352088</v>
      </c>
      <c r="R992" s="37">
        <v>-4.4000000000000003E-3</v>
      </c>
      <c r="S992" s="44" t="s">
        <v>1393</v>
      </c>
      <c r="T992" s="45">
        <v>0.60189494600000004</v>
      </c>
      <c r="U992" s="45">
        <v>0.88657901800000005</v>
      </c>
      <c r="V992" s="45">
        <v>1.1237282399999999</v>
      </c>
      <c r="W992" s="45">
        <v>1.4957461000000001E-3</v>
      </c>
      <c r="X992" s="45">
        <v>1.42973367E-2</v>
      </c>
      <c r="Y992" s="45">
        <v>95.849665099999996</v>
      </c>
      <c r="Z992" s="36">
        <v>3.01</v>
      </c>
      <c r="AA992" s="38">
        <v>538</v>
      </c>
      <c r="AB992" s="38">
        <v>641</v>
      </c>
      <c r="AC992" s="39" t="s">
        <v>508</v>
      </c>
      <c r="AD992" s="39" t="s">
        <v>1371</v>
      </c>
      <c r="AE992" s="48" t="str">
        <f t="shared" ref="AE992:AE1023" si="117">IF(RIGHT(D992,3)="-25","For rapid annealing at 25°C/h","")</f>
        <v/>
      </c>
    </row>
    <row r="993" spans="1:31" ht="15" thickBot="1">
      <c r="A993" s="34">
        <v>991</v>
      </c>
      <c r="B993" s="34" t="s">
        <v>753</v>
      </c>
      <c r="C993" s="41" t="s">
        <v>1355</v>
      </c>
      <c r="D993" s="34" t="s">
        <v>1309</v>
      </c>
      <c r="E993" s="80">
        <f t="shared" si="110"/>
        <v>1.5882799972189363</v>
      </c>
      <c r="F993" s="35">
        <f t="shared" si="111"/>
        <v>61.013198334758897</v>
      </c>
      <c r="G993" s="42" cm="1">
        <f t="array" ref="G99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60.804935759678145</v>
      </c>
      <c r="H993" s="81" cm="1">
        <f t="array" ref="H9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1.5853216914172934</v>
      </c>
      <c r="I993" s="81" cm="1">
        <f t="array" ref="I9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1.5882799972189363</v>
      </c>
      <c r="J993" s="81" cm="1">
        <f t="array" ref="J9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1.5905802453783251</v>
      </c>
      <c r="K993" s="81" cm="1">
        <f t="array" ref="K9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1.5949635396284172</v>
      </c>
      <c r="L993" s="81" cm="1">
        <f t="array" ref="L9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1.6001445639587586</v>
      </c>
      <c r="M993" s="37">
        <f t="shared" si="112"/>
        <v>9.6418482111237935E-3</v>
      </c>
      <c r="N993" s="43">
        <f t="shared" si="113"/>
        <v>2.9583058016429131E-3</v>
      </c>
      <c r="O993" s="43">
        <f t="shared" si="114"/>
        <v>5.1810243303413994E-3</v>
      </c>
      <c r="P993" s="43">
        <f t="shared" si="115"/>
        <v>0.30681937081626298</v>
      </c>
      <c r="Q993" s="37">
        <f t="shared" si="116"/>
        <v>0.53734763469560276</v>
      </c>
      <c r="R993" s="37">
        <v>-4.5999999999999999E-3</v>
      </c>
      <c r="S993" s="44" t="s">
        <v>1393</v>
      </c>
      <c r="T993" s="45">
        <v>0.60012568600000005</v>
      </c>
      <c r="U993" s="45">
        <v>0.88566597899999999</v>
      </c>
      <c r="V993" s="45">
        <v>1.12367562</v>
      </c>
      <c r="W993" s="45">
        <v>1.5082360299999999E-3</v>
      </c>
      <c r="X993" s="45">
        <v>1.42989412E-2</v>
      </c>
      <c r="Y993" s="45">
        <v>95.897360699999993</v>
      </c>
      <c r="Z993" s="36">
        <v>3.01</v>
      </c>
      <c r="AA993" s="38">
        <v>538</v>
      </c>
      <c r="AB993" s="38">
        <v>641</v>
      </c>
      <c r="AC993" s="39" t="s">
        <v>508</v>
      </c>
      <c r="AD993" s="39" t="s">
        <v>1371</v>
      </c>
      <c r="AE993" s="48" t="str">
        <f t="shared" si="117"/>
        <v>For rapid annealing at 25°C/h</v>
      </c>
    </row>
    <row r="994" spans="1:31" ht="15" thickBot="1">
      <c r="A994" s="34">
        <v>992</v>
      </c>
      <c r="B994" s="34" t="s">
        <v>753</v>
      </c>
      <c r="C994" s="41" t="s">
        <v>1355</v>
      </c>
      <c r="D994" s="34" t="s">
        <v>747</v>
      </c>
      <c r="E994" s="80">
        <f t="shared" si="110"/>
        <v>1.591699942372081</v>
      </c>
      <c r="F994" s="35">
        <f t="shared" si="111"/>
        <v>60.701859097617962</v>
      </c>
      <c r="G994" s="42" cm="1">
        <f t="array" ref="G99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60.487574865766568</v>
      </c>
      <c r="H994" s="81" cm="1">
        <f t="array" ref="H9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1.5887122455621328</v>
      </c>
      <c r="I994" s="81" cm="1">
        <f t="array" ref="I9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1.591699942372081</v>
      </c>
      <c r="J994" s="81" cm="1">
        <f t="array" ref="J9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1.5940254687168571</v>
      </c>
      <c r="K994" s="81" cm="1">
        <f t="array" ref="K9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1.5984598867574467</v>
      </c>
      <c r="L994" s="81" cm="1">
        <f t="array" ref="L9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1.6037033710794342</v>
      </c>
      <c r="M994" s="37">
        <f t="shared" si="112"/>
        <v>9.7476411953139053E-3</v>
      </c>
      <c r="N994" s="43">
        <f t="shared" si="113"/>
        <v>2.9876968099482593E-3</v>
      </c>
      <c r="O994" s="43">
        <f t="shared" si="114"/>
        <v>5.2434843219875127E-3</v>
      </c>
      <c r="P994" s="43">
        <f t="shared" si="115"/>
        <v>0.3065045942996516</v>
      </c>
      <c r="Q994" s="37">
        <f t="shared" si="116"/>
        <v>0.53792340289548946</v>
      </c>
      <c r="R994" s="37">
        <v>-4.4999999999999997E-3</v>
      </c>
      <c r="S994" s="44" t="s">
        <v>1393</v>
      </c>
      <c r="T994" s="45">
        <v>0.63850612799999995</v>
      </c>
      <c r="U994" s="45">
        <v>0.85738755799999999</v>
      </c>
      <c r="V994" s="45">
        <v>1.2366405700000001</v>
      </c>
      <c r="W994" s="45">
        <v>2.1667407200000001E-3</v>
      </c>
      <c r="X994" s="45">
        <v>1.4486062100000001E-2</v>
      </c>
      <c r="Y994" s="45">
        <v>107.881152</v>
      </c>
      <c r="Z994" s="36">
        <v>2.84</v>
      </c>
      <c r="AA994" s="38">
        <v>506</v>
      </c>
      <c r="AB994" s="38">
        <v>601</v>
      </c>
      <c r="AC994" s="39" t="s">
        <v>508</v>
      </c>
      <c r="AD994" s="49" t="s">
        <v>506</v>
      </c>
      <c r="AE994" s="48" t="str">
        <f t="shared" si="117"/>
        <v/>
      </c>
    </row>
    <row r="995" spans="1:31" ht="15" thickBot="1">
      <c r="A995" s="34">
        <v>993</v>
      </c>
      <c r="B995" s="34" t="s">
        <v>753</v>
      </c>
      <c r="C995" s="41" t="s">
        <v>1355</v>
      </c>
      <c r="D995" s="34" t="s">
        <v>1310</v>
      </c>
      <c r="E995" s="80">
        <f t="shared" si="110"/>
        <v>1.5908999151118457</v>
      </c>
      <c r="F995" s="35">
        <f t="shared" si="111"/>
        <v>60.619227604232385</v>
      </c>
      <c r="G995" s="42" cm="1">
        <f t="array" ref="G99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60.405534295214331</v>
      </c>
      <c r="H995" s="81" cm="1">
        <f t="array" ref="H9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1.5879121994419734</v>
      </c>
      <c r="I995" s="81" cm="1">
        <f t="array" ref="I9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1.5908999151118457</v>
      </c>
      <c r="J995" s="81" cm="1">
        <f t="array" ref="J9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1.5932254628940385</v>
      </c>
      <c r="K995" s="81" cm="1">
        <f t="array" ref="K9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1.5976599302934729</v>
      </c>
      <c r="L995" s="81" cm="1">
        <f t="array" ref="L9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1.6029034784709837</v>
      </c>
      <c r="M995" s="37">
        <f t="shared" si="112"/>
        <v>9.747730851499492E-3</v>
      </c>
      <c r="N995" s="43">
        <f t="shared" si="113"/>
        <v>2.9877156698723262E-3</v>
      </c>
      <c r="O995" s="43">
        <f t="shared" si="114"/>
        <v>5.2435481775108261E-3</v>
      </c>
      <c r="P995" s="43">
        <f t="shared" si="115"/>
        <v>0.30650370998012594</v>
      </c>
      <c r="Q995" s="37">
        <f t="shared" si="116"/>
        <v>0.537925006075051</v>
      </c>
      <c r="R995" s="37">
        <v>-4.5999999999999999E-3</v>
      </c>
      <c r="S995" s="44" t="s">
        <v>1393</v>
      </c>
      <c r="T995" s="45">
        <v>0.63644363100000001</v>
      </c>
      <c r="U995" s="45">
        <v>0.85692155699999994</v>
      </c>
      <c r="V995" s="45">
        <v>1.2324771699999999</v>
      </c>
      <c r="W995" s="45">
        <v>2.1737174000000001E-3</v>
      </c>
      <c r="X995" s="45">
        <v>1.4486165299999999E-2</v>
      </c>
      <c r="Y995" s="45">
        <v>107.585666</v>
      </c>
      <c r="Z995" s="36">
        <v>2.84</v>
      </c>
      <c r="AA995" s="38">
        <v>506</v>
      </c>
      <c r="AB995" s="38">
        <v>601</v>
      </c>
      <c r="AC995" s="39" t="s">
        <v>508</v>
      </c>
      <c r="AD995" s="49" t="s">
        <v>506</v>
      </c>
      <c r="AE995" s="48" t="str">
        <f t="shared" si="117"/>
        <v>For rapid annealing at 25°C/h</v>
      </c>
    </row>
    <row r="996" spans="1:31" ht="15" thickBot="1">
      <c r="A996" s="34">
        <v>994</v>
      </c>
      <c r="B996" s="34" t="s">
        <v>753</v>
      </c>
      <c r="C996" s="41" t="s">
        <v>1355</v>
      </c>
      <c r="D996" s="34" t="s">
        <v>1311</v>
      </c>
      <c r="E996" s="80">
        <f t="shared" si="110"/>
        <v>1.6244600101019442</v>
      </c>
      <c r="F996" s="35">
        <f t="shared" si="111"/>
        <v>58.208608544632874</v>
      </c>
      <c r="G996" s="42" cm="1">
        <f t="array" ref="G99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57.995811965445903</v>
      </c>
      <c r="H996" s="81" cm="1">
        <f t="array" ref="H9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1.6211782987218455</v>
      </c>
      <c r="I996" s="81" cm="1">
        <f t="array" ref="I9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1.6244600101019442</v>
      </c>
      <c r="J996" s="81" cm="1">
        <f t="array" ref="J9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1.627018512585461</v>
      </c>
      <c r="K996" s="81" cm="1">
        <f t="array" ref="K9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1.6319062653528142</v>
      </c>
      <c r="L996" s="81" cm="1">
        <f t="array" ref="L9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1.6376999639115515</v>
      </c>
      <c r="M996" s="37">
        <f t="shared" si="112"/>
        <v>1.0727966630968755E-2</v>
      </c>
      <c r="N996" s="43">
        <f t="shared" si="113"/>
        <v>3.2817113800986952E-3</v>
      </c>
      <c r="O996" s="43">
        <f t="shared" si="114"/>
        <v>5.7936985587372369E-3</v>
      </c>
      <c r="P996" s="43">
        <f t="shared" si="115"/>
        <v>0.30590245970986496</v>
      </c>
      <c r="Q996" s="37">
        <f t="shared" si="116"/>
        <v>0.54005560960754551</v>
      </c>
      <c r="R996" s="37">
        <v>-6.4999999999999997E-3</v>
      </c>
      <c r="S996" s="44" t="s">
        <v>1393</v>
      </c>
      <c r="T996" s="45">
        <v>1.3151491500000001</v>
      </c>
      <c r="U996" s="45">
        <v>1.08358135</v>
      </c>
      <c r="V996" s="45">
        <v>0.513108754</v>
      </c>
      <c r="W996" s="45">
        <v>103.989436</v>
      </c>
      <c r="X996" s="45">
        <v>1.43813024E-2</v>
      </c>
      <c r="Y996" s="45">
        <v>-3.6392390999999999E-4</v>
      </c>
      <c r="Z996" s="36">
        <v>2.99</v>
      </c>
      <c r="AA996" s="38">
        <v>541</v>
      </c>
      <c r="AB996" s="38">
        <v>636</v>
      </c>
      <c r="AC996" s="39" t="s">
        <v>508</v>
      </c>
      <c r="AD996" s="49" t="s">
        <v>506</v>
      </c>
      <c r="AE996" s="48" t="str">
        <f t="shared" si="117"/>
        <v/>
      </c>
    </row>
    <row r="997" spans="1:31" ht="15" thickBot="1">
      <c r="A997" s="34">
        <v>995</v>
      </c>
      <c r="B997" s="34" t="s">
        <v>753</v>
      </c>
      <c r="C997" s="41" t="s">
        <v>1355</v>
      </c>
      <c r="D997" s="34" t="s">
        <v>1312</v>
      </c>
      <c r="E997" s="80">
        <f t="shared" si="110"/>
        <v>1.6234600018056193</v>
      </c>
      <c r="F997" s="35">
        <f t="shared" si="111"/>
        <v>58.115761410190359</v>
      </c>
      <c r="G997" s="42" cm="1">
        <f t="array" ref="G99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57.903638266980991</v>
      </c>
      <c r="H997" s="81" cm="1">
        <f t="array" ref="H9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1.6201783279127173</v>
      </c>
      <c r="I997" s="81" cm="1">
        <f t="array" ref="I9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1.6234600018056193</v>
      </c>
      <c r="J997" s="81" cm="1">
        <f t="array" ref="J9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1.6260184852292243</v>
      </c>
      <c r="K997" s="81" cm="1">
        <f t="array" ref="K9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1.6309062266217291</v>
      </c>
      <c r="L997" s="81" cm="1">
        <f t="array" ref="L9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1.6366999460544127</v>
      </c>
      <c r="M997" s="37">
        <f t="shared" si="112"/>
        <v>1.0727898709011807E-2</v>
      </c>
      <c r="N997" s="43">
        <f t="shared" si="113"/>
        <v>3.2816738929020151E-3</v>
      </c>
      <c r="O997" s="43">
        <f t="shared" si="114"/>
        <v>5.7937194326835861E-3</v>
      </c>
      <c r="P997" s="43">
        <f t="shared" si="115"/>
        <v>0.30590090211658089</v>
      </c>
      <c r="Q997" s="37">
        <f t="shared" si="116"/>
        <v>0.54006097464517078</v>
      </c>
      <c r="R997" s="37">
        <v>-6.6E-3</v>
      </c>
      <c r="S997" s="44" t="s">
        <v>1393</v>
      </c>
      <c r="T997" s="45">
        <v>1.08777542</v>
      </c>
      <c r="U997" s="45">
        <v>0.50569464500000005</v>
      </c>
      <c r="V997" s="45">
        <v>1.31533152</v>
      </c>
      <c r="W997" s="45">
        <v>1.4353198100000001E-2</v>
      </c>
      <c r="X997" s="45">
        <v>-4.4886256099999999E-4</v>
      </c>
      <c r="Y997" s="45">
        <v>104.063333</v>
      </c>
      <c r="Z997" s="36">
        <v>2.99</v>
      </c>
      <c r="AA997" s="38">
        <v>541</v>
      </c>
      <c r="AB997" s="38">
        <v>636</v>
      </c>
      <c r="AC997" s="39" t="s">
        <v>508</v>
      </c>
      <c r="AD997" s="49" t="s">
        <v>506</v>
      </c>
      <c r="AE997" s="48" t="str">
        <f t="shared" si="117"/>
        <v>For rapid annealing at 25°C/h</v>
      </c>
    </row>
    <row r="998" spans="1:31" ht="15" thickBot="1">
      <c r="A998" s="34">
        <v>996</v>
      </c>
      <c r="B998" s="34" t="s">
        <v>753</v>
      </c>
      <c r="C998" s="41" t="s">
        <v>1355</v>
      </c>
      <c r="D998" s="34" t="s">
        <v>676</v>
      </c>
      <c r="E998" s="80">
        <f t="shared" si="110"/>
        <v>1.608860003760471</v>
      </c>
      <c r="F998" s="35">
        <f t="shared" si="111"/>
        <v>57.896581762335984</v>
      </c>
      <c r="G998" s="42" cm="1">
        <f t="array" ref="G99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57.63291383028151</v>
      </c>
      <c r="H998" s="81" cm="1">
        <f t="array" ref="H9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1.6056647280197345</v>
      </c>
      <c r="I998" s="81" cm="1">
        <f t="array" ref="I9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1.608860003760471</v>
      </c>
      <c r="J998" s="81" cm="1">
        <f t="array" ref="J9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1.6113675227699897</v>
      </c>
      <c r="K998" s="81" cm="1">
        <f t="array" ref="K9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1.6161810656898896</v>
      </c>
      <c r="L998" s="81" cm="1">
        <f t="array" ref="L9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1.6219091974511128</v>
      </c>
      <c r="M998" s="37">
        <f t="shared" si="112"/>
        <v>1.051633767015514E-2</v>
      </c>
      <c r="N998" s="43">
        <f t="shared" si="113"/>
        <v>3.1952757407365251E-3</v>
      </c>
      <c r="O998" s="43">
        <f t="shared" si="114"/>
        <v>5.7281317612232208E-3</v>
      </c>
      <c r="P998" s="43">
        <f t="shared" si="115"/>
        <v>0.30383921104060435</v>
      </c>
      <c r="Q998" s="37">
        <f t="shared" si="116"/>
        <v>0.54468883948823577</v>
      </c>
      <c r="R998" s="37">
        <v>-2.3999999999999998E-3</v>
      </c>
      <c r="S998" s="44" t="s">
        <v>1393</v>
      </c>
      <c r="T998" s="45">
        <v>0.756950911</v>
      </c>
      <c r="U998" s="45">
        <v>0.78892449399999998</v>
      </c>
      <c r="V998" s="45">
        <v>1.1044985300000001</v>
      </c>
      <c r="W998" s="45">
        <v>3.1447899499999999E-3</v>
      </c>
      <c r="X998" s="45">
        <v>1.6255247099999998E-2</v>
      </c>
      <c r="Y998" s="45">
        <v>112.96036700000001</v>
      </c>
      <c r="Z998" s="36">
        <v>3.19</v>
      </c>
      <c r="AA998" s="38">
        <v>509</v>
      </c>
      <c r="AB998" s="38">
        <v>619</v>
      </c>
      <c r="AC998" s="39" t="s">
        <v>508</v>
      </c>
      <c r="AD998" s="49" t="s">
        <v>506</v>
      </c>
      <c r="AE998" s="48" t="str">
        <f t="shared" si="117"/>
        <v/>
      </c>
    </row>
    <row r="999" spans="1:31" ht="15" thickBot="1">
      <c r="A999" s="34">
        <v>997</v>
      </c>
      <c r="B999" s="34" t="s">
        <v>753</v>
      </c>
      <c r="C999" s="41" t="s">
        <v>1355</v>
      </c>
      <c r="D999" s="34" t="s">
        <v>1313</v>
      </c>
      <c r="E999" s="80">
        <f t="shared" si="110"/>
        <v>1.6080901663477281</v>
      </c>
      <c r="F999" s="35">
        <f t="shared" si="111"/>
        <v>57.82153505196581</v>
      </c>
      <c r="G999" s="42" cm="1">
        <f t="array" ref="G99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57.558524665549719</v>
      </c>
      <c r="H999" s="81" cm="1">
        <f t="array" ref="H9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1.6048947868716827</v>
      </c>
      <c r="I999" s="81" cm="1">
        <f t="array" ref="I9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1.6080901663477281</v>
      </c>
      <c r="J999" s="81" cm="1">
        <f t="array" ref="J9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1.6105977676051051</v>
      </c>
      <c r="K999" s="81" cm="1">
        <f t="array" ref="K9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1.6154114596961109</v>
      </c>
      <c r="L999" s="81" cm="1">
        <f t="array" ref="L9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1.6211397422888161</v>
      </c>
      <c r="M999" s="37">
        <f t="shared" si="112"/>
        <v>1.0516672824428142E-2</v>
      </c>
      <c r="N999" s="43">
        <f t="shared" si="113"/>
        <v>3.1953794760453125E-3</v>
      </c>
      <c r="O999" s="43">
        <f t="shared" si="114"/>
        <v>5.7282825927051917E-3</v>
      </c>
      <c r="P999" s="43">
        <f t="shared" si="115"/>
        <v>0.3038393919247046</v>
      </c>
      <c r="Q999" s="37">
        <f t="shared" si="116"/>
        <v>0.54468582301044199</v>
      </c>
      <c r="R999" s="37">
        <v>-2.5999999999999999E-3</v>
      </c>
      <c r="S999" s="44" t="s">
        <v>1393</v>
      </c>
      <c r="T999" s="45">
        <v>0.75468733300000002</v>
      </c>
      <c r="U999" s="45">
        <v>0.78872923900000003</v>
      </c>
      <c r="V999" s="45">
        <v>1.1021384299999999</v>
      </c>
      <c r="W999" s="45">
        <v>3.1535319499999999E-3</v>
      </c>
      <c r="X999" s="45">
        <v>1.62517857E-2</v>
      </c>
      <c r="Y999" s="45">
        <v>112.78636</v>
      </c>
      <c r="Z999" s="36">
        <v>3.19</v>
      </c>
      <c r="AA999" s="38">
        <v>509</v>
      </c>
      <c r="AB999" s="38">
        <v>619</v>
      </c>
      <c r="AC999" s="39" t="s">
        <v>508</v>
      </c>
      <c r="AD999" s="49" t="s">
        <v>506</v>
      </c>
      <c r="AE999" s="48" t="str">
        <f t="shared" si="117"/>
        <v>For rapid annealing at 25°C/h</v>
      </c>
    </row>
    <row r="1000" spans="1:31" ht="15" thickBot="1">
      <c r="A1000" s="34">
        <v>998</v>
      </c>
      <c r="B1000" s="34" t="s">
        <v>753</v>
      </c>
      <c r="C1000" s="41" t="s">
        <v>1358</v>
      </c>
      <c r="D1000" s="34" t="s">
        <v>748</v>
      </c>
      <c r="E1000" s="80">
        <f t="shared" si="110"/>
        <v>1.6778999895338838</v>
      </c>
      <c r="F1000" s="35">
        <f t="shared" si="111"/>
        <v>54.890314856979337</v>
      </c>
      <c r="G1000" s="42" cm="1">
        <f t="array" ref="G100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54.652455326192232</v>
      </c>
      <c r="H1000" s="81" cm="1">
        <f t="array" ref="H10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1.6741468293031041</v>
      </c>
      <c r="I1000" s="81" cm="1">
        <f t="array" ref="I10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1.6778999895338838</v>
      </c>
      <c r="J1000" s="81" cm="1">
        <f t="array" ref="J10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1.6808437361790016</v>
      </c>
      <c r="K1000" s="81" cm="1">
        <f t="array" ref="K10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1.6864969131257275</v>
      </c>
      <c r="L1000" s="81" cm="1">
        <f t="array" ref="L10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1.6932338581558763</v>
      </c>
      <c r="M1000" s="37">
        <f t="shared" si="112"/>
        <v>1.235008382262337E-2</v>
      </c>
      <c r="N1000" s="43">
        <f t="shared" si="113"/>
        <v>3.7531602307796508E-3</v>
      </c>
      <c r="O1000" s="43">
        <f t="shared" si="114"/>
        <v>6.7369450301488776E-3</v>
      </c>
      <c r="P1000" s="43">
        <f t="shared" si="115"/>
        <v>0.30389755119754441</v>
      </c>
      <c r="Q1000" s="37">
        <f t="shared" si="116"/>
        <v>0.54549791943985648</v>
      </c>
      <c r="R1000" s="37">
        <v>-6.7000000000000002E-3</v>
      </c>
      <c r="S1000" s="44" t="s">
        <v>1393</v>
      </c>
      <c r="T1000" s="45">
        <v>0.60503156999999996</v>
      </c>
      <c r="U1000" s="45">
        <v>1.15901922</v>
      </c>
      <c r="V1000" s="45">
        <v>1.30308775</v>
      </c>
      <c r="W1000" s="45">
        <v>2.8764035499999998E-8</v>
      </c>
      <c r="X1000" s="45">
        <v>1.5837052000000001E-2</v>
      </c>
      <c r="Y1000" s="45">
        <v>101.94650799999999</v>
      </c>
      <c r="Z1000" s="36">
        <v>3.37</v>
      </c>
      <c r="AA1000" s="38">
        <v>539</v>
      </c>
      <c r="AB1000" s="38">
        <v>625</v>
      </c>
      <c r="AC1000" s="39" t="s">
        <v>508</v>
      </c>
      <c r="AD1000" s="49" t="s">
        <v>506</v>
      </c>
      <c r="AE1000" s="48" t="str">
        <f t="shared" si="117"/>
        <v/>
      </c>
    </row>
    <row r="1001" spans="1:31" ht="15" thickBot="1">
      <c r="A1001" s="34">
        <v>999</v>
      </c>
      <c r="B1001" s="34" t="s">
        <v>753</v>
      </c>
      <c r="C1001" s="41" t="s">
        <v>1358</v>
      </c>
      <c r="D1001" s="34" t="s">
        <v>1314</v>
      </c>
      <c r="E1001" s="80">
        <f t="shared" si="110"/>
        <v>1.6768600416250352</v>
      </c>
      <c r="F1001" s="35">
        <f t="shared" si="111"/>
        <v>54.806075092584287</v>
      </c>
      <c r="G1001" s="42" cm="1">
        <f t="array" ref="G100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54.568947199837581</v>
      </c>
      <c r="H1001" s="81" cm="1">
        <f t="array" ref="H10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1.6731068771442559</v>
      </c>
      <c r="I1001" s="81" cm="1">
        <f t="array" ref="I10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1.6768600416250352</v>
      </c>
      <c r="J1001" s="81" cm="1">
        <f t="array" ref="J10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1.6798037902565905</v>
      </c>
      <c r="K1001" s="81" cm="1">
        <f t="array" ref="K10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1.6854569686346903</v>
      </c>
      <c r="L1001" s="81" cm="1">
        <f t="array" ref="L10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1.6921939123663108</v>
      </c>
      <c r="M1001" s="37">
        <f t="shared" si="112"/>
        <v>1.2350091490434423E-2</v>
      </c>
      <c r="N1001" s="43">
        <f t="shared" si="113"/>
        <v>3.7531644807793363E-3</v>
      </c>
      <c r="O1001" s="43">
        <f t="shared" si="114"/>
        <v>6.7369437316204817E-3</v>
      </c>
      <c r="P1001" s="43">
        <f t="shared" si="115"/>
        <v>0.30389770664341176</v>
      </c>
      <c r="Q1001" s="37">
        <f t="shared" si="116"/>
        <v>0.54549747561291184</v>
      </c>
      <c r="R1001" s="37">
        <v>-6.8999999999999999E-3</v>
      </c>
      <c r="S1001" s="44" t="s">
        <v>1393</v>
      </c>
      <c r="T1001" s="45">
        <v>0.60236350999999999</v>
      </c>
      <c r="U1001" s="45">
        <v>1.15823046</v>
      </c>
      <c r="V1001" s="45">
        <v>1.30267215</v>
      </c>
      <c r="W1001" s="45">
        <v>3.0749977899999999E-8</v>
      </c>
      <c r="X1001" s="45">
        <v>1.58379352E-2</v>
      </c>
      <c r="Y1001" s="45">
        <v>101.976296</v>
      </c>
      <c r="Z1001" s="36">
        <v>3.37</v>
      </c>
      <c r="AA1001" s="38">
        <v>539</v>
      </c>
      <c r="AB1001" s="38">
        <v>625</v>
      </c>
      <c r="AC1001" s="39" t="s">
        <v>508</v>
      </c>
      <c r="AD1001" s="49" t="s">
        <v>506</v>
      </c>
      <c r="AE1001" s="48" t="str">
        <f t="shared" si="117"/>
        <v>For rapid annealing at 25°C/h</v>
      </c>
    </row>
    <row r="1002" spans="1:31" ht="15" thickBot="1">
      <c r="A1002" s="34">
        <v>1000</v>
      </c>
      <c r="B1002" s="34" t="s">
        <v>753</v>
      </c>
      <c r="C1002" s="41" t="s">
        <v>1358</v>
      </c>
      <c r="D1002" s="34" t="s">
        <v>677</v>
      </c>
      <c r="E1002" s="80">
        <f t="shared" si="110"/>
        <v>1.6938400014499722</v>
      </c>
      <c r="F1002" s="35">
        <f t="shared" si="111"/>
        <v>53.128875570099787</v>
      </c>
      <c r="G1002" s="42" cm="1">
        <f t="array" ref="G100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52.894067077558802</v>
      </c>
      <c r="H1002" s="81" cm="1">
        <f t="array" ref="H10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1.6898775034232592</v>
      </c>
      <c r="I1002" s="81" cm="1">
        <f t="array" ref="I10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1.6938400014499722</v>
      </c>
      <c r="J1002" s="81" cm="1">
        <f t="array" ref="J10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1.6969523095841574</v>
      </c>
      <c r="K1002" s="81" cm="1">
        <f t="array" ref="K10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1.7029370683774336</v>
      </c>
      <c r="L1002" s="81" cm="1">
        <f t="array" ref="L10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1.7100811756455756</v>
      </c>
      <c r="M1002" s="37">
        <f t="shared" si="112"/>
        <v>1.3059564954174485E-2</v>
      </c>
      <c r="N1002" s="43">
        <f t="shared" si="113"/>
        <v>3.9624980267130017E-3</v>
      </c>
      <c r="O1002" s="43">
        <f t="shared" si="114"/>
        <v>7.1441072681419637E-3</v>
      </c>
      <c r="P1002" s="43">
        <f t="shared" si="115"/>
        <v>0.30341730682585949</v>
      </c>
      <c r="Q1002" s="37">
        <f t="shared" si="116"/>
        <v>0.54704021866045027</v>
      </c>
      <c r="R1002" s="37">
        <v>-8.2000000000000007E-3</v>
      </c>
      <c r="S1002" s="44" t="s">
        <v>1393</v>
      </c>
      <c r="T1002" s="45">
        <v>0.47772311499999998</v>
      </c>
      <c r="U1002" s="45">
        <v>1.33623366</v>
      </c>
      <c r="V1002" s="45">
        <v>1.22543438</v>
      </c>
      <c r="W1002" s="45">
        <v>2.2696228700000001E-2</v>
      </c>
      <c r="X1002" s="45">
        <v>6.5960530200000001E-3</v>
      </c>
      <c r="Y1002" s="45">
        <v>94.202756899999997</v>
      </c>
      <c r="Z1002" s="36">
        <v>3.5</v>
      </c>
      <c r="AA1002" s="38">
        <v>522</v>
      </c>
      <c r="AB1002" s="38">
        <v>616</v>
      </c>
      <c r="AC1002" s="39" t="s">
        <v>508</v>
      </c>
      <c r="AD1002" s="39" t="s">
        <v>1371</v>
      </c>
      <c r="AE1002" s="48" t="str">
        <f t="shared" si="117"/>
        <v/>
      </c>
    </row>
    <row r="1003" spans="1:31" ht="15" thickBot="1">
      <c r="A1003" s="34">
        <v>1001</v>
      </c>
      <c r="B1003" s="34" t="s">
        <v>753</v>
      </c>
      <c r="C1003" s="41" t="s">
        <v>1358</v>
      </c>
      <c r="D1003" s="34" t="s">
        <v>1315</v>
      </c>
      <c r="E1003" s="80">
        <f t="shared" si="110"/>
        <v>1.692809996230259</v>
      </c>
      <c r="F1003" s="35">
        <f t="shared" si="111"/>
        <v>53.049844132913805</v>
      </c>
      <c r="G1003" s="42" cm="1">
        <f t="array" ref="G100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52.81577882301719</v>
      </c>
      <c r="H1003" s="81" cm="1">
        <f t="array" ref="H10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1.6888474651006691</v>
      </c>
      <c r="I1003" s="81" cm="1">
        <f t="array" ref="I10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1.692809996230259</v>
      </c>
      <c r="J1003" s="81" cm="1">
        <f t="array" ref="J10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1.6959223186129155</v>
      </c>
      <c r="K1003" s="81" cm="1">
        <f t="array" ref="K10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1.7019070698469989</v>
      </c>
      <c r="L1003" s="81" cm="1">
        <f t="array" ref="L10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1.7090511145287777</v>
      </c>
      <c r="M1003" s="37">
        <f t="shared" si="112"/>
        <v>1.3059604746329834E-2</v>
      </c>
      <c r="N1003" s="43">
        <f t="shared" si="113"/>
        <v>3.9625311295898857E-3</v>
      </c>
      <c r="O1003" s="43">
        <f t="shared" si="114"/>
        <v>7.1440446817787606E-3</v>
      </c>
      <c r="P1003" s="43">
        <f t="shared" si="115"/>
        <v>0.30341891707737045</v>
      </c>
      <c r="Q1003" s="37">
        <f t="shared" si="116"/>
        <v>0.5470337594854443</v>
      </c>
      <c r="R1003" s="37">
        <v>-8.3000000000000001E-3</v>
      </c>
      <c r="S1003" s="44" t="s">
        <v>1393</v>
      </c>
      <c r="T1003" s="45">
        <v>1.2229989299999999</v>
      </c>
      <c r="U1003" s="45">
        <v>0.47120994100000002</v>
      </c>
      <c r="V1003" s="45">
        <v>1.3392892199999999</v>
      </c>
      <c r="W1003" s="45">
        <v>94.085926200000003</v>
      </c>
      <c r="X1003" s="45">
        <v>2.2783010400000001E-2</v>
      </c>
      <c r="Y1003" s="45">
        <v>6.6528531599999996E-3</v>
      </c>
      <c r="Z1003" s="36">
        <v>3.5</v>
      </c>
      <c r="AA1003" s="38">
        <v>522</v>
      </c>
      <c r="AB1003" s="38">
        <v>616</v>
      </c>
      <c r="AC1003" s="39" t="s">
        <v>508</v>
      </c>
      <c r="AD1003" s="39" t="s">
        <v>1371</v>
      </c>
      <c r="AE1003" s="48" t="str">
        <f t="shared" si="117"/>
        <v>For rapid annealing at 25°C/h</v>
      </c>
    </row>
    <row r="1004" spans="1:31" ht="15" thickBot="1">
      <c r="A1004" s="34">
        <v>1002</v>
      </c>
      <c r="B1004" s="34" t="s">
        <v>753</v>
      </c>
      <c r="C1004" s="41" t="s">
        <v>1358</v>
      </c>
      <c r="D1004" s="34" t="s">
        <v>1316</v>
      </c>
      <c r="E1004" s="80">
        <f t="shared" si="110"/>
        <v>1.7305003673395218</v>
      </c>
      <c r="F1004" s="35">
        <f t="shared" si="111"/>
        <v>53.944907348544973</v>
      </c>
      <c r="G1004" s="42" cm="1">
        <f t="array" ref="G100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53.713260942727963</v>
      </c>
      <c r="H1004" s="81" cm="1">
        <f t="array" ref="H10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1.7263862724448724</v>
      </c>
      <c r="I1004" s="81" cm="1">
        <f t="array" ref="I10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1.7305003673395218</v>
      </c>
      <c r="J1004" s="81" cm="1">
        <f t="array" ref="J10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1.7337282122319286</v>
      </c>
      <c r="K1004" s="81" cm="1">
        <f t="array" ref="K10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1.7399278726300329</v>
      </c>
      <c r="L1004" s="81" cm="1">
        <f t="array" ref="L10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1.7473164275722222</v>
      </c>
      <c r="M1004" s="37">
        <f t="shared" si="112"/>
        <v>1.3541600185160485E-2</v>
      </c>
      <c r="N1004" s="43">
        <f t="shared" si="113"/>
        <v>4.1140948946494227E-3</v>
      </c>
      <c r="O1004" s="43">
        <f t="shared" si="114"/>
        <v>7.3885549421892627E-3</v>
      </c>
      <c r="P1004" s="43">
        <f t="shared" si="115"/>
        <v>0.30381157606158238</v>
      </c>
      <c r="Q1004" s="37">
        <f t="shared" si="116"/>
        <v>0.54561904362572933</v>
      </c>
      <c r="R1004" s="37">
        <v>-8.3000000000000001E-3</v>
      </c>
      <c r="S1004" s="44" t="s">
        <v>1393</v>
      </c>
      <c r="T1004" s="45">
        <v>1.0464751699999999</v>
      </c>
      <c r="U1004" s="45">
        <v>0.88991086200000002</v>
      </c>
      <c r="V1004" s="45">
        <v>1.2317361200000001</v>
      </c>
      <c r="W1004" s="45">
        <v>1.73536556E-2</v>
      </c>
      <c r="X1004" s="45">
        <v>2.9839843099999999E-3</v>
      </c>
      <c r="Y1004" s="45">
        <v>87.110048800000001</v>
      </c>
      <c r="Z1004" s="36">
        <v>4</v>
      </c>
      <c r="AA1004" s="38">
        <v>620</v>
      </c>
      <c r="AB1004" s="38">
        <v>702</v>
      </c>
      <c r="AC1004" s="39" t="s">
        <v>508</v>
      </c>
      <c r="AD1004" s="49" t="s">
        <v>506</v>
      </c>
      <c r="AE1004" s="48" t="str">
        <f t="shared" si="117"/>
        <v/>
      </c>
    </row>
    <row r="1005" spans="1:31" ht="15" thickBot="1">
      <c r="A1005" s="34">
        <v>1003</v>
      </c>
      <c r="B1005" s="34" t="s">
        <v>753</v>
      </c>
      <c r="C1005" s="41" t="s">
        <v>1358</v>
      </c>
      <c r="D1005" s="34" t="s">
        <v>1317</v>
      </c>
      <c r="E1005" s="80">
        <f t="shared" si="110"/>
        <v>1.729240318925557</v>
      </c>
      <c r="F1005" s="35">
        <f t="shared" si="111"/>
        <v>53.851857238605227</v>
      </c>
      <c r="G1005" s="42" cm="1">
        <f t="array" ref="G100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53.621036036996571</v>
      </c>
      <c r="H1005" s="81" cm="1">
        <f t="array" ref="H10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1.7251262148434992</v>
      </c>
      <c r="I1005" s="81" cm="1">
        <f t="array" ref="I10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1.729240318925557</v>
      </c>
      <c r="J1005" s="81" cm="1">
        <f t="array" ref="J10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1.7324681655815031</v>
      </c>
      <c r="K1005" s="81" cm="1">
        <f t="array" ref="K10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1.7386678150095707</v>
      </c>
      <c r="L1005" s="81" cm="1">
        <f t="array" ref="L10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1.7460563344804818</v>
      </c>
      <c r="M1005" s="37">
        <f t="shared" si="112"/>
        <v>1.3541600166071532E-2</v>
      </c>
      <c r="N1005" s="43">
        <f t="shared" si="113"/>
        <v>4.1141040820578123E-3</v>
      </c>
      <c r="O1005" s="43">
        <f t="shared" si="114"/>
        <v>7.3885194709111257E-3</v>
      </c>
      <c r="P1005" s="43">
        <f t="shared" si="115"/>
        <v>0.30381225494795633</v>
      </c>
      <c r="Q1005" s="37">
        <f t="shared" si="116"/>
        <v>0.54561642496453666</v>
      </c>
      <c r="R1005" s="37">
        <v>-8.3999999999999995E-3</v>
      </c>
      <c r="S1005" s="44" t="s">
        <v>1393</v>
      </c>
      <c r="T1005" s="45">
        <v>1.0434556699999999</v>
      </c>
      <c r="U1005" s="45">
        <v>0.88861273600000001</v>
      </c>
      <c r="V1005" s="45">
        <v>1.2310265</v>
      </c>
      <c r="W1005" s="45">
        <v>1.7366945000000002E-2</v>
      </c>
      <c r="X1005" s="45">
        <v>3.0149412400000001E-3</v>
      </c>
      <c r="Y1005" s="45">
        <v>87.1255673</v>
      </c>
      <c r="Z1005" s="36">
        <v>4</v>
      </c>
      <c r="AA1005" s="38">
        <v>620</v>
      </c>
      <c r="AB1005" s="38">
        <v>702</v>
      </c>
      <c r="AC1005" s="39" t="s">
        <v>508</v>
      </c>
      <c r="AD1005" s="49" t="s">
        <v>506</v>
      </c>
      <c r="AE1005" s="48" t="str">
        <f t="shared" si="117"/>
        <v>For rapid annealing at 25°C/h</v>
      </c>
    </row>
    <row r="1006" spans="1:31" ht="15" thickBot="1">
      <c r="A1006" s="34">
        <v>1004</v>
      </c>
      <c r="B1006" s="34" t="s">
        <v>753</v>
      </c>
      <c r="C1006" s="41" t="s">
        <v>1358</v>
      </c>
      <c r="D1006" s="34" t="s">
        <v>678</v>
      </c>
      <c r="E1006" s="80">
        <f t="shared" si="110"/>
        <v>1.6691000100975979</v>
      </c>
      <c r="F1006" s="35">
        <f t="shared" si="111"/>
        <v>55.390344846782064</v>
      </c>
      <c r="G1006" s="42" cm="1">
        <f t="array" ref="G100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55.154475694548459</v>
      </c>
      <c r="H1006" s="81" cm="1">
        <f t="array" ref="H10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1.6654259971676015</v>
      </c>
      <c r="I1006" s="81" cm="1">
        <f t="array" ref="I10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1.6691000100975979</v>
      </c>
      <c r="J1006" s="81" cm="1">
        <f t="array" ref="J10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1.6719794831109331</v>
      </c>
      <c r="K1006" s="81" cm="1">
        <f t="array" ref="K10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1.6775057199414609</v>
      </c>
      <c r="L1006" s="81" cm="1">
        <f t="array" ref="L10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1.6840873545056083</v>
      </c>
      <c r="M1006" s="37">
        <f t="shared" si="112"/>
        <v>1.207972277385938E-2</v>
      </c>
      <c r="N1006" s="43">
        <f t="shared" si="113"/>
        <v>3.674012929996362E-3</v>
      </c>
      <c r="O1006" s="43">
        <f t="shared" si="114"/>
        <v>6.5816345641473983E-3</v>
      </c>
      <c r="P1006" s="43">
        <f t="shared" si="115"/>
        <v>0.30414712313985848</v>
      </c>
      <c r="Q1006" s="37">
        <f t="shared" si="116"/>
        <v>0.54484980221484136</v>
      </c>
      <c r="R1006" s="37">
        <v>-6.6E-3</v>
      </c>
      <c r="S1006" s="44" t="s">
        <v>1393</v>
      </c>
      <c r="T1006" s="45">
        <v>0.61688653400000004</v>
      </c>
      <c r="U1006" s="45">
        <v>1.1192476499999999</v>
      </c>
      <c r="V1006" s="45">
        <v>1.2981483899999999</v>
      </c>
      <c r="W1006" s="45">
        <v>2.4988860200000001E-4</v>
      </c>
      <c r="X1006" s="45">
        <v>1.58113883E-2</v>
      </c>
      <c r="Y1006" s="45">
        <v>102.017679</v>
      </c>
      <c r="Z1006" s="36">
        <v>3.35</v>
      </c>
      <c r="AA1006" s="38">
        <v>531</v>
      </c>
      <c r="AB1006" s="38">
        <v>626</v>
      </c>
      <c r="AC1006" s="39" t="s">
        <v>508</v>
      </c>
      <c r="AD1006" s="49" t="s">
        <v>506</v>
      </c>
      <c r="AE1006" s="48" t="str">
        <f t="shared" si="117"/>
        <v/>
      </c>
    </row>
    <row r="1007" spans="1:31" ht="15" thickBot="1">
      <c r="A1007" s="34">
        <v>1005</v>
      </c>
      <c r="B1007" s="34" t="s">
        <v>753</v>
      </c>
      <c r="C1007" s="41" t="s">
        <v>1358</v>
      </c>
      <c r="D1007" s="34" t="s">
        <v>1318</v>
      </c>
      <c r="E1007" s="80">
        <f t="shared" si="110"/>
        <v>1.6679999629874982</v>
      </c>
      <c r="F1007" s="35">
        <f t="shared" si="111"/>
        <v>55.296406716245237</v>
      </c>
      <c r="G1007" s="42" cm="1">
        <f t="array" ref="G100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55.060867994521971</v>
      </c>
      <c r="H1007" s="81" cm="1">
        <f t="array" ref="H10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1.6643260080740268</v>
      </c>
      <c r="I1007" s="81" cm="1">
        <f t="array" ref="I10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1.6679999629874982</v>
      </c>
      <c r="J1007" s="81" cm="1">
        <f t="array" ref="J10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1.6708796026439965</v>
      </c>
      <c r="K1007" s="81" cm="1">
        <f t="array" ref="K10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1.6764063583654183</v>
      </c>
      <c r="L1007" s="81" cm="1">
        <f t="array" ref="L10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1.6829886284942919</v>
      </c>
      <c r="M1007" s="37">
        <f t="shared" si="112"/>
        <v>1.2080350291391539E-2</v>
      </c>
      <c r="N1007" s="43">
        <f t="shared" si="113"/>
        <v>3.6739549134714444E-3</v>
      </c>
      <c r="O1007" s="43">
        <f t="shared" si="114"/>
        <v>6.5822701288735797E-3</v>
      </c>
      <c r="P1007" s="43">
        <f t="shared" si="115"/>
        <v>0.30412652157028142</v>
      </c>
      <c r="Q1007" s="37">
        <f t="shared" si="116"/>
        <v>0.54487411127176555</v>
      </c>
      <c r="R1007" s="37">
        <v>-6.7000000000000002E-3</v>
      </c>
      <c r="S1007" s="44" t="s">
        <v>1393</v>
      </c>
      <c r="T1007" s="45">
        <v>0.61574679600000004</v>
      </c>
      <c r="U1007" s="45">
        <v>1.11671184</v>
      </c>
      <c r="V1007" s="45">
        <v>1.2943677899999999</v>
      </c>
      <c r="W1007" s="45">
        <v>3.1060173800000001E-4</v>
      </c>
      <c r="X1007" s="45">
        <v>1.5811420999999999E-2</v>
      </c>
      <c r="Y1007" s="45">
        <v>102.14979700000001</v>
      </c>
      <c r="Z1007" s="36">
        <v>3.35</v>
      </c>
      <c r="AA1007" s="38">
        <v>531</v>
      </c>
      <c r="AB1007" s="38">
        <v>626</v>
      </c>
      <c r="AC1007" s="39" t="s">
        <v>508</v>
      </c>
      <c r="AD1007" s="49" t="s">
        <v>506</v>
      </c>
      <c r="AE1007" s="48" t="str">
        <f t="shared" si="117"/>
        <v>For rapid annealing at 25°C/h</v>
      </c>
    </row>
    <row r="1008" spans="1:31" ht="15" thickBot="1">
      <c r="A1008" s="34">
        <v>1006</v>
      </c>
      <c r="B1008" s="34" t="s">
        <v>753</v>
      </c>
      <c r="C1008" s="41" t="s">
        <v>1356</v>
      </c>
      <c r="D1008" s="34" t="s">
        <v>679</v>
      </c>
      <c r="E1008" s="80">
        <f t="shared" si="110"/>
        <v>1.688930032268706</v>
      </c>
      <c r="F1008" s="35">
        <f t="shared" si="111"/>
        <v>31.07806834088391</v>
      </c>
      <c r="G1008" s="42" cm="1">
        <f t="array" ref="G100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30.836117530517257</v>
      </c>
      <c r="H1008" s="81" cm="1">
        <f t="array" ref="H10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1.6824914353124107</v>
      </c>
      <c r="I1008" s="81" cm="1">
        <f t="array" ref="I10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1.688930032268706</v>
      </c>
      <c r="J1008" s="81" cm="1">
        <f t="array" ref="J10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1.694166682112147</v>
      </c>
      <c r="K1008" s="81" cm="1">
        <f t="array" ref="K10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1.7046591590175035</v>
      </c>
      <c r="L1008" s="81" cm="1">
        <f t="array" ref="L10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1.7179539351583515</v>
      </c>
      <c r="M1008" s="37">
        <f t="shared" si="112"/>
        <v>2.216772370509279E-2</v>
      </c>
      <c r="N1008" s="43">
        <f t="shared" si="113"/>
        <v>6.4385969562952283E-3</v>
      </c>
      <c r="O1008" s="43">
        <f t="shared" si="114"/>
        <v>1.3294776140847953E-2</v>
      </c>
      <c r="P1008" s="43">
        <f t="shared" si="115"/>
        <v>0.29044917024186978</v>
      </c>
      <c r="Q1008" s="37">
        <f t="shared" si="116"/>
        <v>0.59973573821626192</v>
      </c>
      <c r="R1008" s="37">
        <v>7.0000000000000001E-3</v>
      </c>
      <c r="S1008" s="44" t="s">
        <v>1393</v>
      </c>
      <c r="T1008" s="45">
        <v>0.18109097099999999</v>
      </c>
      <c r="U1008" s="45">
        <v>1.38321826</v>
      </c>
      <c r="V1008" s="45">
        <v>1.5781446800000001</v>
      </c>
      <c r="W1008" s="45">
        <v>6.06385885E-2</v>
      </c>
      <c r="X1008" s="45">
        <v>132.94669099999999</v>
      </c>
      <c r="Y1008" s="45">
        <v>1.22919204E-2</v>
      </c>
      <c r="Z1008" s="36">
        <v>2.84</v>
      </c>
      <c r="AA1008" s="38">
        <v>507</v>
      </c>
      <c r="AB1008" s="38">
        <v>599</v>
      </c>
      <c r="AC1008" s="39" t="s">
        <v>508</v>
      </c>
      <c r="AD1008" s="49" t="s">
        <v>506</v>
      </c>
      <c r="AE1008" s="48" t="str">
        <f t="shared" si="117"/>
        <v/>
      </c>
    </row>
    <row r="1009" spans="1:31" ht="15" thickBot="1">
      <c r="A1009" s="34">
        <v>1007</v>
      </c>
      <c r="B1009" s="34" t="s">
        <v>753</v>
      </c>
      <c r="C1009" s="41" t="s">
        <v>1356</v>
      </c>
      <c r="D1009" s="34" t="s">
        <v>1319</v>
      </c>
      <c r="E1009" s="80">
        <f t="shared" si="110"/>
        <v>1.6873100319868459</v>
      </c>
      <c r="F1009" s="35">
        <f t="shared" si="111"/>
        <v>31.184196698404406</v>
      </c>
      <c r="G1009" s="42" cm="1">
        <f t="array" ref="G100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30.942084646920623</v>
      </c>
      <c r="H1009" s="81" cm="1">
        <f t="array" ref="H10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1.6809064922888237</v>
      </c>
      <c r="I1009" s="81" cm="1">
        <f t="array" ref="I10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1.6873100319868459</v>
      </c>
      <c r="J1009" s="81" cm="1">
        <f t="array" ref="J10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1.6925170210381535</v>
      </c>
      <c r="K1009" s="81" cm="1">
        <f t="array" ref="K10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1.702946823762939</v>
      </c>
      <c r="L1009" s="81" cm="1">
        <f t="array" ref="L10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1.716155378713192</v>
      </c>
      <c r="M1009" s="37">
        <f t="shared" si="112"/>
        <v>2.2040331474115327E-2</v>
      </c>
      <c r="N1009" s="43">
        <f t="shared" si="113"/>
        <v>6.4035396980222092E-3</v>
      </c>
      <c r="O1009" s="43">
        <f t="shared" si="114"/>
        <v>1.3208554950252971E-2</v>
      </c>
      <c r="P1009" s="43">
        <f t="shared" si="115"/>
        <v>0.2905373590021853</v>
      </c>
      <c r="Q1009" s="37">
        <f t="shared" si="116"/>
        <v>0.59929021329671939</v>
      </c>
      <c r="R1009" s="37">
        <v>6.7000000000000002E-3</v>
      </c>
      <c r="S1009" s="44" t="s">
        <v>1393</v>
      </c>
      <c r="T1009" s="45">
        <v>1.3953157700000001</v>
      </c>
      <c r="U1009" s="45">
        <v>0.180389834</v>
      </c>
      <c r="V1009" s="45">
        <v>1.5739538900000001</v>
      </c>
      <c r="W1009" s="45">
        <v>134.661574</v>
      </c>
      <c r="X1009" s="45">
        <v>6.0430543099999998E-2</v>
      </c>
      <c r="Y1009" s="45">
        <v>1.22657049E-2</v>
      </c>
      <c r="Z1009" s="36">
        <v>2.84</v>
      </c>
      <c r="AA1009" s="38">
        <v>507</v>
      </c>
      <c r="AB1009" s="38">
        <v>599</v>
      </c>
      <c r="AC1009" s="39" t="s">
        <v>508</v>
      </c>
      <c r="AD1009" s="49" t="s">
        <v>506</v>
      </c>
      <c r="AE1009" s="48" t="str">
        <f t="shared" si="117"/>
        <v>For rapid annealing at 25°C/h</v>
      </c>
    </row>
    <row r="1010" spans="1:31" ht="15" thickBot="1">
      <c r="A1010" s="34">
        <v>1008</v>
      </c>
      <c r="B1010" s="34" t="s">
        <v>753</v>
      </c>
      <c r="C1010" s="41" t="s">
        <v>1357</v>
      </c>
      <c r="D1010" s="34" t="s">
        <v>680</v>
      </c>
      <c r="E1010" s="80">
        <f t="shared" si="110"/>
        <v>2.0017000491737722</v>
      </c>
      <c r="F1010" s="35">
        <f t="shared" si="111"/>
        <v>20.700466718485373</v>
      </c>
      <c r="G1010" s="42" cm="1">
        <f t="array" ref="G101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20.524187037233801</v>
      </c>
      <c r="H1010" s="81" cm="1">
        <f t="array" ref="H10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1.9880650767238759</v>
      </c>
      <c r="I1010" s="81" cm="1">
        <f t="array" ref="I10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2.0017000491737722</v>
      </c>
      <c r="J1010" s="81" cm="1">
        <f t="array" ref="J10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2.0130508895402373</v>
      </c>
      <c r="K1010" s="81" cm="1">
        <f t="array" ref="K10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2.0364552924033736</v>
      </c>
      <c r="L1010" s="81" cm="1">
        <f t="array" ref="L10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2.0673751284238158</v>
      </c>
      <c r="M1010" s="37">
        <f t="shared" si="112"/>
        <v>4.839021567949775E-2</v>
      </c>
      <c r="N1010" s="43">
        <f t="shared" si="113"/>
        <v>1.363497244989631E-2</v>
      </c>
      <c r="O1010" s="43">
        <f t="shared" si="114"/>
        <v>3.0919836020442126E-2</v>
      </c>
      <c r="P1010" s="43">
        <f t="shared" si="115"/>
        <v>0.28177126839451666</v>
      </c>
      <c r="Q1010" s="37">
        <f t="shared" si="116"/>
        <v>0.63896875817278953</v>
      </c>
      <c r="R1010" s="37">
        <v>2.8500000000000001E-2</v>
      </c>
      <c r="S1010" s="44" t="s">
        <v>1393</v>
      </c>
      <c r="T1010" s="45">
        <v>1.5132362800000001</v>
      </c>
      <c r="U1010" s="45">
        <v>2.1674009600000002</v>
      </c>
      <c r="V1010" s="45">
        <v>0.60610804200000001</v>
      </c>
      <c r="W1010" s="45">
        <v>106.26269499999999</v>
      </c>
      <c r="X1010" s="45">
        <v>1.4231857000000001E-2</v>
      </c>
      <c r="Y1010" s="45">
        <v>6.6658674299999998E-2</v>
      </c>
      <c r="Z1010" s="36">
        <v>6.11</v>
      </c>
      <c r="AA1010" s="38">
        <v>439</v>
      </c>
      <c r="AB1010" s="38">
        <v>496</v>
      </c>
      <c r="AC1010" s="39" t="s">
        <v>508</v>
      </c>
      <c r="AD1010" s="49" t="s">
        <v>506</v>
      </c>
      <c r="AE1010" s="48" t="str">
        <f t="shared" si="117"/>
        <v/>
      </c>
    </row>
    <row r="1011" spans="1:31" ht="15" thickBot="1">
      <c r="A1011" s="34">
        <v>1009</v>
      </c>
      <c r="B1011" s="34" t="s">
        <v>753</v>
      </c>
      <c r="C1011" s="41" t="s">
        <v>1357</v>
      </c>
      <c r="D1011" s="34" t="s">
        <v>1320</v>
      </c>
      <c r="E1011" s="80">
        <f t="shared" si="110"/>
        <v>1.9998000312722077</v>
      </c>
      <c r="F1011" s="35">
        <f t="shared" si="111"/>
        <v>20.686714888203309</v>
      </c>
      <c r="G1011" s="42" cm="1">
        <f t="array" ref="G101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20.510692461455406</v>
      </c>
      <c r="H1011" s="81" cm="1">
        <f t="array" ref="H10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1.9861827474933009</v>
      </c>
      <c r="I1011" s="81" cm="1">
        <f t="array" ref="I10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1.9998000312722077</v>
      </c>
      <c r="J1011" s="81" cm="1">
        <f t="array" ref="J10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2.0111372424728402</v>
      </c>
      <c r="K1011" s="81" cm="1">
        <f t="array" ref="K10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2.034513284104619</v>
      </c>
      <c r="L1011" s="81" cm="1">
        <f t="array" ref="L10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2.0653854322122478</v>
      </c>
      <c r="M1011" s="37">
        <f t="shared" si="112"/>
        <v>4.8330536611318031E-2</v>
      </c>
      <c r="N1011" s="43">
        <f t="shared" si="113"/>
        <v>1.3617283778906808E-2</v>
      </c>
      <c r="O1011" s="43">
        <f t="shared" si="114"/>
        <v>3.0872148107628838E-2</v>
      </c>
      <c r="P1011" s="43">
        <f t="shared" si="115"/>
        <v>0.28175320891673933</v>
      </c>
      <c r="Q1011" s="37">
        <f t="shared" si="116"/>
        <v>0.63877106012514684</v>
      </c>
      <c r="R1011" s="37">
        <v>2.8299999999999999E-2</v>
      </c>
      <c r="S1011" s="44" t="s">
        <v>1393</v>
      </c>
      <c r="T1011" s="45">
        <v>1.4330228</v>
      </c>
      <c r="U1011" s="45">
        <v>2.1363054500000001</v>
      </c>
      <c r="V1011" s="45">
        <v>0.63018403700000003</v>
      </c>
      <c r="W1011" s="45">
        <v>101.185435</v>
      </c>
      <c r="X1011" s="45">
        <v>1.3816123200000001E-2</v>
      </c>
      <c r="Y1011" s="45">
        <v>6.5857844999999998E-2</v>
      </c>
      <c r="Z1011" s="36">
        <v>6.11</v>
      </c>
      <c r="AA1011" s="38">
        <v>439</v>
      </c>
      <c r="AB1011" s="38">
        <v>496</v>
      </c>
      <c r="AC1011" s="39" t="s">
        <v>508</v>
      </c>
      <c r="AD1011" s="49" t="s">
        <v>506</v>
      </c>
      <c r="AE1011" s="48" t="str">
        <f t="shared" si="117"/>
        <v>For rapid annealing at 25°C/h</v>
      </c>
    </row>
    <row r="1012" spans="1:31" ht="15" thickBot="1">
      <c r="A1012" s="34">
        <v>1010</v>
      </c>
      <c r="B1012" s="34" t="s">
        <v>753</v>
      </c>
      <c r="C1012" s="41" t="s">
        <v>1358</v>
      </c>
      <c r="D1012" s="34" t="s">
        <v>749</v>
      </c>
      <c r="E1012" s="80">
        <f t="shared" si="110"/>
        <v>1.7740000695803444</v>
      </c>
      <c r="F1012" s="35">
        <f t="shared" si="111"/>
        <v>49.590956709899714</v>
      </c>
      <c r="G1012" s="42" cm="1">
        <f t="array" ref="G101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49.321520179547264</v>
      </c>
      <c r="H1012" s="81" cm="1">
        <f t="array" ref="H10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1.769309718318097</v>
      </c>
      <c r="I1012" s="81" cm="1">
        <f t="array" ref="I10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1.7740000695803444</v>
      </c>
      <c r="J1012" s="81" cm="1">
        <f t="array" ref="J10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1.777716815646458</v>
      </c>
      <c r="K1012" s="81" cm="1">
        <f t="array" ref="K10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1.7849174040925042</v>
      </c>
      <c r="L1012" s="81" cm="1">
        <f t="array" ref="L10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1.7935768402069971</v>
      </c>
      <c r="M1012" s="37">
        <f t="shared" si="112"/>
        <v>1.5607685774407187E-2</v>
      </c>
      <c r="N1012" s="43">
        <f t="shared" si="113"/>
        <v>4.690351262247372E-3</v>
      </c>
      <c r="O1012" s="43">
        <f t="shared" si="114"/>
        <v>8.6594361144929355E-3</v>
      </c>
      <c r="P1012" s="43">
        <f t="shared" si="115"/>
        <v>0.30051548512966658</v>
      </c>
      <c r="Q1012" s="37">
        <f t="shared" si="116"/>
        <v>0.55481871173318387</v>
      </c>
      <c r="R1012" s="37">
        <v>-6.4999999999999997E-3</v>
      </c>
      <c r="S1012" s="44" t="s">
        <v>1393</v>
      </c>
      <c r="T1012" s="45">
        <v>1.34473873</v>
      </c>
      <c r="U1012" s="45">
        <v>1.1328820399999999</v>
      </c>
      <c r="V1012" s="45">
        <v>0.73104891400000005</v>
      </c>
      <c r="W1012" s="45">
        <v>6.0361939999999999E-3</v>
      </c>
      <c r="X1012" s="45">
        <v>95.521318500000007</v>
      </c>
      <c r="Y1012" s="45">
        <v>2.2706198E-2</v>
      </c>
      <c r="Z1012" s="36">
        <v>4.93</v>
      </c>
      <c r="AA1012" s="38">
        <v>573</v>
      </c>
      <c r="AB1012" s="38">
        <v>671</v>
      </c>
      <c r="AC1012" s="39" t="s">
        <v>508</v>
      </c>
      <c r="AD1012" s="39" t="s">
        <v>1371</v>
      </c>
      <c r="AE1012" s="48" t="str">
        <f t="shared" si="117"/>
        <v/>
      </c>
    </row>
    <row r="1013" spans="1:31" ht="15" thickBot="1">
      <c r="A1013" s="34">
        <v>1011</v>
      </c>
      <c r="B1013" s="34" t="s">
        <v>753</v>
      </c>
      <c r="C1013" s="41" t="s">
        <v>1358</v>
      </c>
      <c r="D1013" s="34" t="s">
        <v>1321</v>
      </c>
      <c r="E1013" s="80">
        <f t="shared" si="110"/>
        <v>1.7728802886741231</v>
      </c>
      <c r="F1013" s="35">
        <f t="shared" si="111"/>
        <v>49.519931964764893</v>
      </c>
      <c r="G1013" s="42" cm="1">
        <f t="array" ref="G101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49.25118449754612</v>
      </c>
      <c r="H1013" s="81" cm="1">
        <f t="array" ref="H10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1.7681900266842594</v>
      </c>
      <c r="I1013" s="81" cm="1">
        <f t="array" ref="I10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1.7728802886741231</v>
      </c>
      <c r="J1013" s="81" cm="1">
        <f t="array" ref="J10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1.7765969748287518</v>
      </c>
      <c r="K1013" s="81" cm="1">
        <f t="array" ref="K10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1.783797485297572</v>
      </c>
      <c r="L1013" s="81" cm="1">
        <f t="array" ref="L10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1.7924568926773388</v>
      </c>
      <c r="M1013" s="37">
        <f t="shared" si="112"/>
        <v>1.5607458613312586E-2</v>
      </c>
      <c r="N1013" s="43">
        <f t="shared" si="113"/>
        <v>4.6902619898636644E-3</v>
      </c>
      <c r="O1013" s="43">
        <f t="shared" si="114"/>
        <v>8.6594073797667814E-3</v>
      </c>
      <c r="P1013" s="43">
        <f t="shared" si="115"/>
        <v>0.30051413917337216</v>
      </c>
      <c r="Q1013" s="37">
        <f t="shared" si="116"/>
        <v>0.55482494583587272</v>
      </c>
      <c r="R1013" s="37">
        <v>-6.6E-3</v>
      </c>
      <c r="S1013" s="44" t="s">
        <v>1393</v>
      </c>
      <c r="T1013" s="45">
        <v>0.73470024599999995</v>
      </c>
      <c r="U1013" s="45">
        <v>1.3371657400000001</v>
      </c>
      <c r="V1013" s="45">
        <v>1.1351334799999999</v>
      </c>
      <c r="W1013" s="45">
        <v>2.2666746000000002E-2</v>
      </c>
      <c r="X1013" s="45">
        <v>6.0167689999999999E-3</v>
      </c>
      <c r="Y1013" s="45">
        <v>95.751269600000001</v>
      </c>
      <c r="Z1013" s="36">
        <v>4.93</v>
      </c>
      <c r="AA1013" s="38">
        <v>573</v>
      </c>
      <c r="AB1013" s="38">
        <v>671</v>
      </c>
      <c r="AC1013" s="39" t="s">
        <v>508</v>
      </c>
      <c r="AD1013" s="39" t="s">
        <v>1371</v>
      </c>
      <c r="AE1013" s="48" t="str">
        <f t="shared" si="117"/>
        <v>For rapid annealing at 25°C/h</v>
      </c>
    </row>
    <row r="1014" spans="1:31" ht="15" thickBot="1">
      <c r="A1014" s="34">
        <v>1012</v>
      </c>
      <c r="B1014" s="34" t="s">
        <v>753</v>
      </c>
      <c r="C1014" s="41" t="s">
        <v>1358</v>
      </c>
      <c r="D1014" s="34" t="s">
        <v>681</v>
      </c>
      <c r="E1014" s="80">
        <f t="shared" si="110"/>
        <v>1.7684200338397602</v>
      </c>
      <c r="F1014" s="35">
        <f t="shared" si="111"/>
        <v>49.282749490214421</v>
      </c>
      <c r="G1014" s="42" cm="1">
        <f t="array" ref="G101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49.040997887128917</v>
      </c>
      <c r="H1014" s="81" cm="1">
        <f t="array" ref="H10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1.7637167261083011</v>
      </c>
      <c r="I1014" s="81" cm="1">
        <f t="array" ref="I10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1.7684200338397602</v>
      </c>
      <c r="J1014" s="81" cm="1">
        <f t="array" ref="J10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1.7721332989354837</v>
      </c>
      <c r="K1014" s="81" cm="1">
        <f t="array" ref="K10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1.7793087951748279</v>
      </c>
      <c r="L1014" s="81" cm="1">
        <f t="array" ref="L10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1.7879225971942772</v>
      </c>
      <c r="M1014" s="37">
        <f t="shared" si="112"/>
        <v>1.559206906652677E-2</v>
      </c>
      <c r="N1014" s="43">
        <f t="shared" si="113"/>
        <v>4.7033077314591054E-3</v>
      </c>
      <c r="O1014" s="43">
        <f t="shared" si="114"/>
        <v>8.6138020194492793E-3</v>
      </c>
      <c r="P1014" s="43">
        <f t="shared" si="115"/>
        <v>0.30164744084902878</v>
      </c>
      <c r="Q1014" s="37">
        <f t="shared" si="116"/>
        <v>0.55244765673476182</v>
      </c>
      <c r="R1014" s="37">
        <v>-9.4000000000000004E-3</v>
      </c>
      <c r="S1014" s="44" t="s">
        <v>1393</v>
      </c>
      <c r="T1014" s="45">
        <v>0.65324951200000003</v>
      </c>
      <c r="U1014" s="45">
        <v>1.2055774500000001</v>
      </c>
      <c r="V1014" s="45">
        <v>1.4045378100000001</v>
      </c>
      <c r="W1014" s="45">
        <v>2.3644287999999999E-2</v>
      </c>
      <c r="X1014" s="45">
        <v>85.537796200000003</v>
      </c>
      <c r="Y1014" s="45">
        <v>6.3640149999999998E-3</v>
      </c>
      <c r="Z1014" s="36">
        <v>4.51</v>
      </c>
      <c r="AA1014" s="38">
        <v>610</v>
      </c>
      <c r="AB1014" s="38">
        <v>692</v>
      </c>
      <c r="AC1014" s="39" t="s">
        <v>508</v>
      </c>
      <c r="AD1014" s="49" t="s">
        <v>506</v>
      </c>
      <c r="AE1014" s="48" t="str">
        <f t="shared" si="117"/>
        <v/>
      </c>
    </row>
    <row r="1015" spans="1:31" ht="15" thickBot="1">
      <c r="A1015" s="34">
        <v>1013</v>
      </c>
      <c r="B1015" s="34" t="s">
        <v>753</v>
      </c>
      <c r="C1015" s="41" t="s">
        <v>1358</v>
      </c>
      <c r="D1015" s="34" t="s">
        <v>1322</v>
      </c>
      <c r="E1015" s="80">
        <f t="shared" si="110"/>
        <v>1.7670896883371519</v>
      </c>
      <c r="F1015" s="35">
        <f t="shared" si="111"/>
        <v>49.198079087896346</v>
      </c>
      <c r="G1015" s="42" cm="1">
        <f t="array" ref="G101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48.957218977296513</v>
      </c>
      <c r="H1015" s="81" cm="1">
        <f t="array" ref="H10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1.7623863981506425</v>
      </c>
      <c r="I1015" s="81" cm="1">
        <f t="array" ref="I10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1.7670896883371519</v>
      </c>
      <c r="J1015" s="81" cm="1">
        <f t="array" ref="J10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1.7708029162224443</v>
      </c>
      <c r="K1015" s="81" cm="1">
        <f t="array" ref="K10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1.777978260730616</v>
      </c>
      <c r="L1015" s="81" cm="1">
        <f t="array" ref="L10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1.7865917563829607</v>
      </c>
      <c r="M1015" s="37">
        <f t="shared" si="112"/>
        <v>1.5591862579973581E-2</v>
      </c>
      <c r="N1015" s="43">
        <f t="shared" si="113"/>
        <v>4.7032901865093901E-3</v>
      </c>
      <c r="O1015" s="43">
        <f t="shared" si="114"/>
        <v>8.6134956523447048E-3</v>
      </c>
      <c r="P1015" s="43">
        <f t="shared" si="115"/>
        <v>0.30165031037089601</v>
      </c>
      <c r="Q1015" s="37">
        <f t="shared" si="116"/>
        <v>0.55243532375715043</v>
      </c>
      <c r="R1015" s="37">
        <v>-9.4999999999999998E-3</v>
      </c>
      <c r="S1015" s="44" t="s">
        <v>1393</v>
      </c>
      <c r="T1015" s="45">
        <v>1.2295034300000001</v>
      </c>
      <c r="U1015" s="45">
        <v>0.64176782300000002</v>
      </c>
      <c r="V1015" s="45">
        <v>1.4113639099999999</v>
      </c>
      <c r="W1015" s="45">
        <v>87.307119</v>
      </c>
      <c r="X1015" s="45">
        <v>2.3765215999999999E-2</v>
      </c>
      <c r="Y1015" s="45">
        <v>6.459327E-3</v>
      </c>
      <c r="Z1015" s="36">
        <v>4.51</v>
      </c>
      <c r="AA1015" s="38">
        <v>610</v>
      </c>
      <c r="AB1015" s="38">
        <v>692</v>
      </c>
      <c r="AC1015" s="39" t="s">
        <v>508</v>
      </c>
      <c r="AD1015" s="49" t="s">
        <v>506</v>
      </c>
      <c r="AE1015" s="48" t="str">
        <f t="shared" si="117"/>
        <v>For rapid annealing at 25°C/h</v>
      </c>
    </row>
    <row r="1016" spans="1:31" ht="15" thickBot="1">
      <c r="A1016" s="34">
        <v>1014</v>
      </c>
      <c r="B1016" s="34" t="s">
        <v>753</v>
      </c>
      <c r="C1016" s="41" t="s">
        <v>1358</v>
      </c>
      <c r="D1016" s="34" t="s">
        <v>682</v>
      </c>
      <c r="E1016" s="80">
        <f t="shared" si="110"/>
        <v>1.7433000217714245</v>
      </c>
      <c r="F1016" s="35">
        <f t="shared" si="111"/>
        <v>49.326538791186096</v>
      </c>
      <c r="G1016" s="42" cm="1">
        <f t="array" ref="G101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49.081948525111052</v>
      </c>
      <c r="H1016" s="81" cm="1">
        <f t="array" ref="H10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1.7387560082440741</v>
      </c>
      <c r="I1016" s="81" cm="1">
        <f t="array" ref="I10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1.7433000217714245</v>
      </c>
      <c r="J1016" s="81" cm="1">
        <f t="array" ref="J10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1.746888481790686</v>
      </c>
      <c r="K1016" s="81" cm="1">
        <f t="array" ref="K10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1.753824975984098</v>
      </c>
      <c r="L1016" s="81" cm="1">
        <f t="array" ref="L10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1.762155388576029</v>
      </c>
      <c r="M1016" s="37">
        <f t="shared" si="112"/>
        <v>1.5068967740023975E-2</v>
      </c>
      <c r="N1016" s="43">
        <f t="shared" si="113"/>
        <v>4.5440135273504545E-3</v>
      </c>
      <c r="O1016" s="43">
        <f t="shared" si="114"/>
        <v>8.3304125919310135E-3</v>
      </c>
      <c r="P1016" s="43">
        <f t="shared" si="115"/>
        <v>0.30154776397067429</v>
      </c>
      <c r="Q1016" s="37">
        <f t="shared" si="116"/>
        <v>0.55281906071143794</v>
      </c>
      <c r="R1016" s="37">
        <v>-8.8999999999999999E-3</v>
      </c>
      <c r="S1016" s="44" t="s">
        <v>1393</v>
      </c>
      <c r="T1016" s="45">
        <v>0.64539759200000002</v>
      </c>
      <c r="U1016" s="45">
        <v>1.17528667</v>
      </c>
      <c r="V1016" s="45">
        <v>1.3274788500000001</v>
      </c>
      <c r="W1016" s="45">
        <v>2.3499356999999998E-2</v>
      </c>
      <c r="X1016" s="45">
        <v>87.775521900000001</v>
      </c>
      <c r="Y1016" s="45">
        <v>6.0601596999999997E-3</v>
      </c>
      <c r="Z1016" s="36">
        <v>4.26</v>
      </c>
      <c r="AA1016" s="38">
        <v>557</v>
      </c>
      <c r="AB1016" s="38">
        <v>641</v>
      </c>
      <c r="AC1016" s="39" t="s">
        <v>508</v>
      </c>
      <c r="AD1016" s="49" t="s">
        <v>506</v>
      </c>
      <c r="AE1016" s="48" t="str">
        <f t="shared" si="117"/>
        <v/>
      </c>
    </row>
    <row r="1017" spans="1:31" ht="15" thickBot="1">
      <c r="A1017" s="34">
        <v>1015</v>
      </c>
      <c r="B1017" s="34" t="s">
        <v>753</v>
      </c>
      <c r="C1017" s="41" t="s">
        <v>1358</v>
      </c>
      <c r="D1017" s="34" t="s">
        <v>1323</v>
      </c>
      <c r="E1017" s="80">
        <f t="shared" si="110"/>
        <v>1.7420999389638432</v>
      </c>
      <c r="F1017" s="35">
        <f t="shared" si="111"/>
        <v>49.246612807155834</v>
      </c>
      <c r="G1017" s="42" cm="1">
        <f t="array" ref="G101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49.002780917191629</v>
      </c>
      <c r="H1017" s="81" cm="1">
        <f t="array" ref="H10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1.7375559116379802</v>
      </c>
      <c r="I1017" s="81" cm="1">
        <f t="array" ref="I10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1.7420999389638432</v>
      </c>
      <c r="J1017" s="81" cm="1">
        <f t="array" ref="J10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1.7456884175232528</v>
      </c>
      <c r="K1017" s="81" cm="1">
        <f t="array" ref="K10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1.7526249670848963</v>
      </c>
      <c r="L1017" s="81" cm="1">
        <f t="array" ref="L10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1.7609554738452904</v>
      </c>
      <c r="M1017" s="37">
        <f t="shared" si="112"/>
        <v>1.5069055446916169E-2</v>
      </c>
      <c r="N1017" s="43">
        <f t="shared" si="113"/>
        <v>4.5440273258630093E-3</v>
      </c>
      <c r="O1017" s="43">
        <f t="shared" si="114"/>
        <v>8.3305067603940408E-3</v>
      </c>
      <c r="P1017" s="43">
        <f t="shared" si="115"/>
        <v>0.30154692454814275</v>
      </c>
      <c r="Q1017" s="37">
        <f t="shared" si="116"/>
        <v>0.55282209224990619</v>
      </c>
      <c r="R1017" s="37">
        <v>-8.9999999999999993E-3</v>
      </c>
      <c r="S1017" s="44" t="s">
        <v>1393</v>
      </c>
      <c r="T1017" s="45">
        <v>1.32239317</v>
      </c>
      <c r="U1017" s="45">
        <v>0.64634720800000001</v>
      </c>
      <c r="V1017" s="45">
        <v>1.1750756899999999</v>
      </c>
      <c r="W1017" s="45">
        <v>6.0622421899999999E-3</v>
      </c>
      <c r="X1017" s="45">
        <v>2.3482441499999999E-2</v>
      </c>
      <c r="Y1017" s="45">
        <v>87.816421099999999</v>
      </c>
      <c r="Z1017" s="36">
        <v>4.26</v>
      </c>
      <c r="AA1017" s="38">
        <v>557</v>
      </c>
      <c r="AB1017" s="38">
        <v>641</v>
      </c>
      <c r="AC1017" s="39" t="s">
        <v>508</v>
      </c>
      <c r="AD1017" s="49" t="s">
        <v>506</v>
      </c>
      <c r="AE1017" s="48" t="str">
        <f t="shared" si="117"/>
        <v>For rapid annealing at 25°C/h</v>
      </c>
    </row>
    <row r="1018" spans="1:31" ht="15" thickBot="1">
      <c r="A1018" s="34">
        <v>1016</v>
      </c>
      <c r="B1018" s="34" t="s">
        <v>753</v>
      </c>
      <c r="C1018" s="41" t="s">
        <v>1358</v>
      </c>
      <c r="D1018" s="34" t="s">
        <v>683</v>
      </c>
      <c r="E1018" s="80">
        <f t="shared" si="110"/>
        <v>1.7307700112259028</v>
      </c>
      <c r="F1018" s="35">
        <f t="shared" si="111"/>
        <v>40.508515801675287</v>
      </c>
      <c r="G1018" s="42" cm="1">
        <f t="array" ref="G101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40.251555822693412</v>
      </c>
      <c r="H1018" s="81" cm="1">
        <f t="array" ref="H10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1.7254179377123555</v>
      </c>
      <c r="I1018" s="81" cm="1">
        <f t="array" ref="I10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1.7307700112259028</v>
      </c>
      <c r="J1018" s="81" cm="1">
        <f t="array" ref="J10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1.7350521830059857</v>
      </c>
      <c r="K1018" s="81" cm="1">
        <f t="array" ref="K10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1.7434578485005874</v>
      </c>
      <c r="L1018" s="81" cm="1">
        <f t="array" ref="L10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1.7537770132320345</v>
      </c>
      <c r="M1018" s="37">
        <f t="shared" si="112"/>
        <v>1.8039910788231861E-2</v>
      </c>
      <c r="N1018" s="43">
        <f t="shared" si="113"/>
        <v>5.352073513547273E-3</v>
      </c>
      <c r="O1018" s="43">
        <f t="shared" si="114"/>
        <v>1.0319164731447117E-2</v>
      </c>
      <c r="P1018" s="43">
        <f t="shared" si="115"/>
        <v>0.29667959982588382</v>
      </c>
      <c r="Q1018" s="37">
        <f t="shared" si="116"/>
        <v>0.5720186120975006</v>
      </c>
      <c r="R1018" s="37">
        <v>-4.7000000000000002E-3</v>
      </c>
      <c r="S1018" s="44" t="s">
        <v>1393</v>
      </c>
      <c r="T1018" s="45">
        <v>0.26530456000000002</v>
      </c>
      <c r="U1018" s="45">
        <v>1.45255299</v>
      </c>
      <c r="V1018" s="45">
        <v>1.65170478</v>
      </c>
      <c r="W1018" s="45">
        <v>4.2084420300000001E-2</v>
      </c>
      <c r="X1018" s="45">
        <v>117.34927399999999</v>
      </c>
      <c r="Y1018" s="45">
        <v>9.3561155199999996E-3</v>
      </c>
      <c r="Z1018" s="36">
        <v>3.21</v>
      </c>
      <c r="AA1018" s="38">
        <v>496</v>
      </c>
      <c r="AB1018" s="38">
        <v>591</v>
      </c>
      <c r="AC1018" s="39" t="s">
        <v>508</v>
      </c>
      <c r="AD1018" s="49" t="s">
        <v>506</v>
      </c>
      <c r="AE1018" s="48" t="str">
        <f t="shared" si="117"/>
        <v/>
      </c>
    </row>
    <row r="1019" spans="1:31" ht="15" thickBot="1">
      <c r="A1019" s="34">
        <v>1017</v>
      </c>
      <c r="B1019" s="34" t="s">
        <v>753</v>
      </c>
      <c r="C1019" s="41" t="s">
        <v>1358</v>
      </c>
      <c r="D1019" s="34" t="s">
        <v>1324</v>
      </c>
      <c r="E1019" s="80">
        <f t="shared" si="110"/>
        <v>1.7298600190715701</v>
      </c>
      <c r="F1019" s="35">
        <f t="shared" si="111"/>
        <v>40.498060435367584</v>
      </c>
      <c r="G1019" s="42" cm="1">
        <f t="array" ref="G101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40.242031090298006</v>
      </c>
      <c r="H1019" s="81" cm="1">
        <f t="array" ref="H10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1.724512486004725</v>
      </c>
      <c r="I1019" s="81" cm="1">
        <f t="array" ref="I10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1.7298600190715701</v>
      </c>
      <c r="J1019" s="81" cm="1">
        <f t="array" ref="J10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1.7341381067686101</v>
      </c>
      <c r="K1019" s="81" cm="1">
        <f t="array" ref="K10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1.7425345841305446</v>
      </c>
      <c r="L1019" s="81" cm="1">
        <f t="array" ref="L10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1.7528409899164823</v>
      </c>
      <c r="M1019" s="37">
        <f t="shared" si="112"/>
        <v>1.8022098125819674E-2</v>
      </c>
      <c r="N1019" s="43">
        <f t="shared" si="113"/>
        <v>5.3475330668451004E-3</v>
      </c>
      <c r="O1019" s="43">
        <f t="shared" si="114"/>
        <v>1.0306405785937667E-2</v>
      </c>
      <c r="P1019" s="43">
        <f t="shared" si="115"/>
        <v>0.29672089395539708</v>
      </c>
      <c r="Q1019" s="37">
        <f t="shared" si="116"/>
        <v>0.57187602209156851</v>
      </c>
      <c r="R1019" s="37">
        <v>-4.8999999999999998E-3</v>
      </c>
      <c r="S1019" s="44" t="s">
        <v>1393</v>
      </c>
      <c r="T1019" s="45">
        <v>0.24412415600000001</v>
      </c>
      <c r="U1019" s="45">
        <v>1.3959251100000001</v>
      </c>
      <c r="V1019" s="45">
        <v>1.6697753900000001</v>
      </c>
      <c r="W1019" s="45">
        <v>4.3078457200000003E-2</v>
      </c>
      <c r="X1019" s="45">
        <v>113.324709</v>
      </c>
      <c r="Y1019" s="45">
        <v>9.6421116500000001E-3</v>
      </c>
      <c r="Z1019" s="36">
        <v>3.21</v>
      </c>
      <c r="AA1019" s="38">
        <v>496</v>
      </c>
      <c r="AB1019" s="38">
        <v>591</v>
      </c>
      <c r="AC1019" s="39" t="s">
        <v>508</v>
      </c>
      <c r="AD1019" s="49" t="s">
        <v>506</v>
      </c>
      <c r="AE1019" s="48" t="str">
        <f t="shared" si="117"/>
        <v>For rapid annealing at 25°C/h</v>
      </c>
    </row>
    <row r="1020" spans="1:31" ht="15" thickBot="1">
      <c r="A1020" s="34">
        <v>1018</v>
      </c>
      <c r="B1020" s="34" t="s">
        <v>753</v>
      </c>
      <c r="C1020" s="41" t="s">
        <v>1358</v>
      </c>
      <c r="D1020" s="34" t="s">
        <v>750</v>
      </c>
      <c r="E1020" s="80">
        <f t="shared" si="110"/>
        <v>1.803370036258648</v>
      </c>
      <c r="F1020" s="35">
        <f t="shared" si="111"/>
        <v>45.492104946464956</v>
      </c>
      <c r="G1020" s="42" cm="1">
        <f t="array" ref="G102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45.240222716595909</v>
      </c>
      <c r="H1020" s="81" cm="1">
        <f t="array" ref="H10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1.7980815262406959</v>
      </c>
      <c r="I1020" s="81" cm="1">
        <f t="array" ref="I10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1.803370036258648</v>
      </c>
      <c r="J1020" s="81" cm="1">
        <f t="array" ref="J10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1.8075721012941079</v>
      </c>
      <c r="K1020" s="81" cm="1">
        <f t="array" ref="K10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1.815741074797617</v>
      </c>
      <c r="L1020" s="81" cm="1">
        <f t="array" ref="L10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1.8256179966275294</v>
      </c>
      <c r="M1020" s="37">
        <f t="shared" si="112"/>
        <v>1.765954855692109E-2</v>
      </c>
      <c r="N1020" s="43">
        <f t="shared" si="113"/>
        <v>5.2885100179520528E-3</v>
      </c>
      <c r="O1020" s="43">
        <f t="shared" si="114"/>
        <v>9.8769218299123995E-3</v>
      </c>
      <c r="P1020" s="43">
        <f t="shared" si="115"/>
        <v>0.29947028379043089</v>
      </c>
      <c r="Q1020" s="37">
        <f t="shared" si="116"/>
        <v>0.55929639413355547</v>
      </c>
      <c r="R1020" s="37">
        <v>-8.8999999999999999E-3</v>
      </c>
      <c r="S1020" s="44" t="s">
        <v>1393</v>
      </c>
      <c r="T1020" s="45">
        <v>1.13754975</v>
      </c>
      <c r="U1020" s="45">
        <v>0.27377557000000002</v>
      </c>
      <c r="V1020" s="45">
        <v>1.8965375499999999</v>
      </c>
      <c r="W1020" s="45">
        <v>87.601075699999996</v>
      </c>
      <c r="X1020" s="45">
        <v>3.4880985599999997E-2</v>
      </c>
      <c r="Y1020" s="45">
        <v>9.8258993700000002E-3</v>
      </c>
      <c r="Z1020" s="36">
        <v>4.8899999999999997</v>
      </c>
      <c r="AA1020" s="38">
        <v>605</v>
      </c>
      <c r="AB1020" s="38">
        <v>694</v>
      </c>
      <c r="AC1020" s="39" t="s">
        <v>508</v>
      </c>
      <c r="AD1020" s="49" t="s">
        <v>506</v>
      </c>
      <c r="AE1020" s="48" t="str">
        <f t="shared" si="117"/>
        <v/>
      </c>
    </row>
    <row r="1021" spans="1:31" ht="15" thickBot="1">
      <c r="A1021" s="34">
        <v>1019</v>
      </c>
      <c r="B1021" s="34" t="s">
        <v>753</v>
      </c>
      <c r="C1021" s="41" t="s">
        <v>1358</v>
      </c>
      <c r="D1021" s="34" t="s">
        <v>1325</v>
      </c>
      <c r="E1021" s="80">
        <f t="shared" si="110"/>
        <v>1.8022500354279241</v>
      </c>
      <c r="F1021" s="35">
        <f t="shared" si="111"/>
        <v>45.453293478106851</v>
      </c>
      <c r="G1021" s="42" cm="1">
        <f t="array" ref="G102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45.201473059185865</v>
      </c>
      <c r="H1021" s="81" cm="1">
        <f t="array" ref="H10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1.796964628152248</v>
      </c>
      <c r="I1021" s="81" cm="1">
        <f t="array" ref="I10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1.8022500354279241</v>
      </c>
      <c r="J1021" s="81" cm="1">
        <f t="array" ref="J10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1.8064497342678341</v>
      </c>
      <c r="K1021" s="81" cm="1">
        <f t="array" ref="K10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1.8146146150737532</v>
      </c>
      <c r="L1021" s="81" cm="1">
        <f t="array" ref="L10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1.8244877142761249</v>
      </c>
      <c r="M1021" s="37">
        <f t="shared" si="112"/>
        <v>1.7649986921505212E-2</v>
      </c>
      <c r="N1021" s="43">
        <f t="shared" si="113"/>
        <v>5.2854072756760573E-3</v>
      </c>
      <c r="O1021" s="43">
        <f t="shared" si="114"/>
        <v>9.8730992023716713E-3</v>
      </c>
      <c r="P1021" s="43">
        <f t="shared" si="115"/>
        <v>0.29945672476596441</v>
      </c>
      <c r="Q1021" s="37">
        <f t="shared" si="116"/>
        <v>0.5593828055669563</v>
      </c>
      <c r="R1021" s="37">
        <v>-8.9999999999999993E-3</v>
      </c>
      <c r="S1021" s="44" t="s">
        <v>1393</v>
      </c>
      <c r="T1021" s="45">
        <v>0.28107785400000002</v>
      </c>
      <c r="U1021" s="45">
        <v>1.19505397</v>
      </c>
      <c r="V1021" s="45">
        <v>1.8853400899999999</v>
      </c>
      <c r="W1021" s="45">
        <v>3.4676110699999999E-2</v>
      </c>
      <c r="X1021" s="45">
        <v>91.838564199999993</v>
      </c>
      <c r="Y1021" s="45">
        <v>9.7531174299999995E-3</v>
      </c>
      <c r="Z1021" s="36">
        <v>4.8899999999999997</v>
      </c>
      <c r="AA1021" s="38">
        <v>605</v>
      </c>
      <c r="AB1021" s="38">
        <v>694</v>
      </c>
      <c r="AC1021" s="39" t="s">
        <v>508</v>
      </c>
      <c r="AD1021" s="49" t="s">
        <v>506</v>
      </c>
      <c r="AE1021" s="48" t="str">
        <f t="shared" si="117"/>
        <v>For rapid annealing at 25°C/h</v>
      </c>
    </row>
    <row r="1022" spans="1:31" ht="15" thickBot="1">
      <c r="A1022" s="34">
        <v>1020</v>
      </c>
      <c r="B1022" s="34" t="s">
        <v>753</v>
      </c>
      <c r="C1022" s="41" t="s">
        <v>1358</v>
      </c>
      <c r="D1022" s="34" t="s">
        <v>684</v>
      </c>
      <c r="E1022" s="80">
        <f t="shared" si="110"/>
        <v>1.8100002367171364</v>
      </c>
      <c r="F1022" s="35">
        <f t="shared" si="111"/>
        <v>40.993363536187239</v>
      </c>
      <c r="G1022" s="42" cm="1">
        <f t="array" ref="G102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40.736188145660115</v>
      </c>
      <c r="H1022" s="81" cm="1">
        <f t="array" ref="H10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1.8041341456338398</v>
      </c>
      <c r="I1022" s="81" cm="1">
        <f t="array" ref="I10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1.8100002367171364</v>
      </c>
      <c r="J1022" s="81" cm="1">
        <f t="array" ref="J10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1.8146930795659055</v>
      </c>
      <c r="K1022" s="81" cm="1">
        <f t="array" ref="K10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1.8238934473071973</v>
      </c>
      <c r="L1022" s="81" cm="1">
        <f t="array" ref="L10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1.835155780789876</v>
      </c>
      <c r="M1022" s="37">
        <f t="shared" si="112"/>
        <v>1.9759301673357488E-2</v>
      </c>
      <c r="N1022" s="43">
        <f t="shared" si="113"/>
        <v>5.8660910832966096E-3</v>
      </c>
      <c r="O1022" s="43">
        <f t="shared" si="114"/>
        <v>1.1262333482678688E-2</v>
      </c>
      <c r="P1022" s="43">
        <f t="shared" si="115"/>
        <v>0.2968774494296107</v>
      </c>
      <c r="Q1022" s="37">
        <f t="shared" si="116"/>
        <v>0.56997629110872317</v>
      </c>
      <c r="R1022" s="37">
        <v>-6.0000000000000001E-3</v>
      </c>
      <c r="S1022" s="44" t="s">
        <v>1393</v>
      </c>
      <c r="T1022" s="45">
        <v>1.8820593299999999</v>
      </c>
      <c r="U1022" s="45">
        <v>0.30290885899999997</v>
      </c>
      <c r="V1022" s="45">
        <v>1.2538738</v>
      </c>
      <c r="W1022" s="45">
        <v>9.8491516900000003E-3</v>
      </c>
      <c r="X1022" s="45">
        <v>4.06191391E-2</v>
      </c>
      <c r="Y1022" s="45">
        <v>95.893603999999996</v>
      </c>
      <c r="Z1022" s="36">
        <v>4.5599999999999996</v>
      </c>
      <c r="AA1022" s="38">
        <v>546</v>
      </c>
      <c r="AB1022" s="38">
        <v>644</v>
      </c>
      <c r="AC1022" s="39" t="s">
        <v>508</v>
      </c>
      <c r="AD1022" s="39" t="s">
        <v>1371</v>
      </c>
      <c r="AE1022" s="48" t="str">
        <f t="shared" si="117"/>
        <v/>
      </c>
    </row>
    <row r="1023" spans="1:31" ht="15" thickBot="1">
      <c r="A1023" s="34">
        <v>1021</v>
      </c>
      <c r="B1023" s="34" t="s">
        <v>753</v>
      </c>
      <c r="C1023" s="41" t="s">
        <v>1358</v>
      </c>
      <c r="D1023" s="34" t="s">
        <v>1326</v>
      </c>
      <c r="E1023" s="80">
        <f t="shared" si="110"/>
        <v>1.8088200105629912</v>
      </c>
      <c r="F1023" s="35">
        <f t="shared" si="111"/>
        <v>40.970813006970076</v>
      </c>
      <c r="G1023" s="42" cm="1">
        <f t="array" ref="G102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40.713437211027781</v>
      </c>
      <c r="H1023" s="81" cm="1">
        <f t="array" ref="H10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1.8029597143180607</v>
      </c>
      <c r="I1023" s="81" cm="1">
        <f t="array" ref="I10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1.8088200105629912</v>
      </c>
      <c r="J1023" s="81" cm="1">
        <f t="array" ref="J10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1.813508496111599</v>
      </c>
      <c r="K1023" s="81" cm="1">
        <f t="array" ref="K10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1.8227010850940175</v>
      </c>
      <c r="L1023" s="81" cm="1">
        <f t="array" ref="L10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1.8339548418331633</v>
      </c>
      <c r="M1023" s="37">
        <f t="shared" si="112"/>
        <v>1.9741370775956835E-2</v>
      </c>
      <c r="N1023" s="43">
        <f t="shared" si="113"/>
        <v>5.8602962449305629E-3</v>
      </c>
      <c r="O1023" s="43">
        <f t="shared" si="114"/>
        <v>1.1253756739145748E-2</v>
      </c>
      <c r="P1023" s="43">
        <f t="shared" si="115"/>
        <v>0.29685356257367207</v>
      </c>
      <c r="Q1023" s="37">
        <f t="shared" si="116"/>
        <v>0.57005953977885793</v>
      </c>
      <c r="R1023" s="37">
        <v>-5.7999999999999996E-3</v>
      </c>
      <c r="S1023" s="44" t="s">
        <v>1393</v>
      </c>
      <c r="T1023" s="45">
        <v>1.8574355899999999</v>
      </c>
      <c r="U1023" s="45">
        <v>0.32346981600000002</v>
      </c>
      <c r="V1023" s="45">
        <v>1.2894946</v>
      </c>
      <c r="W1023" s="45">
        <v>9.6236363700000008E-3</v>
      </c>
      <c r="X1023" s="45">
        <v>3.9839838500000002E-2</v>
      </c>
      <c r="Y1023" s="45">
        <v>98.465471800000003</v>
      </c>
      <c r="Z1023" s="36">
        <v>4.5599999999999996</v>
      </c>
      <c r="AA1023" s="38">
        <v>546</v>
      </c>
      <c r="AB1023" s="38">
        <v>644</v>
      </c>
      <c r="AC1023" s="39" t="s">
        <v>508</v>
      </c>
      <c r="AD1023" s="39" t="s">
        <v>1371</v>
      </c>
      <c r="AE1023" s="48" t="str">
        <f t="shared" si="117"/>
        <v>For rapid annealing at 25°C/h</v>
      </c>
    </row>
    <row r="1024" spans="1:31" ht="15" thickBot="1">
      <c r="A1024" s="34">
        <v>1022</v>
      </c>
      <c r="B1024" s="34" t="s">
        <v>753</v>
      </c>
      <c r="C1024" s="41" t="s">
        <v>1358</v>
      </c>
      <c r="D1024" s="34" t="s">
        <v>751</v>
      </c>
      <c r="E1024" s="80">
        <f t="shared" si="110"/>
        <v>1.8224101366918029</v>
      </c>
      <c r="F1024" s="35">
        <f t="shared" si="111"/>
        <v>42.715059781845241</v>
      </c>
      <c r="G1024" s="42" cm="1">
        <f t="array" ref="G102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42.45297886084213</v>
      </c>
      <c r="H1024" s="81" cm="1">
        <f t="array" ref="H10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1.8166810923027532</v>
      </c>
      <c r="I1024" s="81" cm="1">
        <f t="array" ref="I10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1.8224101366918029</v>
      </c>
      <c r="J1024" s="81" cm="1">
        <f t="array" ref="J10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1.826986146454036</v>
      </c>
      <c r="K1024" s="81" cm="1">
        <f t="array" ref="K10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1.8359344924125043</v>
      </c>
      <c r="L1024" s="81" cm="1">
        <f t="array" ref="L10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1.8468387174395562</v>
      </c>
      <c r="M1024" s="37">
        <f t="shared" si="112"/>
        <v>1.9253400109751073E-2</v>
      </c>
      <c r="N1024" s="43">
        <f t="shared" si="113"/>
        <v>5.7290443890496423E-3</v>
      </c>
      <c r="O1024" s="43">
        <f t="shared" si="114"/>
        <v>1.0904225027051906E-2</v>
      </c>
      <c r="P1024" s="43">
        <f t="shared" si="115"/>
        <v>0.29756013776227047</v>
      </c>
      <c r="Q1024" s="37">
        <f t="shared" si="116"/>
        <v>0.56635321371259273</v>
      </c>
      <c r="R1024" s="37">
        <v>-6.7999999999999996E-3</v>
      </c>
      <c r="S1024" s="44" t="s">
        <v>1393</v>
      </c>
      <c r="T1024" s="45">
        <v>0.42742585999999999</v>
      </c>
      <c r="U1024" s="45">
        <v>1.80371405</v>
      </c>
      <c r="V1024" s="45">
        <v>1.2694916000000001</v>
      </c>
      <c r="W1024" s="45">
        <v>3.4443201499999999E-2</v>
      </c>
      <c r="X1024" s="45">
        <v>8.7810546800000007E-3</v>
      </c>
      <c r="Y1024" s="45">
        <v>99.795366999999999</v>
      </c>
      <c r="Z1024" s="36">
        <v>4.92</v>
      </c>
      <c r="AA1024" s="38">
        <v>594</v>
      </c>
      <c r="AB1024" s="38">
        <v>696</v>
      </c>
      <c r="AC1024" s="39" t="s">
        <v>508</v>
      </c>
      <c r="AD1024" s="49" t="s">
        <v>506</v>
      </c>
      <c r="AE1024" s="48" t="str">
        <f t="shared" ref="AE1024:AE1037" si="118">IF(RIGHT(D1024,3)="-25","For rapid annealing at 25°C/h","")</f>
        <v/>
      </c>
    </row>
    <row r="1025" spans="1:31" ht="15" thickBot="1">
      <c r="A1025" s="34">
        <v>1023</v>
      </c>
      <c r="B1025" s="34" t="s">
        <v>753</v>
      </c>
      <c r="C1025" s="41" t="s">
        <v>1358</v>
      </c>
      <c r="D1025" s="34" t="s">
        <v>1327</v>
      </c>
      <c r="E1025" s="80">
        <f t="shared" si="110"/>
        <v>1.8213099753118933</v>
      </c>
      <c r="F1025" s="35">
        <f t="shared" si="111"/>
        <v>42.675413861300527</v>
      </c>
      <c r="G1025" s="42" cm="1">
        <f t="array" ref="G102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42.414085718722291</v>
      </c>
      <c r="H1025" s="81" cm="1">
        <f t="array" ref="H10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1.8155830005761961</v>
      </c>
      <c r="I1025" s="81" cm="1">
        <f t="array" ref="I10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1.8213099753118933</v>
      </c>
      <c r="J1025" s="81" cm="1">
        <f t="array" ref="J10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1.8258841837065671</v>
      </c>
      <c r="K1025" s="81" cm="1">
        <f t="array" ref="K10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1.8348285075554895</v>
      </c>
      <c r="L1025" s="81" cm="1">
        <f t="array" ref="L10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1.8457273566113563</v>
      </c>
      <c r="M1025" s="37">
        <f t="shared" si="112"/>
        <v>1.9245506979293392E-2</v>
      </c>
      <c r="N1025" s="43">
        <f t="shared" si="113"/>
        <v>5.7269747356971656E-3</v>
      </c>
      <c r="O1025" s="43">
        <f t="shared" si="114"/>
        <v>1.0898849055866799E-2</v>
      </c>
      <c r="P1025" s="43">
        <f t="shared" si="115"/>
        <v>0.29757463608825307</v>
      </c>
      <c r="Q1025" s="37">
        <f t="shared" si="116"/>
        <v>0.56630615486477331</v>
      </c>
      <c r="R1025" s="37">
        <v>-6.7999999999999996E-3</v>
      </c>
      <c r="S1025" s="44" t="s">
        <v>1393</v>
      </c>
      <c r="T1025" s="45">
        <v>0.38473215500000002</v>
      </c>
      <c r="U1025" s="45">
        <v>1.8424092000000001</v>
      </c>
      <c r="V1025" s="45">
        <v>1.2128076400000001</v>
      </c>
      <c r="W1025" s="45">
        <v>3.55326885E-2</v>
      </c>
      <c r="X1025" s="45">
        <v>9.1690259099999998E-3</v>
      </c>
      <c r="Y1025" s="45">
        <v>95.909169700000007</v>
      </c>
      <c r="Z1025" s="36">
        <v>4.92</v>
      </c>
      <c r="AA1025" s="38">
        <v>594</v>
      </c>
      <c r="AB1025" s="38">
        <v>696</v>
      </c>
      <c r="AC1025" s="39" t="s">
        <v>508</v>
      </c>
      <c r="AD1025" s="49" t="s">
        <v>506</v>
      </c>
      <c r="AE1025" s="48" t="str">
        <f t="shared" si="118"/>
        <v>For rapid annealing at 25°C/h</v>
      </c>
    </row>
    <row r="1026" spans="1:31" ht="15" thickBot="1">
      <c r="A1026" s="34">
        <v>1024</v>
      </c>
      <c r="B1026" s="34" t="s">
        <v>753</v>
      </c>
      <c r="C1026" s="41" t="s">
        <v>1358</v>
      </c>
      <c r="D1026" s="34" t="s">
        <v>685</v>
      </c>
      <c r="E1026" s="80">
        <f t="shared" si="110"/>
        <v>1.8838500251836143</v>
      </c>
      <c r="F1026" s="35">
        <f t="shared" si="111"/>
        <v>37.199356514748644</v>
      </c>
      <c r="G1026" s="42" cm="1">
        <f t="array" ref="G102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36.949038116178819</v>
      </c>
      <c r="H1026" s="81" cm="1">
        <f t="array" ref="H10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1.8768469503861804</v>
      </c>
      <c r="I1026" s="81" cm="1">
        <f t="array" ref="I10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1.8838500251836143</v>
      </c>
      <c r="J1026" s="81" cm="1">
        <f t="array" ref="J10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1.8894863680414775</v>
      </c>
      <c r="K1026" s="81" cm="1">
        <f t="array" ref="K10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1.9006067706624583</v>
      </c>
      <c r="L1026" s="81" cm="1">
        <f t="array" ref="L10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1.9143333891857424</v>
      </c>
      <c r="M1026" s="37">
        <f t="shared" si="112"/>
        <v>2.3759820276277877E-2</v>
      </c>
      <c r="N1026" s="43">
        <f t="shared" si="113"/>
        <v>7.0030747974338947E-3</v>
      </c>
      <c r="O1026" s="43">
        <f t="shared" si="114"/>
        <v>1.3726618523284051E-2</v>
      </c>
      <c r="P1026" s="43">
        <f t="shared" si="115"/>
        <v>0.29474443476434281</v>
      </c>
      <c r="Q1026" s="37">
        <f t="shared" si="116"/>
        <v>0.57772400479766639</v>
      </c>
      <c r="R1026" s="37">
        <v>-4.7000000000000002E-3</v>
      </c>
      <c r="S1026" s="44" t="s">
        <v>1393</v>
      </c>
      <c r="T1026" s="45">
        <v>2.1097757599999998</v>
      </c>
      <c r="U1026" s="45">
        <v>0.32431307599999998</v>
      </c>
      <c r="V1026" s="45">
        <v>1.37618163</v>
      </c>
      <c r="W1026" s="45">
        <v>1.11387884E-2</v>
      </c>
      <c r="X1026" s="45">
        <v>4.5334397899999997E-2</v>
      </c>
      <c r="Y1026" s="45">
        <v>104.419881</v>
      </c>
      <c r="Z1026" s="36">
        <v>5.5</v>
      </c>
      <c r="AA1026" s="38">
        <v>604</v>
      </c>
      <c r="AB1026" s="38">
        <v>709</v>
      </c>
      <c r="AC1026" s="39" t="s">
        <v>508</v>
      </c>
      <c r="AD1026" s="49" t="s">
        <v>506</v>
      </c>
      <c r="AE1026" s="48" t="str">
        <f t="shared" si="118"/>
        <v/>
      </c>
    </row>
    <row r="1027" spans="1:31" ht="15" thickBot="1">
      <c r="A1027" s="34">
        <v>1025</v>
      </c>
      <c r="B1027" s="34" t="s">
        <v>753</v>
      </c>
      <c r="C1027" s="41" t="s">
        <v>1358</v>
      </c>
      <c r="D1027" s="34" t="s">
        <v>1328</v>
      </c>
      <c r="E1027" s="80">
        <f t="shared" ref="E1027:E1090" si="119">I1027</f>
        <v>1.8825900428094822</v>
      </c>
      <c r="F1027" s="35">
        <f t="shared" ref="F1027:F1037" si="120">(I1027-1)/M1027</f>
        <v>37.185949342059331</v>
      </c>
      <c r="G1027" s="42" cm="1">
        <f t="array" ref="G102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36.935454296514898</v>
      </c>
      <c r="H1027" s="81" cm="1">
        <f t="array" ref="H10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1.8755949422340772</v>
      </c>
      <c r="I1027" s="81" cm="1">
        <f t="array" ref="I10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1.8825900428094822</v>
      </c>
      <c r="J1027" s="81" cm="1">
        <f t="array" ref="J10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1.8882203432013338</v>
      </c>
      <c r="K1027" s="81" cm="1">
        <f t="array" ref="K10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1.8993294456802814</v>
      </c>
      <c r="L1027" s="81" cm="1">
        <f t="array" ref="L10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1.9130425129123276</v>
      </c>
      <c r="M1027" s="37">
        <f t="shared" ref="M1027:M1090" si="121">K1027-H1027</f>
        <v>2.3734503446204203E-2</v>
      </c>
      <c r="N1027" s="43">
        <f t="shared" ref="N1027:N1090" si="122">I1027-H1027</f>
        <v>6.9951005754049778E-3</v>
      </c>
      <c r="O1027" s="43">
        <f t="shared" ref="O1027:O1090" si="123">L1027-K1027</f>
        <v>1.3713067232046239E-2</v>
      </c>
      <c r="P1027" s="43">
        <f t="shared" ref="P1027:P1090" si="124">(I1027-H1027)/M1027</f>
        <v>0.29472285321914693</v>
      </c>
      <c r="Q1027" s="37">
        <f t="shared" ref="Q1027:Q1090" si="125">(L1027-K1027)/M1027</f>
        <v>0.5777692911557134</v>
      </c>
      <c r="R1027" s="37">
        <v>-4.7000000000000002E-3</v>
      </c>
      <c r="S1027" s="44" t="s">
        <v>1393</v>
      </c>
      <c r="T1027" s="45">
        <v>1.36012388</v>
      </c>
      <c r="U1027" s="45">
        <v>2.0960101199999999</v>
      </c>
      <c r="V1027" s="45">
        <v>0.333537105</v>
      </c>
      <c r="W1027" s="45">
        <v>103.579888</v>
      </c>
      <c r="X1027" s="45">
        <v>1.1037962E-2</v>
      </c>
      <c r="Y1027" s="45">
        <v>4.4941355400000001E-2</v>
      </c>
      <c r="Z1027" s="36">
        <v>5.5</v>
      </c>
      <c r="AA1027" s="38">
        <v>604</v>
      </c>
      <c r="AB1027" s="38">
        <v>709</v>
      </c>
      <c r="AC1027" s="39" t="s">
        <v>508</v>
      </c>
      <c r="AD1027" s="49" t="s">
        <v>506</v>
      </c>
      <c r="AE1027" s="48" t="str">
        <f t="shared" si="118"/>
        <v>For rapid annealing at 25°C/h</v>
      </c>
    </row>
    <row r="1028" spans="1:31" ht="15" thickBot="1">
      <c r="A1028" s="34">
        <v>1026</v>
      </c>
      <c r="B1028" s="34" t="s">
        <v>753</v>
      </c>
      <c r="C1028" s="41" t="s">
        <v>1358</v>
      </c>
      <c r="D1028" s="34" t="s">
        <v>686</v>
      </c>
      <c r="E1028" s="80">
        <f t="shared" si="119"/>
        <v>1.8087999272972715</v>
      </c>
      <c r="F1028" s="35">
        <f t="shared" si="120"/>
        <v>40.999941611069609</v>
      </c>
      <c r="G1028" s="42" cm="1">
        <f t="array" ref="G102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40.742811789421303</v>
      </c>
      <c r="H1028" s="81" cm="1">
        <f t="array" ref="H10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1.8029432754261887</v>
      </c>
      <c r="I1028" s="81" cm="1">
        <f t="array" ref="I10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1.8087999272972715</v>
      </c>
      <c r="J1028" s="81" cm="1">
        <f t="array" ref="J10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1.813485023417349</v>
      </c>
      <c r="K1028" s="81" cm="1">
        <f t="array" ref="K10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1.8226701310146587</v>
      </c>
      <c r="L1028" s="81" cm="1">
        <f t="array" ref="L10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1.8339143414722558</v>
      </c>
      <c r="M1028" s="37">
        <f t="shared" si="121"/>
        <v>1.9726855588469983E-2</v>
      </c>
      <c r="N1028" s="43">
        <f t="shared" si="122"/>
        <v>5.856651871082752E-3</v>
      </c>
      <c r="O1028" s="43">
        <f t="shared" si="123"/>
        <v>1.1244210457597159E-2</v>
      </c>
      <c r="P1028" s="43">
        <f t="shared" si="124"/>
        <v>0.29688724818900519</v>
      </c>
      <c r="Q1028" s="37">
        <f t="shared" si="125"/>
        <v>0.56999507129606664</v>
      </c>
      <c r="R1028" s="37">
        <v>-5.8999999999999999E-3</v>
      </c>
      <c r="S1028" s="44" t="s">
        <v>1393</v>
      </c>
      <c r="T1028" s="45">
        <v>1.8861874999999999</v>
      </c>
      <c r="U1028" s="45">
        <v>0.294671919</v>
      </c>
      <c r="V1028" s="45">
        <v>1.27989084</v>
      </c>
      <c r="W1028" s="45">
        <v>9.9116945700000007E-3</v>
      </c>
      <c r="X1028" s="45">
        <v>4.0968758299999998E-2</v>
      </c>
      <c r="Y1028" s="45">
        <v>97.797522999999998</v>
      </c>
      <c r="Z1028" s="36">
        <v>4.55</v>
      </c>
      <c r="AA1028" s="38">
        <v>546</v>
      </c>
      <c r="AB1028" s="38">
        <v>640</v>
      </c>
      <c r="AC1028" s="39" t="s">
        <v>508</v>
      </c>
      <c r="AD1028" s="49" t="s">
        <v>506</v>
      </c>
      <c r="AE1028" s="48" t="str">
        <f t="shared" si="118"/>
        <v/>
      </c>
    </row>
    <row r="1029" spans="1:31" ht="15" thickBot="1">
      <c r="A1029" s="34">
        <v>1027</v>
      </c>
      <c r="B1029" s="34" t="s">
        <v>753</v>
      </c>
      <c r="C1029" s="41" t="s">
        <v>1358</v>
      </c>
      <c r="D1029" s="34" t="s">
        <v>1329</v>
      </c>
      <c r="E1029" s="80">
        <f t="shared" si="119"/>
        <v>1.8075700522308802</v>
      </c>
      <c r="F1029" s="35">
        <f t="shared" si="120"/>
        <v>40.973839472072399</v>
      </c>
      <c r="G1029" s="42" cm="1">
        <f t="array" ref="G102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40.717790815555588</v>
      </c>
      <c r="H1029" s="81" cm="1">
        <f t="array" ref="H10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1.8017177886604197</v>
      </c>
      <c r="I1029" s="81" cm="1">
        <f t="array" ref="I10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1.8075700522308802</v>
      </c>
      <c r="J1029" s="81" cm="1">
        <f t="array" ref="J10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1.8122511315883925</v>
      </c>
      <c r="K1029" s="81" cm="1">
        <f t="array" ref="K10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1.8214271950191114</v>
      </c>
      <c r="L1029" s="81" cm="1">
        <f t="array" ref="L10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1.832659075757616</v>
      </c>
      <c r="M1029" s="37">
        <f t="shared" si="121"/>
        <v>1.9709406358691783E-2</v>
      </c>
      <c r="N1029" s="43">
        <f t="shared" si="122"/>
        <v>5.8522635704605364E-3</v>
      </c>
      <c r="O1029" s="43">
        <f t="shared" si="123"/>
        <v>1.1231880738504563E-2</v>
      </c>
      <c r="P1029" s="43">
        <f t="shared" si="124"/>
        <v>0.29692743982010944</v>
      </c>
      <c r="Q1029" s="37">
        <f t="shared" si="125"/>
        <v>0.56987412680500849</v>
      </c>
      <c r="R1029" s="37">
        <v>-6.0000000000000001E-3</v>
      </c>
      <c r="S1029" s="44" t="s">
        <v>1393</v>
      </c>
      <c r="T1029" s="45">
        <v>1.90958888</v>
      </c>
      <c r="U1029" s="45">
        <v>0.26689303399999997</v>
      </c>
      <c r="V1029" s="45">
        <v>1.26585975</v>
      </c>
      <c r="W1029" s="45">
        <v>1.02182926E-2</v>
      </c>
      <c r="X1029" s="45">
        <v>4.2132889399999998E-2</v>
      </c>
      <c r="Y1029" s="45">
        <v>97.0733228</v>
      </c>
      <c r="Z1029" s="36">
        <v>4.55</v>
      </c>
      <c r="AA1029" s="38">
        <v>546</v>
      </c>
      <c r="AB1029" s="38">
        <v>640</v>
      </c>
      <c r="AC1029" s="39" t="s">
        <v>508</v>
      </c>
      <c r="AD1029" s="49" t="s">
        <v>506</v>
      </c>
      <c r="AE1029" s="48" t="str">
        <f t="shared" si="118"/>
        <v>For rapid annealing at 25°C/h</v>
      </c>
    </row>
    <row r="1030" spans="1:31" ht="15" thickBot="1">
      <c r="A1030" s="34">
        <v>1028</v>
      </c>
      <c r="B1030" s="34" t="s">
        <v>753</v>
      </c>
      <c r="C1030" s="41" t="s">
        <v>1358</v>
      </c>
      <c r="D1030" s="34" t="s">
        <v>752</v>
      </c>
      <c r="E1030" s="80">
        <f t="shared" si="119"/>
        <v>1.8522200128718833</v>
      </c>
      <c r="F1030" s="35">
        <f t="shared" si="120"/>
        <v>40.108679102239073</v>
      </c>
      <c r="G1030" s="42" cm="1">
        <f t="array" ref="G103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39.857918002595767</v>
      </c>
      <c r="H1030" s="81" cm="1">
        <f t="array" ref="H10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1.8459180294315456</v>
      </c>
      <c r="I1030" s="81" cm="1">
        <f t="array" ref="I10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1.8522200128718833</v>
      </c>
      <c r="J1030" s="81" cm="1">
        <f t="array" ref="J10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1.8572671991040712</v>
      </c>
      <c r="K1030" s="81" cm="1">
        <f t="array" ref="K10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1.8671658000374918</v>
      </c>
      <c r="L1030" s="81" cm="1">
        <f t="array" ref="L10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1.87927626897801</v>
      </c>
      <c r="M1030" s="37">
        <f t="shared" si="121"/>
        <v>2.1247770605946181E-2</v>
      </c>
      <c r="N1030" s="43">
        <f t="shared" si="122"/>
        <v>6.3019834403377217E-3</v>
      </c>
      <c r="O1030" s="43">
        <f t="shared" si="123"/>
        <v>1.211046894051826E-2</v>
      </c>
      <c r="P1030" s="43">
        <f t="shared" si="124"/>
        <v>0.29659504317945307</v>
      </c>
      <c r="Q1030" s="37">
        <f t="shared" si="125"/>
        <v>0.56996421719317458</v>
      </c>
      <c r="R1030" s="37">
        <v>-7.4999999999999997E-3</v>
      </c>
      <c r="S1030" s="44" t="s">
        <v>1393</v>
      </c>
      <c r="T1030" s="45">
        <v>1.9596945800000001</v>
      </c>
      <c r="U1030" s="45">
        <v>0.36979719</v>
      </c>
      <c r="V1030" s="45">
        <v>1.41004927</v>
      </c>
      <c r="W1030" s="45">
        <v>1.01035507E-2</v>
      </c>
      <c r="X1030" s="45">
        <v>3.8687607300000003E-2</v>
      </c>
      <c r="Y1030" s="45">
        <v>107.90568399999999</v>
      </c>
      <c r="Z1030" s="36">
        <v>5.22</v>
      </c>
      <c r="AA1030" s="38">
        <v>606</v>
      </c>
      <c r="AB1030" s="38">
        <v>711</v>
      </c>
      <c r="AC1030" s="39" t="s">
        <v>508</v>
      </c>
      <c r="AD1030" s="39" t="s">
        <v>1371</v>
      </c>
      <c r="AE1030" s="48" t="str">
        <f t="shared" si="118"/>
        <v/>
      </c>
    </row>
    <row r="1031" spans="1:31" ht="15" thickBot="1">
      <c r="A1031" s="34">
        <v>1029</v>
      </c>
      <c r="B1031" s="34" t="s">
        <v>753</v>
      </c>
      <c r="C1031" s="41" t="s">
        <v>1358</v>
      </c>
      <c r="D1031" s="34" t="s">
        <v>1330</v>
      </c>
      <c r="E1031" s="80">
        <f t="shared" si="119"/>
        <v>1.8510999095445022</v>
      </c>
      <c r="F1031" s="35">
        <f t="shared" si="120"/>
        <v>40.056098042537371</v>
      </c>
      <c r="G1031" s="42" cm="1">
        <f t="array" ref="G103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39.805590972526581</v>
      </c>
      <c r="H1031" s="81" cm="1">
        <f t="array" ref="H10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1.8447985133414433</v>
      </c>
      <c r="I1031" s="81" cm="1">
        <f t="array" ref="I10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1.8510999095445022</v>
      </c>
      <c r="J1031" s="81" cm="1">
        <f t="array" ref="J10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1.8561471156549194</v>
      </c>
      <c r="K1031" s="81" cm="1">
        <f t="array" ref="K10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1.866046212222165</v>
      </c>
      <c r="L1031" s="81" cm="1">
        <f t="array" ref="L10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1.8781564368903494</v>
      </c>
      <c r="M1031" s="37">
        <f t="shared" si="121"/>
        <v>2.1247698880721755E-2</v>
      </c>
      <c r="N1031" s="43">
        <f t="shared" si="122"/>
        <v>6.3013962030589177E-3</v>
      </c>
      <c r="O1031" s="43">
        <f t="shared" si="123"/>
        <v>1.2110224668184344E-2</v>
      </c>
      <c r="P1031" s="43">
        <f t="shared" si="124"/>
        <v>0.29656840669820655</v>
      </c>
      <c r="Q1031" s="37">
        <f t="shared" si="125"/>
        <v>0.5699546447908328</v>
      </c>
      <c r="R1031" s="37">
        <v>-7.4999999999999997E-3</v>
      </c>
      <c r="S1031" s="44" t="s">
        <v>1393</v>
      </c>
      <c r="T1031" s="45">
        <v>1.37428361</v>
      </c>
      <c r="U1031" s="45">
        <v>0.41219916499999998</v>
      </c>
      <c r="V1031" s="45">
        <v>1.91320505</v>
      </c>
      <c r="W1031" s="45">
        <v>105.610997</v>
      </c>
      <c r="X1031" s="45">
        <v>3.7378737400000001E-2</v>
      </c>
      <c r="Y1031" s="45">
        <v>9.7537056299999998E-3</v>
      </c>
      <c r="Z1031" s="36">
        <v>5.22</v>
      </c>
      <c r="AA1031" s="38">
        <v>606</v>
      </c>
      <c r="AB1031" s="38">
        <v>711</v>
      </c>
      <c r="AC1031" s="39" t="s">
        <v>508</v>
      </c>
      <c r="AD1031" s="39" t="s">
        <v>1371</v>
      </c>
      <c r="AE1031" s="48" t="str">
        <f t="shared" si="118"/>
        <v>For rapid annealing at 25°C/h</v>
      </c>
    </row>
    <row r="1032" spans="1:31" ht="15" thickBot="1">
      <c r="A1032" s="34">
        <v>1030</v>
      </c>
      <c r="B1032" s="34" t="s">
        <v>753</v>
      </c>
      <c r="C1032" s="41" t="s">
        <v>1358</v>
      </c>
      <c r="D1032" s="34" t="s">
        <v>1331</v>
      </c>
      <c r="E1032" s="80">
        <f t="shared" si="119"/>
        <v>1.8455800138907112</v>
      </c>
      <c r="F1032" s="35">
        <f t="shared" si="120"/>
        <v>40.094812505797847</v>
      </c>
      <c r="G1032" s="42" cm="1">
        <f t="array" ref="G103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39.838171346422271</v>
      </c>
      <c r="H1032" s="81" cm="1">
        <f t="array" ref="H10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1.8393308018566148</v>
      </c>
      <c r="I1032" s="81" cm="1">
        <f t="array" ref="I10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1.8455800138907112</v>
      </c>
      <c r="J1032" s="81" cm="1">
        <f t="array" ref="J10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1.8505879549927338</v>
      </c>
      <c r="K1032" s="81" cm="1">
        <f t="array" ref="K10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1.8604203134678348</v>
      </c>
      <c r="L1032" s="81" cm="1">
        <f t="array" ref="L10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1.8724725484660407</v>
      </c>
      <c r="M1032" s="37">
        <f t="shared" si="121"/>
        <v>2.1089511611219969E-2</v>
      </c>
      <c r="N1032" s="43">
        <f t="shared" si="122"/>
        <v>6.2492120340964519E-3</v>
      </c>
      <c r="O1032" s="43">
        <f t="shared" si="123"/>
        <v>1.2052234998205957E-2</v>
      </c>
      <c r="P1032" s="43">
        <f t="shared" si="124"/>
        <v>0.29631848045128595</v>
      </c>
      <c r="Q1032" s="37">
        <f t="shared" si="125"/>
        <v>0.57148004279975684</v>
      </c>
      <c r="R1032" s="37">
        <v>-6.0000000000000001E-3</v>
      </c>
      <c r="S1032" s="44" t="s">
        <v>1393</v>
      </c>
      <c r="T1032" s="45">
        <v>1.9201708099999999</v>
      </c>
      <c r="U1032" s="45">
        <v>0.38637903400000001</v>
      </c>
      <c r="V1032" s="45">
        <v>1.291166</v>
      </c>
      <c r="W1032" s="45">
        <v>9.6191201799999994E-3</v>
      </c>
      <c r="X1032" s="45">
        <v>3.8956782199999998E-2</v>
      </c>
      <c r="Y1032" s="45">
        <v>97.977336800000003</v>
      </c>
      <c r="Z1032" s="36">
        <v>4.96</v>
      </c>
      <c r="AA1032" s="38">
        <v>614</v>
      </c>
      <c r="AB1032" s="38">
        <v>703</v>
      </c>
      <c r="AC1032" s="39" t="s">
        <v>508</v>
      </c>
      <c r="AD1032" s="49" t="s">
        <v>506</v>
      </c>
      <c r="AE1032" s="48" t="str">
        <f t="shared" si="118"/>
        <v/>
      </c>
    </row>
    <row r="1033" spans="1:31" ht="15" thickBot="1">
      <c r="A1033" s="34">
        <v>1031</v>
      </c>
      <c r="B1033" s="34" t="s">
        <v>753</v>
      </c>
      <c r="C1033" s="41" t="s">
        <v>1358</v>
      </c>
      <c r="D1033" s="34" t="s">
        <v>1332</v>
      </c>
      <c r="E1033" s="80">
        <f t="shared" si="119"/>
        <v>1.8444300168230026</v>
      </c>
      <c r="F1033" s="35">
        <f t="shared" si="120"/>
        <v>40.068462734128026</v>
      </c>
      <c r="G1033" s="42" cm="1">
        <f t="array" ref="G103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39.812720053113907</v>
      </c>
      <c r="H1033" s="81" cm="1">
        <f t="array" ref="H10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1.8381846252874137</v>
      </c>
      <c r="I1033" s="81" cm="1">
        <f t="array" ref="I10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1.8444300168230026</v>
      </c>
      <c r="J1033" s="81" cm="1">
        <f t="array" ref="J10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1.8494346001661557</v>
      </c>
      <c r="K1033" s="81" cm="1">
        <f t="array" ref="K10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1.8592593049532189</v>
      </c>
      <c r="L1033" s="81" cm="1">
        <f t="array" ref="L10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1.871300239960713</v>
      </c>
      <c r="M1033" s="37">
        <f t="shared" si="121"/>
        <v>2.1074679665805229E-2</v>
      </c>
      <c r="N1033" s="43">
        <f t="shared" si="122"/>
        <v>6.2453915355888956E-3</v>
      </c>
      <c r="O1033" s="43">
        <f t="shared" si="123"/>
        <v>1.2040935007494147E-2</v>
      </c>
      <c r="P1033" s="43">
        <f t="shared" si="124"/>
        <v>0.29634573975149764</v>
      </c>
      <c r="Q1033" s="37">
        <f t="shared" si="125"/>
        <v>0.57134605120623461</v>
      </c>
      <c r="R1033" s="37">
        <v>-6.1999999999999998E-3</v>
      </c>
      <c r="S1033" s="44" t="s">
        <v>1393</v>
      </c>
      <c r="T1033" s="45">
        <v>1.2265712600000001</v>
      </c>
      <c r="U1033" s="45">
        <v>0.36741199800000002</v>
      </c>
      <c r="V1033" s="45">
        <v>1.9349386500000001</v>
      </c>
      <c r="W1033" s="45">
        <v>93.644488499999994</v>
      </c>
      <c r="X1033" s="45">
        <v>3.9456134599999998E-2</v>
      </c>
      <c r="Y1033" s="45">
        <v>9.8283491199999996E-3</v>
      </c>
      <c r="Z1033" s="36">
        <v>4.96</v>
      </c>
      <c r="AA1033" s="38">
        <v>614</v>
      </c>
      <c r="AB1033" s="38">
        <v>703</v>
      </c>
      <c r="AC1033" s="39" t="s">
        <v>508</v>
      </c>
      <c r="AD1033" s="49" t="s">
        <v>506</v>
      </c>
      <c r="AE1033" s="48" t="str">
        <f t="shared" si="118"/>
        <v>For rapid annealing at 25°C/h</v>
      </c>
    </row>
    <row r="1034" spans="1:31" ht="15" thickBot="1">
      <c r="A1034" s="34">
        <v>1032</v>
      </c>
      <c r="B1034" s="34" t="s">
        <v>753</v>
      </c>
      <c r="C1034" s="41" t="s">
        <v>1358</v>
      </c>
      <c r="D1034" s="34" t="s">
        <v>687</v>
      </c>
      <c r="E1034" s="80">
        <f t="shared" si="119"/>
        <v>1.8537000439173528</v>
      </c>
      <c r="F1034" s="35">
        <f t="shared" si="120"/>
        <v>40.579905275643654</v>
      </c>
      <c r="G1034" s="42" cm="1">
        <f t="array" ref="G103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40.329183623474385</v>
      </c>
      <c r="H1034" s="81" cm="1">
        <f t="array" ref="H10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1.847455081220458</v>
      </c>
      <c r="I1034" s="81" cm="1">
        <f t="array" ref="I10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1.8537000439173528</v>
      </c>
      <c r="J1034" s="81" cm="1">
        <f t="array" ref="J10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1.8586987486904092</v>
      </c>
      <c r="K1034" s="81" cm="1">
        <f t="array" ref="K10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1.8684925882850629</v>
      </c>
      <c r="L1034" s="81" cm="1">
        <f t="array" ref="L10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1.8804520946723344</v>
      </c>
      <c r="M1034" s="37">
        <f t="shared" si="121"/>
        <v>2.1037507064604943E-2</v>
      </c>
      <c r="N1034" s="43">
        <f t="shared" si="122"/>
        <v>6.2449626968947847E-3</v>
      </c>
      <c r="O1034" s="43">
        <f t="shared" si="123"/>
        <v>1.1959506387271501E-2</v>
      </c>
      <c r="P1034" s="43">
        <f t="shared" si="124"/>
        <v>0.29684898869989074</v>
      </c>
      <c r="Q1034" s="37">
        <f t="shared" si="125"/>
        <v>0.56848496119547642</v>
      </c>
      <c r="R1034" s="37">
        <v>-8.0999999999999996E-3</v>
      </c>
      <c r="S1034" s="44" t="s">
        <v>1393</v>
      </c>
      <c r="T1034" s="45">
        <v>0.51669530500000005</v>
      </c>
      <c r="U1034" s="45">
        <v>1.8190001099999999</v>
      </c>
      <c r="V1034" s="45">
        <v>1.42320717</v>
      </c>
      <c r="W1034" s="45">
        <v>3.4049747399999997E-2</v>
      </c>
      <c r="X1034" s="45">
        <v>8.9567080800000004E-3</v>
      </c>
      <c r="Y1034" s="45">
        <v>110.045928</v>
      </c>
      <c r="Z1034" s="36">
        <v>5.28</v>
      </c>
      <c r="AA1034" s="38">
        <v>620</v>
      </c>
      <c r="AB1034" s="38">
        <v>721</v>
      </c>
      <c r="AC1034" s="39" t="s">
        <v>508</v>
      </c>
      <c r="AD1034" s="49" t="s">
        <v>506</v>
      </c>
      <c r="AE1034" s="48" t="str">
        <f t="shared" si="118"/>
        <v/>
      </c>
    </row>
    <row r="1035" spans="1:31" ht="15" thickBot="1">
      <c r="A1035" s="34">
        <v>1033</v>
      </c>
      <c r="B1035" s="34" t="s">
        <v>753</v>
      </c>
      <c r="C1035" s="41" t="s">
        <v>1358</v>
      </c>
      <c r="D1035" s="34" t="s">
        <v>1333</v>
      </c>
      <c r="E1035" s="80">
        <f t="shared" si="119"/>
        <v>1.852600056009795</v>
      </c>
      <c r="F1035" s="35">
        <f t="shared" si="120"/>
        <v>40.534564682215937</v>
      </c>
      <c r="G1035" s="42" cm="1">
        <f t="array" ref="G103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40.283191828653109</v>
      </c>
      <c r="H1035" s="81" cm="1">
        <f t="array" ref="H10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1.8463575233543952</v>
      </c>
      <c r="I1035" s="81" cm="1">
        <f t="array" ref="I10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1.852600056009795</v>
      </c>
      <c r="J1035" s="81" cm="1">
        <f t="array" ref="J10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1.8575977352297119</v>
      </c>
      <c r="K1035" s="81" cm="1">
        <f t="array" ref="K10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1.8673914252278712</v>
      </c>
      <c r="L1035" s="81" cm="1">
        <f t="array" ref="L10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1.879352535104305</v>
      </c>
      <c r="M1035" s="37">
        <f t="shared" si="121"/>
        <v>2.103390187347598E-2</v>
      </c>
      <c r="N1035" s="43">
        <f t="shared" si="122"/>
        <v>6.2425326553998683E-3</v>
      </c>
      <c r="O1035" s="43">
        <f t="shared" si="123"/>
        <v>1.196110987643384E-2</v>
      </c>
      <c r="P1035" s="43">
        <f t="shared" si="124"/>
        <v>0.29678433858587988</v>
      </c>
      <c r="Q1035" s="37">
        <f t="shared" si="125"/>
        <v>0.56865863254391957</v>
      </c>
      <c r="R1035" s="37">
        <v>-8.0999999999999996E-3</v>
      </c>
      <c r="S1035" s="44" t="s">
        <v>1393</v>
      </c>
      <c r="T1035" s="45">
        <v>1.7175415700000001</v>
      </c>
      <c r="U1035" s="45">
        <v>0.61424964100000001</v>
      </c>
      <c r="V1035" s="45">
        <v>1.4932967699999999</v>
      </c>
      <c r="W1035" s="45">
        <v>8.1252667999999993E-3</v>
      </c>
      <c r="X1035" s="45">
        <v>3.2307293299999998E-2</v>
      </c>
      <c r="Y1035" s="45">
        <v>115.416839</v>
      </c>
      <c r="Z1035" s="36">
        <v>5.28</v>
      </c>
      <c r="AA1035" s="38">
        <v>620</v>
      </c>
      <c r="AB1035" s="38">
        <v>721</v>
      </c>
      <c r="AC1035" s="39" t="s">
        <v>508</v>
      </c>
      <c r="AD1035" s="49" t="s">
        <v>506</v>
      </c>
      <c r="AE1035" s="48" t="str">
        <f t="shared" si="118"/>
        <v>For rapid annealing at 25°C/h</v>
      </c>
    </row>
    <row r="1036" spans="1:31" ht="15" thickBot="1">
      <c r="A1036" s="34">
        <v>1034</v>
      </c>
      <c r="B1036" s="34" t="s">
        <v>753</v>
      </c>
      <c r="C1036" s="41" t="s">
        <v>1358</v>
      </c>
      <c r="D1036" s="34" t="s">
        <v>1334</v>
      </c>
      <c r="E1036" s="80">
        <f t="shared" si="119"/>
        <v>1.8544999916920555</v>
      </c>
      <c r="F1036" s="35">
        <f t="shared" si="120"/>
        <v>40.594040523791662</v>
      </c>
      <c r="G1036" s="42" cm="1">
        <f t="array" ref="G103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40.341964613583762</v>
      </c>
      <c r="H1036" s="81" cm="1">
        <f t="array" ref="H10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1.848252723050082</v>
      </c>
      <c r="I1036" s="81" cm="1">
        <f t="array" ref="I10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1.8544999916920555</v>
      </c>
      <c r="J1036" s="81" cm="1">
        <f t="array" ref="J10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1.8595014709815474</v>
      </c>
      <c r="K1036" s="81" cm="1">
        <f t="array" ref="K10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1.8693026106854664</v>
      </c>
      <c r="L1036" s="81" cm="1">
        <f t="array" ref="L10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1.8812725683217717</v>
      </c>
      <c r="M1036" s="37">
        <f t="shared" si="121"/>
        <v>2.1049887635384401E-2</v>
      </c>
      <c r="N1036" s="43">
        <f t="shared" si="122"/>
        <v>6.2472686419734469E-3</v>
      </c>
      <c r="O1036" s="43">
        <f t="shared" si="123"/>
        <v>1.1969957636305262E-2</v>
      </c>
      <c r="P1036" s="43">
        <f t="shared" si="124"/>
        <v>0.29678394251720019</v>
      </c>
      <c r="Q1036" s="37">
        <f t="shared" si="125"/>
        <v>0.56864710366358562</v>
      </c>
      <c r="R1036" s="37">
        <v>-8.0000000000000002E-3</v>
      </c>
      <c r="S1036" s="44" t="s">
        <v>1393</v>
      </c>
      <c r="T1036" s="45">
        <v>0.63869048399999995</v>
      </c>
      <c r="U1036" s="45">
        <v>1.6999850400000001</v>
      </c>
      <c r="V1036" s="45">
        <v>1.4554739400000001</v>
      </c>
      <c r="W1036" s="45">
        <v>3.1925763699999998E-2</v>
      </c>
      <c r="X1036" s="45">
        <v>7.9179066799999996E-3</v>
      </c>
      <c r="Y1036" s="45">
        <v>112.179157</v>
      </c>
      <c r="Z1036" s="36">
        <v>5.29</v>
      </c>
      <c r="AA1036" s="38">
        <v>622</v>
      </c>
      <c r="AB1036" s="38">
        <v>723</v>
      </c>
      <c r="AC1036" s="39" t="s">
        <v>508</v>
      </c>
      <c r="AD1036" s="49" t="s">
        <v>506</v>
      </c>
      <c r="AE1036" s="48" t="str">
        <f t="shared" si="118"/>
        <v/>
      </c>
    </row>
    <row r="1037" spans="1:31" ht="15" thickBot="1">
      <c r="A1037" s="34">
        <v>1035</v>
      </c>
      <c r="B1037" s="34" t="s">
        <v>753</v>
      </c>
      <c r="C1037" s="41" t="s">
        <v>1358</v>
      </c>
      <c r="D1037" s="34" t="s">
        <v>1335</v>
      </c>
      <c r="E1037" s="80">
        <f t="shared" si="119"/>
        <v>1.8534399632537928</v>
      </c>
      <c r="F1037" s="35">
        <f t="shared" si="120"/>
        <v>40.558411701443433</v>
      </c>
      <c r="G1037" s="42" cm="1">
        <f t="array" ref="G103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40.306546496761072</v>
      </c>
      <c r="H1037" s="81" cm="1">
        <f t="array" ref="H10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1.8471951991185991</v>
      </c>
      <c r="I1037" s="81" cm="1">
        <f t="array" ref="I10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1.8534399632537928</v>
      </c>
      <c r="J1037" s="81" cm="1">
        <f t="array" ref="J10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1.8584396037752304</v>
      </c>
      <c r="K1037" s="81" cm="1">
        <f t="array" ref="K10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1.8682374423291097</v>
      </c>
      <c r="L1037" s="81" cm="1">
        <f t="array" ref="L10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1.8802038285705793</v>
      </c>
      <c r="M1037" s="37">
        <f t="shared" si="121"/>
        <v>2.1042243210510625E-2</v>
      </c>
      <c r="N1037" s="43">
        <f t="shared" si="122"/>
        <v>6.2447641351937033E-3</v>
      </c>
      <c r="O1037" s="43">
        <f t="shared" si="123"/>
        <v>1.1966386241469618E-2</v>
      </c>
      <c r="P1037" s="43">
        <f t="shared" si="124"/>
        <v>0.29677273818764893</v>
      </c>
      <c r="Q1037" s="37">
        <f t="shared" si="125"/>
        <v>0.56868396214964356</v>
      </c>
      <c r="R1037" s="37">
        <v>-8.0000000000000002E-3</v>
      </c>
      <c r="S1037" s="44" t="s">
        <v>1393</v>
      </c>
      <c r="T1037" s="45">
        <v>1.70152719</v>
      </c>
      <c r="U1037" s="45">
        <v>0.63329823600000001</v>
      </c>
      <c r="V1037" s="45">
        <v>1.43191921</v>
      </c>
      <c r="W1037" s="45">
        <v>7.9629565799999996E-3</v>
      </c>
      <c r="X1037" s="45">
        <v>3.2009972499999997E-2</v>
      </c>
      <c r="Y1037" s="45">
        <v>110.67927</v>
      </c>
      <c r="Z1037" s="36">
        <v>5.29</v>
      </c>
      <c r="AA1037" s="38">
        <v>622</v>
      </c>
      <c r="AB1037" s="38">
        <v>723</v>
      </c>
      <c r="AC1037" s="39" t="s">
        <v>508</v>
      </c>
      <c r="AD1037" s="49" t="s">
        <v>506</v>
      </c>
      <c r="AE1037" s="48" t="str">
        <f t="shared" si="118"/>
        <v>For rapid annealing at 25°C/h</v>
      </c>
    </row>
    <row r="1038" spans="1:31" ht="15" thickBot="1">
      <c r="A1038" s="34">
        <v>1036</v>
      </c>
      <c r="B1038" s="34" t="s">
        <v>1026</v>
      </c>
      <c r="C1038" s="41" t="s">
        <v>1365</v>
      </c>
      <c r="D1038" s="34" t="s">
        <v>902</v>
      </c>
      <c r="E1038" s="80">
        <f t="shared" si="119"/>
        <v>1.4342536283389522</v>
      </c>
      <c r="F1038" s="35">
        <v>95</v>
      </c>
      <c r="G1038" s="42" cm="1">
        <f t="array" ref="G103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94.347576703894262</v>
      </c>
      <c r="H1038" s="81" cm="1">
        <f t="array" ref="H10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1.432845946364586</v>
      </c>
      <c r="I1038" s="81" cm="1">
        <f t="array" ref="I10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1.4342536283389522</v>
      </c>
      <c r="J1038" s="81" cm="1">
        <f t="array" ref="J10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1.4353485745758809</v>
      </c>
      <c r="K1038" s="81" cm="1">
        <f t="array" ref="K10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1.4374280226744243</v>
      </c>
      <c r="L1038" s="81" cm="1">
        <f t="array" ref="L10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1.4398661640253669</v>
      </c>
      <c r="M1038" s="37">
        <f t="shared" si="121"/>
        <v>4.5820763098383122E-3</v>
      </c>
      <c r="N1038" s="43">
        <f t="shared" si="122"/>
        <v>1.4076819743662483E-3</v>
      </c>
      <c r="O1038" s="43">
        <f t="shared" si="123"/>
        <v>2.4381413509426686E-3</v>
      </c>
      <c r="P1038" s="43">
        <f t="shared" si="124"/>
        <v>0.3072148692381601</v>
      </c>
      <c r="Q1038" s="37">
        <f t="shared" si="125"/>
        <v>0.53210404761432339</v>
      </c>
      <c r="R1038" s="37">
        <v>4.9599999999999998E-2</v>
      </c>
      <c r="S1038" s="44" t="s">
        <v>1394</v>
      </c>
      <c r="T1038" s="45">
        <v>2.0408225999999998</v>
      </c>
      <c r="U1038" s="45">
        <v>-4.5471403000000004E-3</v>
      </c>
      <c r="V1038" s="45">
        <v>5.8631038E-3</v>
      </c>
      <c r="W1038" s="45">
        <v>1.2966470999999999E-4</v>
      </c>
      <c r="X1038" s="45">
        <v>-1.1902639E-5</v>
      </c>
      <c r="Y1038" s="45">
        <v>6.9279944000000004E-7</v>
      </c>
      <c r="Z1038" s="36">
        <v>3.54</v>
      </c>
      <c r="AA1038" s="38">
        <v>431</v>
      </c>
      <c r="AB1038" s="38"/>
      <c r="AC1038" s="39" t="s">
        <v>508</v>
      </c>
      <c r="AD1038" s="49" t="s">
        <v>506</v>
      </c>
      <c r="AE1038" s="48"/>
    </row>
    <row r="1039" spans="1:31" ht="15" thickBot="1">
      <c r="A1039" s="34">
        <v>1037</v>
      </c>
      <c r="B1039" s="34" t="s">
        <v>1026</v>
      </c>
      <c r="C1039" s="41" t="s">
        <v>1365</v>
      </c>
      <c r="D1039" s="34" t="s">
        <v>903</v>
      </c>
      <c r="E1039" s="80">
        <f t="shared" si="119"/>
        <v>1.4969986201023133</v>
      </c>
      <c r="F1039" s="35">
        <v>81.5</v>
      </c>
      <c r="G1039" s="42" cm="1">
        <f t="array" ref="G103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80.963375818183621</v>
      </c>
      <c r="H1039" s="81" cm="1">
        <f t="array" ref="H10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1.4951305964353319</v>
      </c>
      <c r="I1039" s="81" cm="1">
        <f t="array" ref="I10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1.4969986201023133</v>
      </c>
      <c r="J1039" s="81" cm="1">
        <f t="array" ref="J10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1.4984574075325543</v>
      </c>
      <c r="K1039" s="81" cm="1">
        <f t="array" ref="K10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1.5012398832866098</v>
      </c>
      <c r="L1039" s="81" cm="1">
        <f t="array" ref="L10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1.5045205476536585</v>
      </c>
      <c r="M1039" s="37">
        <f t="shared" si="121"/>
        <v>6.1092868512779841E-3</v>
      </c>
      <c r="N1039" s="43">
        <f t="shared" si="122"/>
        <v>1.8680236669814665E-3</v>
      </c>
      <c r="O1039" s="43">
        <f t="shared" si="123"/>
        <v>3.2806643670486579E-3</v>
      </c>
      <c r="P1039" s="43">
        <f t="shared" si="124"/>
        <v>0.30576787642418524</v>
      </c>
      <c r="Q1039" s="37">
        <f t="shared" si="125"/>
        <v>0.53699628891421025</v>
      </c>
      <c r="R1039" s="37">
        <v>3.09E-2</v>
      </c>
      <c r="S1039" s="44" t="s">
        <v>1394</v>
      </c>
      <c r="T1039" s="45">
        <v>2.2178347</v>
      </c>
      <c r="U1039" s="45">
        <v>-5.5966846000000004E-3</v>
      </c>
      <c r="V1039" s="45">
        <v>8.3703747000000005E-3</v>
      </c>
      <c r="W1039" s="45">
        <v>1.097485E-4</v>
      </c>
      <c r="X1039" s="45">
        <v>-3.3983937E-6</v>
      </c>
      <c r="Y1039" s="45">
        <v>2.5836351000000002E-7</v>
      </c>
      <c r="Z1039" s="36">
        <v>3.6</v>
      </c>
      <c r="AA1039" s="38">
        <v>461</v>
      </c>
      <c r="AB1039" s="38"/>
      <c r="AC1039" s="39" t="s">
        <v>508</v>
      </c>
      <c r="AD1039" s="49" t="s">
        <v>506</v>
      </c>
      <c r="AE1039" s="48"/>
    </row>
    <row r="1040" spans="1:31" ht="15" thickBot="1">
      <c r="A1040" s="34">
        <v>1038</v>
      </c>
      <c r="B1040" s="34" t="s">
        <v>1026</v>
      </c>
      <c r="C1040" s="41" t="s">
        <v>1365</v>
      </c>
      <c r="D1040" s="34" t="s">
        <v>904</v>
      </c>
      <c r="E1040" s="80">
        <f t="shared" si="119"/>
        <v>1.4856296973218712</v>
      </c>
      <c r="F1040" s="35">
        <v>85.2</v>
      </c>
      <c r="G1040" s="42" cm="1">
        <f t="array" ref="G104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84.738547502396599</v>
      </c>
      <c r="H1040" s="81" cm="1">
        <f t="array" ref="H10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1.4838917723961975</v>
      </c>
      <c r="I1040" s="81" cm="1">
        <f t="array" ref="I10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1.4856296973218712</v>
      </c>
      <c r="J1040" s="81" cm="1">
        <f t="array" ref="J10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1.4869908171201953</v>
      </c>
      <c r="K1040" s="81" cm="1">
        <f t="array" ref="K10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1.489592414218633</v>
      </c>
      <c r="L1040" s="81" cm="1">
        <f t="array" ref="L10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1.4926627764927531</v>
      </c>
      <c r="M1040" s="37">
        <f t="shared" si="121"/>
        <v>5.7006418224354594E-3</v>
      </c>
      <c r="N1040" s="43">
        <f t="shared" si="122"/>
        <v>1.7379249256737062E-3</v>
      </c>
      <c r="O1040" s="43">
        <f t="shared" si="123"/>
        <v>3.0703622741201642E-3</v>
      </c>
      <c r="P1040" s="43">
        <f t="shared" si="124"/>
        <v>0.30486478186261845</v>
      </c>
      <c r="Q1040" s="37">
        <f t="shared" si="125"/>
        <v>0.53859940156851094</v>
      </c>
      <c r="R1040" s="37">
        <v>3.8100000000000002E-2</v>
      </c>
      <c r="S1040" s="44" t="s">
        <v>1394</v>
      </c>
      <c r="T1040" s="45">
        <v>2.1858325999999999</v>
      </c>
      <c r="U1040" s="45">
        <v>-5.0155631999999999E-3</v>
      </c>
      <c r="V1040" s="45">
        <v>7.5107775000000003E-3</v>
      </c>
      <c r="W1040" s="45">
        <v>1.7770562E-4</v>
      </c>
      <c r="X1040" s="45">
        <v>-1.2164148000000001E-5</v>
      </c>
      <c r="Y1040" s="45">
        <v>6.1341004999999995E-7</v>
      </c>
      <c r="Z1040" s="36">
        <v>3.97</v>
      </c>
      <c r="AA1040" s="38">
        <v>452</v>
      </c>
      <c r="AB1040" s="38"/>
      <c r="AC1040" s="39" t="s">
        <v>508</v>
      </c>
      <c r="AD1040" s="49" t="s">
        <v>506</v>
      </c>
      <c r="AE1040" s="48"/>
    </row>
    <row r="1041" spans="1:31" ht="15" thickBot="1">
      <c r="A1041" s="34">
        <v>1039</v>
      </c>
      <c r="B1041" s="34" t="s">
        <v>1026</v>
      </c>
      <c r="C1041" s="41" t="s">
        <v>1365</v>
      </c>
      <c r="D1041" s="34" t="s">
        <v>905</v>
      </c>
      <c r="E1041" s="80">
        <f t="shared" si="119"/>
        <v>1.5923994219218724</v>
      </c>
      <c r="F1041" s="35">
        <v>90</v>
      </c>
      <c r="G1041" s="42" cm="1">
        <f t="array" ref="G104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67.973138393449815</v>
      </c>
      <c r="H1041" s="81" cm="1">
        <f t="array" ref="H10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1.589780021948662</v>
      </c>
      <c r="I1041" s="81" cm="1">
        <f t="array" ref="I10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1.5923994219218724</v>
      </c>
      <c r="J1041" s="81" cm="1">
        <f t="array" ref="J10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1.594466169909293</v>
      </c>
      <c r="K1041" s="81" cm="1">
        <f t="array" ref="K10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1.598444598933928</v>
      </c>
      <c r="L1041" s="81" cm="1">
        <f t="array" ref="L10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1.603179478391233</v>
      </c>
      <c r="M1041" s="37">
        <f t="shared" si="121"/>
        <v>8.6645769852660148E-3</v>
      </c>
      <c r="N1041" s="43">
        <f t="shared" si="122"/>
        <v>2.6193999732104789E-3</v>
      </c>
      <c r="O1041" s="43">
        <f t="shared" si="123"/>
        <v>4.7348794573049968E-3</v>
      </c>
      <c r="P1041" s="43">
        <f t="shared" si="124"/>
        <v>0.30231135087895578</v>
      </c>
      <c r="Q1041" s="37">
        <f t="shared" si="125"/>
        <v>0.54646400688188113</v>
      </c>
      <c r="R1041" s="37">
        <v>4.4400000000000002E-2</v>
      </c>
      <c r="S1041" s="44" t="s">
        <v>1394</v>
      </c>
      <c r="T1041" s="45">
        <v>2.4994866999999998</v>
      </c>
      <c r="U1041" s="45">
        <v>-5.9285872E-3</v>
      </c>
      <c r="V1041" s="45">
        <v>1.2743526E-2</v>
      </c>
      <c r="W1041" s="45">
        <v>1.5469636000000001E-4</v>
      </c>
      <c r="X1041" s="45">
        <v>3.9947612000000001E-6</v>
      </c>
      <c r="Y1041" s="45">
        <v>-1.7603560000000001E-7</v>
      </c>
      <c r="Z1041" s="36">
        <v>4.51</v>
      </c>
      <c r="AA1041" s="38">
        <v>512</v>
      </c>
      <c r="AB1041" s="38"/>
      <c r="AC1041" s="39" t="s">
        <v>508</v>
      </c>
      <c r="AD1041" s="49" t="s">
        <v>506</v>
      </c>
      <c r="AE1041" s="48"/>
    </row>
    <row r="1042" spans="1:31" ht="15" thickBot="1">
      <c r="A1042" s="34">
        <v>1040</v>
      </c>
      <c r="B1042" s="34" t="s">
        <v>1026</v>
      </c>
      <c r="C1042" s="41" t="s">
        <v>1365</v>
      </c>
      <c r="D1042" s="34" t="s">
        <v>906</v>
      </c>
      <c r="E1042" s="80">
        <f t="shared" si="119"/>
        <v>1.5690764020081236</v>
      </c>
      <c r="F1042" s="35">
        <v>68.3</v>
      </c>
      <c r="G1042" s="42" cm="1">
        <f t="array" ref="G104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70.928142511193414</v>
      </c>
      <c r="H1042" s="81" cm="1">
        <f t="array" ref="H10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1.5666625091512913</v>
      </c>
      <c r="I1042" s="81" cm="1">
        <f t="array" ref="I10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1.5690764020081236</v>
      </c>
      <c r="J1042" s="81" cm="1">
        <f t="array" ref="J10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1.5709791977739265</v>
      </c>
      <c r="K1042" s="81" cm="1">
        <f t="array" ref="K10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1.5746392406136493</v>
      </c>
      <c r="L1042" s="81" cm="1">
        <f t="array" ref="L10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1.5789890706611902</v>
      </c>
      <c r="M1042" s="37">
        <f t="shared" si="121"/>
        <v>7.9767314623579999E-3</v>
      </c>
      <c r="N1042" s="43">
        <f t="shared" si="122"/>
        <v>2.4138928568322449E-3</v>
      </c>
      <c r="O1042" s="43">
        <f t="shared" si="123"/>
        <v>4.3498300475408591E-3</v>
      </c>
      <c r="P1042" s="43">
        <f t="shared" si="124"/>
        <v>0.30261678837044298</v>
      </c>
      <c r="Q1042" s="37">
        <f t="shared" si="125"/>
        <v>0.54531484080510928</v>
      </c>
      <c r="R1042" s="37">
        <v>1.67E-2</v>
      </c>
      <c r="S1042" s="44" t="s">
        <v>1394</v>
      </c>
      <c r="T1042" s="45">
        <v>2.4293935000000002</v>
      </c>
      <c r="U1042" s="45">
        <v>-5.7591096999999999E-3</v>
      </c>
      <c r="V1042" s="45">
        <v>1.1512013E-2</v>
      </c>
      <c r="W1042" s="45">
        <v>1.3249240000000001E-4</v>
      </c>
      <c r="X1042" s="45">
        <v>7.3250032999999999E-6</v>
      </c>
      <c r="Y1042" s="45">
        <v>-5.7195445000000003E-7</v>
      </c>
      <c r="Z1042" s="36">
        <v>4.4800000000000004</v>
      </c>
      <c r="AA1042" s="38">
        <v>485</v>
      </c>
      <c r="AB1042" s="38"/>
      <c r="AC1042" s="39" t="s">
        <v>508</v>
      </c>
      <c r="AD1042" s="49" t="s">
        <v>506</v>
      </c>
      <c r="AE1042" s="48"/>
    </row>
    <row r="1043" spans="1:31" ht="15" thickBot="1">
      <c r="A1043" s="34">
        <v>1041</v>
      </c>
      <c r="B1043" s="34" t="s">
        <v>1026</v>
      </c>
      <c r="C1043" s="41" t="s">
        <v>1365</v>
      </c>
      <c r="D1043" s="34" t="s">
        <v>907</v>
      </c>
      <c r="E1043" s="80">
        <f t="shared" si="119"/>
        <v>1.5175979711366427</v>
      </c>
      <c r="F1043" s="35">
        <v>71.3</v>
      </c>
      <c r="G1043" s="42" cm="1">
        <f t="array" ref="G104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63.349962053562997</v>
      </c>
      <c r="H1043" s="81" cm="1">
        <f t="array" ref="H10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1.5150905842031726</v>
      </c>
      <c r="I1043" s="81" cm="1">
        <f t="array" ref="I10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1.5175979711366427</v>
      </c>
      <c r="J1043" s="81" cm="1">
        <f t="array" ref="J10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1.519542013189813</v>
      </c>
      <c r="K1043" s="81" cm="1">
        <f t="array" ref="K10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1.5232359610199953</v>
      </c>
      <c r="L1043" s="81" cm="1">
        <f t="array" ref="L10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1.5275832038971175</v>
      </c>
      <c r="M1043" s="37">
        <f t="shared" si="121"/>
        <v>8.1453768168227025E-3</v>
      </c>
      <c r="N1043" s="43">
        <f t="shared" si="122"/>
        <v>2.5073869334701904E-3</v>
      </c>
      <c r="O1043" s="43">
        <f t="shared" si="123"/>
        <v>4.3472428771222926E-3</v>
      </c>
      <c r="P1043" s="43">
        <f t="shared" si="124"/>
        <v>0.30782945833661951</v>
      </c>
      <c r="Q1043" s="37">
        <f t="shared" si="125"/>
        <v>0.53370678544225258</v>
      </c>
      <c r="R1043" s="37">
        <v>2.07E-2</v>
      </c>
      <c r="S1043" s="44" t="s">
        <v>1394</v>
      </c>
      <c r="T1043" s="45">
        <v>2.2744024</v>
      </c>
      <c r="U1043" s="45">
        <v>-1.070289E-2</v>
      </c>
      <c r="V1043" s="45">
        <v>1.0577306E-2</v>
      </c>
      <c r="W1043" s="45">
        <v>2.2857431000000001E-4</v>
      </c>
      <c r="X1043" s="45">
        <v>-7.2914225000000001E-6</v>
      </c>
      <c r="Y1043" s="45">
        <v>2.4124054000000001E-7</v>
      </c>
      <c r="Z1043" s="36">
        <v>2.39</v>
      </c>
      <c r="AA1043" s="38">
        <v>501</v>
      </c>
      <c r="AB1043" s="38"/>
      <c r="AC1043" s="39" t="s">
        <v>508</v>
      </c>
      <c r="AD1043" s="49" t="s">
        <v>506</v>
      </c>
      <c r="AE1043" s="48"/>
    </row>
    <row r="1044" spans="1:31" ht="15" thickBot="1">
      <c r="A1044" s="34">
        <v>1042</v>
      </c>
      <c r="B1044" s="34" t="s">
        <v>1026</v>
      </c>
      <c r="C1044" s="41" t="s">
        <v>1365</v>
      </c>
      <c r="D1044" s="34" t="s">
        <v>908</v>
      </c>
      <c r="E1044" s="80">
        <f t="shared" si="119"/>
        <v>1.5225006188464676</v>
      </c>
      <c r="F1044" s="35">
        <f t="shared" ref="F1044:F1075" si="126">(I1044-1)/M1044</f>
        <v>62.217726495132609</v>
      </c>
      <c r="G1044" s="42" cm="1">
        <f t="array" ref="G104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62.019572968982843</v>
      </c>
      <c r="H1044" s="81" cm="1">
        <f t="array" ref="H10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1.5199189067250169</v>
      </c>
      <c r="I1044" s="81" cm="1">
        <f t="array" ref="I10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1.5225006188464676</v>
      </c>
      <c r="J1044" s="81" cm="1">
        <f t="array" ref="J10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1.5245049549128049</v>
      </c>
      <c r="K1044" s="81" cm="1">
        <f t="array" ref="K10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1.5283168448735178</v>
      </c>
      <c r="L1044" s="81" cm="1">
        <f t="array" ref="L10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1.5328101847408262</v>
      </c>
      <c r="M1044" s="37">
        <f t="shared" si="121"/>
        <v>8.3979381485008719E-3</v>
      </c>
      <c r="N1044" s="43">
        <f t="shared" si="122"/>
        <v>2.5817121214506411E-3</v>
      </c>
      <c r="O1044" s="43">
        <f t="shared" si="123"/>
        <v>4.4933398673083769E-3</v>
      </c>
      <c r="P1044" s="43">
        <f t="shared" si="124"/>
        <v>0.30742214050617961</v>
      </c>
      <c r="Q1044" s="37">
        <f t="shared" si="125"/>
        <v>0.53505274602558117</v>
      </c>
      <c r="R1044" s="37">
        <f t="shared" ref="R1044:R1075" si="127">_xlfn.LET(
  _xlpm.vd_K7,  $F$1187,
  _xlpm.PgF_K7, $Q$1187,
  _xlpm.vd_F2,  $F$1188,
  _xlpm.PgF_F2, $Q$1188,
  _xlpm.NormalLine, _xlpm.PgF_K7 + ((_xlpm.PgF_F2 - _xlpm.PgF_K7) / (_xlpm.vd_F2 - _xlpm.vd_K7)) * (F1044 - _xlpm.vd_K7),
  O1044/M1044 - _xlpm.NormalLine
)</f>
        <v>-5.6662761901089542E-3</v>
      </c>
      <c r="S1044" s="44" t="s">
        <v>1394</v>
      </c>
      <c r="T1044" s="45">
        <v>2.2879518999999999</v>
      </c>
      <c r="U1044" s="45">
        <v>-1.0513751999999999E-2</v>
      </c>
      <c r="V1044" s="45">
        <v>1.0963175E-2</v>
      </c>
      <c r="W1044" s="45">
        <v>2.7027053999999998E-4</v>
      </c>
      <c r="X1044" s="45">
        <v>-1.7054549000000002E-5</v>
      </c>
      <c r="Y1044" s="45">
        <v>1.0857039E-6</v>
      </c>
      <c r="Z1044" s="36">
        <v>2.4300000000000002</v>
      </c>
      <c r="AA1044" s="38">
        <v>481</v>
      </c>
      <c r="AB1044" s="38"/>
      <c r="AC1044" s="39" t="s">
        <v>508</v>
      </c>
      <c r="AD1044" s="49" t="s">
        <v>506</v>
      </c>
      <c r="AE1044" s="48"/>
    </row>
    <row r="1045" spans="1:31" ht="15" thickBot="1">
      <c r="A1045" s="34">
        <v>1043</v>
      </c>
      <c r="B1045" s="34" t="s">
        <v>1026</v>
      </c>
      <c r="C1045" s="41" t="s">
        <v>1365</v>
      </c>
      <c r="D1045" s="34" t="s">
        <v>1017</v>
      </c>
      <c r="E1045" s="80">
        <f t="shared" si="119"/>
        <v>1.5273997942697481</v>
      </c>
      <c r="F1045" s="35">
        <f t="shared" si="126"/>
        <v>62.29063493465528</v>
      </c>
      <c r="G1045" s="42" cm="1">
        <f t="array" ref="G104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62.110948067259585</v>
      </c>
      <c r="H1045" s="81" cm="1">
        <f t="array" ref="H10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1.5247906394476098</v>
      </c>
      <c r="I1045" s="81" cm="1">
        <f t="array" ref="I10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1.5273997942697481</v>
      </c>
      <c r="J1045" s="81" cm="1">
        <f t="array" ref="J10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1.5294200576609287</v>
      </c>
      <c r="K1045" s="81" cm="1">
        <f t="array" ref="K10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1.5332573984527638</v>
      </c>
      <c r="L1045" s="81" cm="1">
        <f t="array" ref="L10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1.5377796620120616</v>
      </c>
      <c r="M1045" s="37">
        <f t="shared" si="121"/>
        <v>8.4667590051539232E-3</v>
      </c>
      <c r="N1045" s="43">
        <f t="shared" si="122"/>
        <v>2.6091548221383043E-3</v>
      </c>
      <c r="O1045" s="43">
        <f t="shared" si="123"/>
        <v>4.5222635592978566E-3</v>
      </c>
      <c r="P1045" s="43">
        <f t="shared" si="124"/>
        <v>0.30816453149901257</v>
      </c>
      <c r="Q1045" s="37">
        <f t="shared" si="125"/>
        <v>0.5341197920650681</v>
      </c>
      <c r="R1045" s="37">
        <f t="shared" si="127"/>
        <v>-6.4809133351994008E-3</v>
      </c>
      <c r="S1045" s="44" t="s">
        <v>1394</v>
      </c>
      <c r="T1045" s="45">
        <v>2.3028575</v>
      </c>
      <c r="U1045" s="45">
        <v>-1.1402225E-2</v>
      </c>
      <c r="V1045" s="45">
        <v>1.1233487E-2</v>
      </c>
      <c r="W1045" s="45">
        <v>1.7866325E-4</v>
      </c>
      <c r="X1045" s="45">
        <v>-7.1547007000000003E-7</v>
      </c>
      <c r="Y1045" s="45">
        <v>1.1484315000000001E-7</v>
      </c>
      <c r="Z1045" s="36">
        <v>2.4500000000000002</v>
      </c>
      <c r="AA1045" s="38">
        <v>495</v>
      </c>
      <c r="AB1045" s="38"/>
      <c r="AC1045" s="39" t="s">
        <v>508</v>
      </c>
      <c r="AD1045" s="49" t="s">
        <v>506</v>
      </c>
      <c r="AE1045" s="48"/>
    </row>
    <row r="1046" spans="1:31" ht="15" thickBot="1">
      <c r="A1046" s="34">
        <v>1044</v>
      </c>
      <c r="B1046" s="34" t="s">
        <v>1026</v>
      </c>
      <c r="C1046" s="41" t="s">
        <v>1365</v>
      </c>
      <c r="D1046" s="34" t="s">
        <v>909</v>
      </c>
      <c r="E1046" s="80">
        <f t="shared" si="119"/>
        <v>1.5250051030663379</v>
      </c>
      <c r="F1046" s="35">
        <f t="shared" si="126"/>
        <v>70.33104504819589</v>
      </c>
      <c r="G1046" s="42" cm="1">
        <f t="array" ref="G104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70.126453192562209</v>
      </c>
      <c r="H1046" s="81" cm="1">
        <f t="array" ref="H10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1.5226981077696489</v>
      </c>
      <c r="I1046" s="81" cm="1">
        <f t="array" ref="I10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1.5250051030663379</v>
      </c>
      <c r="J1046" s="81" cm="1">
        <f t="array" ref="J10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1.5267868712296742</v>
      </c>
      <c r="K1046" s="81" cm="1">
        <f t="array" ref="K10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1.5301628781666559</v>
      </c>
      <c r="L1046" s="81" cm="1">
        <f t="array" ref="L10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1.534129598870168</v>
      </c>
      <c r="M1046" s="37">
        <f t="shared" si="121"/>
        <v>7.4647703970069923E-3</v>
      </c>
      <c r="N1046" s="43">
        <f t="shared" si="122"/>
        <v>2.3069952966889851E-3</v>
      </c>
      <c r="O1046" s="43">
        <f t="shared" si="123"/>
        <v>3.9667207035121166E-3</v>
      </c>
      <c r="P1046" s="43">
        <f t="shared" si="124"/>
        <v>0.30905107243673258</v>
      </c>
      <c r="Q1046" s="37">
        <f t="shared" si="125"/>
        <v>0.53139219192898113</v>
      </c>
      <c r="R1046" s="37">
        <f t="shared" si="127"/>
        <v>3.8395743160067886E-3</v>
      </c>
      <c r="S1046" s="44" t="s">
        <v>1394</v>
      </c>
      <c r="T1046" s="45">
        <v>2.2984198999999998</v>
      </c>
      <c r="U1046" s="45">
        <v>-9.8977917000000002E-3</v>
      </c>
      <c r="V1046" s="45">
        <v>1.0454435E-2</v>
      </c>
      <c r="W1046" s="45">
        <v>-1.1762246E-5</v>
      </c>
      <c r="X1046" s="45">
        <v>2.2206780000000001E-5</v>
      </c>
      <c r="Y1046" s="45">
        <v>-1.2212712999999999E-6</v>
      </c>
      <c r="Z1046" s="36">
        <v>2.6</v>
      </c>
      <c r="AA1046" s="38">
        <v>528</v>
      </c>
      <c r="AB1046" s="38"/>
      <c r="AC1046" s="39" t="s">
        <v>508</v>
      </c>
      <c r="AD1046" s="49" t="s">
        <v>506</v>
      </c>
      <c r="AE1046" s="48"/>
    </row>
    <row r="1047" spans="1:31" ht="15" thickBot="1">
      <c r="A1047" s="34">
        <v>1045</v>
      </c>
      <c r="B1047" s="34" t="s">
        <v>1026</v>
      </c>
      <c r="C1047" s="41" t="s">
        <v>1365</v>
      </c>
      <c r="D1047" s="34" t="s">
        <v>910</v>
      </c>
      <c r="E1047" s="80">
        <f t="shared" si="119"/>
        <v>1.5581966232478368</v>
      </c>
      <c r="F1047" s="35">
        <f t="shared" si="126"/>
        <v>68.227515111600809</v>
      </c>
      <c r="G1047" s="42" cm="1">
        <f t="array" ref="G104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67.994723246464403</v>
      </c>
      <c r="H1047" s="81" cm="1">
        <f t="array" ref="H10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1.5556799711575073</v>
      </c>
      <c r="I1047" s="81" cm="1">
        <f t="array" ref="I10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1.5581966232478368</v>
      </c>
      <c r="J1047" s="81" cm="1">
        <f t="array" ref="J10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1.5601498270215064</v>
      </c>
      <c r="K1047" s="81" cm="1">
        <f t="array" ref="K10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1.5638613716135372</v>
      </c>
      <c r="L1047" s="81" cm="1">
        <f t="array" ref="L10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1.5682280989957778</v>
      </c>
      <c r="M1047" s="37">
        <f t="shared" si="121"/>
        <v>8.1814004560298859E-3</v>
      </c>
      <c r="N1047" s="43">
        <f t="shared" si="122"/>
        <v>2.5166520903294742E-3</v>
      </c>
      <c r="O1047" s="43">
        <f t="shared" si="123"/>
        <v>4.3667273822405317E-3</v>
      </c>
      <c r="P1047" s="43">
        <f t="shared" si="124"/>
        <v>0.30760651600602706</v>
      </c>
      <c r="Q1047" s="37">
        <f t="shared" si="125"/>
        <v>0.53373837470847063</v>
      </c>
      <c r="R1047" s="37">
        <f t="shared" si="127"/>
        <v>2.7721198694959925E-3</v>
      </c>
      <c r="S1047" s="44" t="s">
        <v>1394</v>
      </c>
      <c r="T1047" s="45">
        <v>2.3976031999999998</v>
      </c>
      <c r="U1047" s="45">
        <v>-1.022181E-2</v>
      </c>
      <c r="V1047" s="45">
        <v>1.1147766999999999E-2</v>
      </c>
      <c r="W1047" s="45">
        <v>2.1523840999999999E-4</v>
      </c>
      <c r="X1047" s="45">
        <v>-9.6159222000000006E-6</v>
      </c>
      <c r="Y1047" s="45">
        <v>5.5668375000000003E-7</v>
      </c>
      <c r="Z1047" s="36">
        <v>2.74</v>
      </c>
      <c r="AA1047" s="38">
        <v>460</v>
      </c>
      <c r="AB1047" s="38"/>
      <c r="AC1047" s="39" t="s">
        <v>508</v>
      </c>
      <c r="AD1047" s="49" t="s">
        <v>506</v>
      </c>
      <c r="AE1047" s="48"/>
    </row>
    <row r="1048" spans="1:31" ht="15" thickBot="1">
      <c r="A1048" s="34">
        <v>1046</v>
      </c>
      <c r="B1048" s="34" t="s">
        <v>1026</v>
      </c>
      <c r="C1048" s="41" t="s">
        <v>1366</v>
      </c>
      <c r="D1048" s="34" t="s">
        <v>911</v>
      </c>
      <c r="E1048" s="80">
        <f t="shared" si="119"/>
        <v>1.5916951319060062</v>
      </c>
      <c r="F1048" s="35">
        <f t="shared" si="126"/>
        <v>60.621233342000771</v>
      </c>
      <c r="G1048" s="42" cm="1">
        <f t="array" ref="G104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60.319615937970788</v>
      </c>
      <c r="H1048" s="81" cm="1">
        <f t="array" ref="H10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1.5887349430638962</v>
      </c>
      <c r="I1048" s="81" cm="1">
        <f t="array" ref="I10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1.5916951319060062</v>
      </c>
      <c r="J1048" s="81" cm="1">
        <f t="array" ref="J10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1.5940220165077874</v>
      </c>
      <c r="K1048" s="81" cm="1">
        <f t="array" ref="K10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1.5984954691912334</v>
      </c>
      <c r="L1048" s="81" cm="1">
        <f t="array" ref="L10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1.6038216089762467</v>
      </c>
      <c r="M1048" s="37">
        <f t="shared" si="121"/>
        <v>9.7605261273372435E-3</v>
      </c>
      <c r="N1048" s="43">
        <f t="shared" si="122"/>
        <v>2.9601888421100231E-3</v>
      </c>
      <c r="O1048" s="43">
        <f t="shared" si="123"/>
        <v>5.3261397850132841E-3</v>
      </c>
      <c r="P1048" s="43">
        <f t="shared" si="124"/>
        <v>0.30328168825030216</v>
      </c>
      <c r="Q1048" s="37">
        <f t="shared" si="125"/>
        <v>0.54568162776552098</v>
      </c>
      <c r="R1048" s="37">
        <f t="shared" si="127"/>
        <v>2.3717945688342956E-3</v>
      </c>
      <c r="S1048" s="44" t="s">
        <v>1394</v>
      </c>
      <c r="T1048" s="45">
        <v>2.4948234999999999</v>
      </c>
      <c r="U1048" s="45">
        <v>-9.1228462999999992E-3</v>
      </c>
      <c r="V1048" s="45">
        <v>1.3721275999999999E-2</v>
      </c>
      <c r="W1048" s="45">
        <v>2.3830265E-4</v>
      </c>
      <c r="X1048" s="45">
        <v>4.1915858999999999E-6</v>
      </c>
      <c r="Y1048" s="45">
        <v>-3.8958137000000002E-7</v>
      </c>
      <c r="Z1048" s="36">
        <v>3.24</v>
      </c>
      <c r="AA1048" s="38">
        <v>390</v>
      </c>
      <c r="AB1048" s="38"/>
      <c r="AC1048" s="39" t="s">
        <v>508</v>
      </c>
      <c r="AD1048" s="49" t="s">
        <v>506</v>
      </c>
      <c r="AE1048" s="48"/>
    </row>
    <row r="1049" spans="1:31" ht="15" thickBot="1">
      <c r="A1049" s="34">
        <v>1047</v>
      </c>
      <c r="B1049" s="34" t="s">
        <v>1026</v>
      </c>
      <c r="C1049" s="41" t="s">
        <v>1366</v>
      </c>
      <c r="D1049" s="34" t="s">
        <v>912</v>
      </c>
      <c r="E1049" s="80">
        <f t="shared" si="119"/>
        <v>1.6130529682071719</v>
      </c>
      <c r="F1049" s="35">
        <f t="shared" si="126"/>
        <v>58.983884566968634</v>
      </c>
      <c r="G1049" s="42" cm="1">
        <f t="array" ref="G104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58.680191608986107</v>
      </c>
      <c r="H1049" s="81" cm="1">
        <f t="array" ref="H10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1.6099065253874971</v>
      </c>
      <c r="I1049" s="81" cm="1">
        <f t="array" ref="I10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1.6130529682071719</v>
      </c>
      <c r="J1049" s="81" cm="1">
        <f t="array" ref="J10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1.6155302074935287</v>
      </c>
      <c r="K1049" s="81" cm="1">
        <f t="array" ref="K10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1.6203000925916227</v>
      </c>
      <c r="L1049" s="81" cm="1">
        <f t="array" ref="L10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1.6259954182083345</v>
      </c>
      <c r="M1049" s="37">
        <f t="shared" si="121"/>
        <v>1.0393567204125542E-2</v>
      </c>
      <c r="N1049" s="43">
        <f t="shared" si="122"/>
        <v>3.1464428196747996E-3</v>
      </c>
      <c r="O1049" s="43">
        <f t="shared" si="123"/>
        <v>5.6953256167118216E-3</v>
      </c>
      <c r="P1049" s="43">
        <f t="shared" si="124"/>
        <v>0.30272982873732462</v>
      </c>
      <c r="Q1049" s="37">
        <f t="shared" si="125"/>
        <v>0.54796640122278351</v>
      </c>
      <c r="R1049" s="37">
        <f t="shared" si="127"/>
        <v>1.9994559816430835E-3</v>
      </c>
      <c r="S1049" s="44" t="s">
        <v>1394</v>
      </c>
      <c r="T1049" s="45">
        <v>2.5593395000000001</v>
      </c>
      <c r="U1049" s="45">
        <v>-8.8787219000000007E-3</v>
      </c>
      <c r="V1049" s="45">
        <v>1.5115396999999999E-2</v>
      </c>
      <c r="W1049" s="45">
        <v>2.0356509999999999E-4</v>
      </c>
      <c r="X1049" s="45">
        <v>7.5991136999999999E-6</v>
      </c>
      <c r="Y1049" s="45">
        <v>-1.5375245999999999E-7</v>
      </c>
      <c r="Z1049" s="36">
        <v>3.38</v>
      </c>
      <c r="AA1049" s="38">
        <v>386</v>
      </c>
      <c r="AB1049" s="38"/>
      <c r="AC1049" s="39" t="s">
        <v>508</v>
      </c>
      <c r="AD1049" s="49" t="s">
        <v>506</v>
      </c>
      <c r="AE1049" s="48"/>
    </row>
    <row r="1050" spans="1:31" ht="15" thickBot="1">
      <c r="A1050" s="34">
        <v>1048</v>
      </c>
      <c r="B1050" s="34" t="s">
        <v>1026</v>
      </c>
      <c r="C1050" s="41" t="s">
        <v>1366</v>
      </c>
      <c r="D1050" s="34" t="s">
        <v>913</v>
      </c>
      <c r="E1050" s="80">
        <f t="shared" si="119"/>
        <v>1.59950150055517</v>
      </c>
      <c r="F1050" s="35">
        <f t="shared" si="126"/>
        <v>65.574102976441424</v>
      </c>
      <c r="G1050" s="42" cm="1">
        <f t="array" ref="G105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65.269161038119705</v>
      </c>
      <c r="H1050" s="81" cm="1">
        <f t="array" ref="H10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1.5967171268881151</v>
      </c>
      <c r="I1050" s="81" cm="1">
        <f t="array" ref="I10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1.59950150055517</v>
      </c>
      <c r="J1050" s="81" cm="1">
        <f t="array" ref="J10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1.6016825234496574</v>
      </c>
      <c r="K1050" s="81" cm="1">
        <f t="array" ref="K10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1.605859478416287</v>
      </c>
      <c r="L1050" s="81" cm="1">
        <f t="array" ref="L10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1.6108078037561209</v>
      </c>
      <c r="M1050" s="37">
        <f t="shared" si="121"/>
        <v>9.1423515281718881E-3</v>
      </c>
      <c r="N1050" s="43">
        <f t="shared" si="122"/>
        <v>2.7843736670549735E-3</v>
      </c>
      <c r="O1050" s="43">
        <f t="shared" si="123"/>
        <v>4.9483253398339144E-3</v>
      </c>
      <c r="P1050" s="43">
        <f t="shared" si="124"/>
        <v>0.30455771236481199</v>
      </c>
      <c r="Q1050" s="37">
        <f t="shared" si="125"/>
        <v>0.54125301620549104</v>
      </c>
      <c r="R1050" s="37">
        <f t="shared" si="127"/>
        <v>5.9807677683636484E-3</v>
      </c>
      <c r="S1050" s="44" t="s">
        <v>1394</v>
      </c>
      <c r="T1050" s="45">
        <v>2.5225157999999999</v>
      </c>
      <c r="U1050" s="45">
        <v>-9.4326823000000001E-3</v>
      </c>
      <c r="V1050" s="45">
        <v>1.2761452E-2</v>
      </c>
      <c r="W1050" s="45">
        <v>2.8145417000000002E-4</v>
      </c>
      <c r="X1050" s="45">
        <v>-8.1267470999999998E-6</v>
      </c>
      <c r="Y1050" s="45">
        <v>2.3400154000000001E-7</v>
      </c>
      <c r="Z1050" s="36">
        <v>3.49</v>
      </c>
      <c r="AA1050" s="38">
        <v>463</v>
      </c>
      <c r="AB1050" s="38"/>
      <c r="AC1050" s="39" t="s">
        <v>508</v>
      </c>
      <c r="AD1050" s="49" t="s">
        <v>506</v>
      </c>
      <c r="AE1050" s="48"/>
    </row>
    <row r="1051" spans="1:31" ht="15" thickBot="1">
      <c r="A1051" s="34">
        <v>1049</v>
      </c>
      <c r="B1051" s="34" t="s">
        <v>1026</v>
      </c>
      <c r="C1051" s="41" t="s">
        <v>1366</v>
      </c>
      <c r="D1051" s="34" t="s">
        <v>914</v>
      </c>
      <c r="E1051" s="80">
        <f t="shared" si="119"/>
        <v>1.5949959585520952</v>
      </c>
      <c r="F1051" s="35">
        <f t="shared" si="126"/>
        <v>67.843412235655606</v>
      </c>
      <c r="G1051" s="42" cm="1">
        <f t="array" ref="G105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67.492171157766549</v>
      </c>
      <c r="H1051" s="81" cm="1">
        <f t="array" ref="H10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1.5923329273741786</v>
      </c>
      <c r="I1051" s="81" cm="1">
        <f t="array" ref="I10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1.5949959585520952</v>
      </c>
      <c r="J1051" s="81" cm="1">
        <f t="array" ref="J10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1.5970885027511028</v>
      </c>
      <c r="K1051" s="81" cm="1">
        <f t="array" ref="K10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1.6011030634705967</v>
      </c>
      <c r="L1051" s="81" cm="1">
        <f t="array" ref="L10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1.605867252972206</v>
      </c>
      <c r="M1051" s="37">
        <f t="shared" si="121"/>
        <v>8.7701360964180797E-3</v>
      </c>
      <c r="N1051" s="43">
        <f t="shared" si="122"/>
        <v>2.6630311779165527E-3</v>
      </c>
      <c r="O1051" s="43">
        <f t="shared" si="123"/>
        <v>4.7641895016092839E-3</v>
      </c>
      <c r="P1051" s="43">
        <f t="shared" si="124"/>
        <v>0.30364764567384472</v>
      </c>
      <c r="Q1051" s="37">
        <f t="shared" si="125"/>
        <v>0.54322868530570301</v>
      </c>
      <c r="R1051" s="37">
        <f t="shared" si="127"/>
        <v>1.1639103052589972E-2</v>
      </c>
      <c r="S1051" s="44" t="s">
        <v>1394</v>
      </c>
      <c r="T1051" s="45">
        <v>2.5082366999999999</v>
      </c>
      <c r="U1051" s="45">
        <v>-7.3364340999999998E-3</v>
      </c>
      <c r="V1051" s="45">
        <v>1.2625638999999999E-2</v>
      </c>
      <c r="W1051" s="45">
        <v>2.2697479E-4</v>
      </c>
      <c r="X1051" s="45">
        <v>-8.7309088999999994E-6</v>
      </c>
      <c r="Y1051" s="45">
        <v>6.2693824E-7</v>
      </c>
      <c r="Z1051" s="36">
        <v>4.05</v>
      </c>
      <c r="AA1051" s="38">
        <v>568</v>
      </c>
      <c r="AB1051" s="38"/>
      <c r="AC1051" s="39" t="s">
        <v>508</v>
      </c>
      <c r="AD1051" s="49" t="s">
        <v>506</v>
      </c>
      <c r="AE1051" s="48"/>
    </row>
    <row r="1052" spans="1:31" ht="15" thickBot="1">
      <c r="A1052" s="34">
        <v>1050</v>
      </c>
      <c r="B1052" s="34" t="s">
        <v>1026</v>
      </c>
      <c r="C1052" s="41" t="s">
        <v>1366</v>
      </c>
      <c r="D1052" s="34" t="s">
        <v>915</v>
      </c>
      <c r="E1052" s="80">
        <f t="shared" si="119"/>
        <v>1.5521521060735128</v>
      </c>
      <c r="F1052" s="35">
        <f t="shared" si="126"/>
        <v>71.992415979072518</v>
      </c>
      <c r="G1052" s="42" cm="1">
        <f t="array" ref="G105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71.630625753583047</v>
      </c>
      <c r="H1052" s="81" cm="1">
        <f t="array" ref="H10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1.5498174251503276</v>
      </c>
      <c r="I1052" s="81" cm="1">
        <f t="array" ref="I10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1.5521521060735128</v>
      </c>
      <c r="J1052" s="81" cm="1">
        <f t="array" ref="J10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1.5539824114475771</v>
      </c>
      <c r="K1052" s="81" cm="1">
        <f t="array" ref="K10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1.5574870122667541</v>
      </c>
      <c r="L1052" s="81" cm="1">
        <f t="array" ref="L10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1.5616365957074774</v>
      </c>
      <c r="M1052" s="37">
        <f t="shared" si="121"/>
        <v>7.6695871164265128E-3</v>
      </c>
      <c r="N1052" s="43">
        <f t="shared" si="122"/>
        <v>2.3346809231852284E-3</v>
      </c>
      <c r="O1052" s="43">
        <f t="shared" si="123"/>
        <v>4.1495834407232479E-3</v>
      </c>
      <c r="P1052" s="43">
        <f t="shared" si="124"/>
        <v>0.30440764121250702</v>
      </c>
      <c r="Q1052" s="37">
        <f t="shared" si="125"/>
        <v>0.54104391510669236</v>
      </c>
      <c r="R1052" s="37">
        <f t="shared" si="127"/>
        <v>1.6187393022082719E-2</v>
      </c>
      <c r="S1052" s="44" t="s">
        <v>1394</v>
      </c>
      <c r="T1052" s="45">
        <v>2.3790003999999998</v>
      </c>
      <c r="U1052" s="45">
        <v>-6.7834145000000004E-3</v>
      </c>
      <c r="V1052" s="45">
        <v>1.0749511999999999E-2</v>
      </c>
      <c r="W1052" s="45">
        <v>1.7555369000000001E-4</v>
      </c>
      <c r="X1052" s="45">
        <v>-4.6285652999999999E-6</v>
      </c>
      <c r="Y1052" s="45">
        <v>2.8065214999999998E-7</v>
      </c>
      <c r="Z1052" s="36">
        <v>3.76</v>
      </c>
      <c r="AA1052" s="38">
        <v>495</v>
      </c>
      <c r="AB1052" s="38"/>
      <c r="AC1052" s="39" t="s">
        <v>508</v>
      </c>
      <c r="AD1052" s="49" t="s">
        <v>506</v>
      </c>
      <c r="AE1052" s="48"/>
    </row>
    <row r="1053" spans="1:31" ht="15" thickBot="1">
      <c r="A1053" s="34">
        <v>1051</v>
      </c>
      <c r="B1053" s="34" t="s">
        <v>1026</v>
      </c>
      <c r="C1053" s="41" t="s">
        <v>1366</v>
      </c>
      <c r="D1053" s="34" t="s">
        <v>916</v>
      </c>
      <c r="E1053" s="80">
        <f t="shared" si="119"/>
        <v>1.5869862655835383</v>
      </c>
      <c r="F1053" s="35">
        <f t="shared" si="126"/>
        <v>59.479535679913205</v>
      </c>
      <c r="G1053" s="42" cm="1">
        <f t="array" ref="G105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59.242928624159759</v>
      </c>
      <c r="H1053" s="81" cm="1">
        <f t="array" ref="H10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1.5839733378669751</v>
      </c>
      <c r="I1053" s="81" cm="1">
        <f t="array" ref="I10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1.5869862655835383</v>
      </c>
      <c r="J1053" s="81" cm="1">
        <f t="array" ref="J10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1.5893406641147676</v>
      </c>
      <c r="K1053" s="81" cm="1">
        <f t="array" ref="K10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1.593842047480688</v>
      </c>
      <c r="L1053" s="81" cm="1">
        <f t="array" ref="L10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1.5991761532488544</v>
      </c>
      <c r="M1053" s="37">
        <f t="shared" si="121"/>
        <v>9.8687096137128894E-3</v>
      </c>
      <c r="N1053" s="43">
        <f t="shared" si="122"/>
        <v>3.0129277165631407E-3</v>
      </c>
      <c r="O1053" s="43">
        <f t="shared" si="123"/>
        <v>5.3341057681663973E-3</v>
      </c>
      <c r="P1053" s="43">
        <f t="shared" si="124"/>
        <v>0.3053010813467022</v>
      </c>
      <c r="Q1053" s="37">
        <f t="shared" si="125"/>
        <v>0.54050691295592346</v>
      </c>
      <c r="R1053" s="37">
        <f t="shared" si="127"/>
        <v>-4.6556828624580993E-3</v>
      </c>
      <c r="S1053" s="44" t="s">
        <v>1394</v>
      </c>
      <c r="T1053" s="45">
        <v>2.4804566000000001</v>
      </c>
      <c r="U1053" s="45">
        <v>-1.071977E-2</v>
      </c>
      <c r="V1053" s="45">
        <v>1.3563199999999999E-2</v>
      </c>
      <c r="W1053" s="45">
        <v>3.4918607999999998E-4</v>
      </c>
      <c r="X1053" s="45">
        <v>-2.3041785999999999E-5</v>
      </c>
      <c r="Y1053" s="45">
        <v>1.5937217E-6</v>
      </c>
      <c r="Z1053" s="36">
        <v>3</v>
      </c>
      <c r="AA1053" s="38">
        <v>498</v>
      </c>
      <c r="AB1053" s="38"/>
      <c r="AC1053" s="39" t="s">
        <v>508</v>
      </c>
      <c r="AD1053" s="49" t="s">
        <v>506</v>
      </c>
      <c r="AE1053" s="48"/>
    </row>
    <row r="1054" spans="1:31" ht="15" thickBot="1">
      <c r="A1054" s="34">
        <v>1052</v>
      </c>
      <c r="B1054" s="34" t="s">
        <v>1026</v>
      </c>
      <c r="C1054" s="41" t="s">
        <v>1366</v>
      </c>
      <c r="D1054" s="34" t="s">
        <v>917</v>
      </c>
      <c r="E1054" s="80">
        <f t="shared" si="119"/>
        <v>1.5839986014442193</v>
      </c>
      <c r="F1054" s="35">
        <f t="shared" si="126"/>
        <v>56.854256140831779</v>
      </c>
      <c r="G1054" s="42" cm="1">
        <f t="array" ref="G105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56.570761038614833</v>
      </c>
      <c r="H1054" s="81" cm="1">
        <f t="array" ref="H10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1.5808894057159735</v>
      </c>
      <c r="I1054" s="81" cm="1">
        <f t="array" ref="I10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1.5839986014442193</v>
      </c>
      <c r="J1054" s="81" cm="1">
        <f t="array" ref="J10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1.5864474644384503</v>
      </c>
      <c r="K1054" s="81" cm="1">
        <f t="array" ref="K10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1.5911612594184934</v>
      </c>
      <c r="L1054" s="81" cm="1">
        <f t="array" ref="L10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1.5967827199114595</v>
      </c>
      <c r="M1054" s="37">
        <f t="shared" si="121"/>
        <v>1.0271853702519929E-2</v>
      </c>
      <c r="N1054" s="43">
        <f t="shared" si="122"/>
        <v>3.1091957282458615E-3</v>
      </c>
      <c r="O1054" s="43">
        <f t="shared" si="123"/>
        <v>5.6214604929660794E-3</v>
      </c>
      <c r="P1054" s="43">
        <f t="shared" si="124"/>
        <v>0.30269081105420165</v>
      </c>
      <c r="Q1054" s="37">
        <f t="shared" si="125"/>
        <v>0.54726835640065652</v>
      </c>
      <c r="R1054" s="37">
        <f t="shared" si="127"/>
        <v>-2.1545790531910525E-3</v>
      </c>
      <c r="S1054" s="44" t="s">
        <v>1394</v>
      </c>
      <c r="T1054" s="45">
        <v>2.468159</v>
      </c>
      <c r="U1054" s="45">
        <v>-8.7509308000000008E-3</v>
      </c>
      <c r="V1054" s="45">
        <v>1.4283199999999999E-2</v>
      </c>
      <c r="W1054" s="45">
        <v>3.3301479000000001E-4</v>
      </c>
      <c r="X1054" s="45">
        <v>-1.309324E-5</v>
      </c>
      <c r="Y1054" s="45">
        <v>9.1735223000000003E-7</v>
      </c>
      <c r="Z1054" s="36">
        <v>3.06</v>
      </c>
      <c r="AA1054" s="38">
        <v>473</v>
      </c>
      <c r="AB1054" s="38"/>
      <c r="AC1054" s="39" t="s">
        <v>508</v>
      </c>
      <c r="AD1054" s="49" t="s">
        <v>506</v>
      </c>
      <c r="AE1054" s="48"/>
    </row>
    <row r="1055" spans="1:31" ht="15" thickBot="1">
      <c r="A1055" s="34">
        <v>1053</v>
      </c>
      <c r="B1055" s="34" t="s">
        <v>1026</v>
      </c>
      <c r="C1055" s="41" t="s">
        <v>1355</v>
      </c>
      <c r="D1055" s="34" t="s">
        <v>1361</v>
      </c>
      <c r="E1055" s="80">
        <f t="shared" si="119"/>
        <v>1.5891320310785504</v>
      </c>
      <c r="F1055" s="35">
        <f t="shared" si="126"/>
        <v>61.235000447260802</v>
      </c>
      <c r="G1055" s="42" cm="1">
        <f t="array" ref="G105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61.030914749397162</v>
      </c>
      <c r="H1055" s="81" cm="1">
        <f t="array" ref="H10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1.5861786463222265</v>
      </c>
      <c r="I1055" s="81" cm="1">
        <f t="array" ref="I10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1.5891320310785504</v>
      </c>
      <c r="J1055" s="81" cm="1">
        <f t="array" ref="J10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1.5914279329246344</v>
      </c>
      <c r="K1055" s="81" cm="1">
        <f t="array" ref="K10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1.5957994845156702</v>
      </c>
      <c r="L1055" s="81" cm="1">
        <f t="array" ref="L10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1.6009592116558806</v>
      </c>
      <c r="M1055" s="37">
        <f t="shared" si="121"/>
        <v>9.6208381934437259E-3</v>
      </c>
      <c r="N1055" s="43">
        <f t="shared" si="122"/>
        <v>2.9533847563238957E-3</v>
      </c>
      <c r="O1055" s="43">
        <f t="shared" si="123"/>
        <v>5.1597271402104017E-3</v>
      </c>
      <c r="P1055" s="43">
        <f t="shared" si="124"/>
        <v>0.30697790534888397</v>
      </c>
      <c r="Q1055" s="37">
        <f t="shared" si="125"/>
        <v>0.53630744395291674</v>
      </c>
      <c r="R1055" s="37">
        <f t="shared" si="127"/>
        <v>-6.0063595690026395E-3</v>
      </c>
      <c r="S1055" s="44" t="s">
        <v>1394</v>
      </c>
      <c r="T1055" s="45">
        <v>2.48882</v>
      </c>
      <c r="U1055" s="45">
        <v>-1.1930015E-2</v>
      </c>
      <c r="V1055" s="45">
        <v>1.3346868E-2</v>
      </c>
      <c r="W1055" s="45">
        <v>2.6034058999999999E-4</v>
      </c>
      <c r="X1055" s="45">
        <v>-1.0772061E-5</v>
      </c>
      <c r="Y1055" s="45">
        <v>7.9117230999999997E-7</v>
      </c>
      <c r="Z1055" s="36">
        <v>2.67</v>
      </c>
      <c r="AA1055" s="38">
        <v>521</v>
      </c>
      <c r="AB1055" s="38"/>
      <c r="AC1055" s="39" t="s">
        <v>508</v>
      </c>
      <c r="AD1055" s="49" t="s">
        <v>506</v>
      </c>
      <c r="AE1055" s="48"/>
    </row>
    <row r="1056" spans="1:31" ht="15" thickBot="1">
      <c r="A1056" s="34">
        <v>1054</v>
      </c>
      <c r="B1056" s="34" t="s">
        <v>1026</v>
      </c>
      <c r="C1056" s="41" t="s">
        <v>1355</v>
      </c>
      <c r="D1056" s="34" t="s">
        <v>918</v>
      </c>
      <c r="E1056" s="80">
        <f t="shared" si="119"/>
        <v>1.5911044700494614</v>
      </c>
      <c r="F1056" s="35">
        <f t="shared" si="126"/>
        <v>60.702915661934476</v>
      </c>
      <c r="G1056" s="42" cm="1">
        <f t="array" ref="G105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60.4839211079954</v>
      </c>
      <c r="H1056" s="81" cm="1">
        <f t="array" ref="H10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1.5881214208486545</v>
      </c>
      <c r="I1056" s="81" cm="1">
        <f t="array" ref="I10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1.5911044700494614</v>
      </c>
      <c r="J1056" s="81" cm="1">
        <f t="array" ref="J10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1.5934273335042497</v>
      </c>
      <c r="K1056" s="81" cm="1">
        <f t="array" ref="K10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1.5978590827649524</v>
      </c>
      <c r="L1056" s="81" cm="1">
        <f t="array" ref="L10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1.6031025014322438</v>
      </c>
      <c r="M1056" s="37">
        <f t="shared" si="121"/>
        <v>9.7376619162978795E-3</v>
      </c>
      <c r="N1056" s="43">
        <f t="shared" si="122"/>
        <v>2.983049200806942E-3</v>
      </c>
      <c r="O1056" s="43">
        <f t="shared" si="123"/>
        <v>5.2434186672913885E-3</v>
      </c>
      <c r="P1056" s="43">
        <f t="shared" si="124"/>
        <v>0.30634142224780125</v>
      </c>
      <c r="Q1056" s="37">
        <f t="shared" si="125"/>
        <v>0.53846793125108428</v>
      </c>
      <c r="R1056" s="37">
        <f t="shared" si="127"/>
        <v>-4.7093467567358438E-3</v>
      </c>
      <c r="S1056" s="44" t="s">
        <v>1394</v>
      </c>
      <c r="T1056" s="45">
        <v>2.494405</v>
      </c>
      <c r="U1056" s="45">
        <v>-1.1746954E-2</v>
      </c>
      <c r="V1056" s="45">
        <v>1.3616484E-2</v>
      </c>
      <c r="W1056" s="45">
        <v>2.161756E-4</v>
      </c>
      <c r="X1056" s="45">
        <v>2.8081582999999998E-9</v>
      </c>
      <c r="Y1056" s="45">
        <v>1.1416106E-7</v>
      </c>
      <c r="Z1056" s="36">
        <v>2.69</v>
      </c>
      <c r="AA1056" s="38">
        <v>520</v>
      </c>
      <c r="AB1056" s="38"/>
      <c r="AC1056" s="39" t="s">
        <v>508</v>
      </c>
      <c r="AD1056" s="49" t="s">
        <v>506</v>
      </c>
      <c r="AE1056" s="48"/>
    </row>
    <row r="1057" spans="1:31" ht="15" thickBot="1">
      <c r="A1057" s="34">
        <v>1055</v>
      </c>
      <c r="B1057" s="34" t="s">
        <v>1026</v>
      </c>
      <c r="C1057" s="41" t="s">
        <v>1355</v>
      </c>
      <c r="D1057" s="34" t="s">
        <v>919</v>
      </c>
      <c r="E1057" s="80">
        <f t="shared" si="119"/>
        <v>1.5867955828103042</v>
      </c>
      <c r="F1057" s="35">
        <f t="shared" si="126"/>
        <v>59.748615294962256</v>
      </c>
      <c r="G1057" s="42" cm="1">
        <f t="array" ref="G105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59.525550084215183</v>
      </c>
      <c r="H1057" s="81" cm="1">
        <f t="array" ref="H10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1.5837920533743035</v>
      </c>
      <c r="I1057" s="81" cm="1">
        <f t="array" ref="I10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1.5867955828103042</v>
      </c>
      <c r="J1057" s="81" cm="1">
        <f t="array" ref="J10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1.5891386492650632</v>
      </c>
      <c r="K1057" s="81" cm="1">
        <f t="array" ref="K10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1.5936131275517293</v>
      </c>
      <c r="L1057" s="81" cm="1">
        <f t="array" ref="L10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1.5989012791595147</v>
      </c>
      <c r="M1057" s="37">
        <f t="shared" si="121"/>
        <v>9.821074177425837E-3</v>
      </c>
      <c r="N1057" s="43">
        <f t="shared" si="122"/>
        <v>3.0035294360006848E-3</v>
      </c>
      <c r="O1057" s="43">
        <f t="shared" si="123"/>
        <v>5.2881516077853963E-3</v>
      </c>
      <c r="P1057" s="43">
        <f t="shared" si="124"/>
        <v>0.30582494152263168</v>
      </c>
      <c r="Q1057" s="37">
        <f t="shared" si="125"/>
        <v>0.53844941115916234</v>
      </c>
      <c r="R1057" s="37">
        <f t="shared" si="127"/>
        <v>-6.276518570132783E-3</v>
      </c>
      <c r="S1057" s="44" t="s">
        <v>1394</v>
      </c>
      <c r="T1057" s="45">
        <v>2.4809256</v>
      </c>
      <c r="U1057" s="45">
        <v>-1.1763845E-2</v>
      </c>
      <c r="V1057" s="45">
        <v>1.3309488E-2</v>
      </c>
      <c r="W1057" s="45">
        <v>3.2545605000000003E-4</v>
      </c>
      <c r="X1057" s="45">
        <v>-9.9643058000000003E-6</v>
      </c>
      <c r="Y1057" s="45">
        <v>2.0790854000000001E-7</v>
      </c>
      <c r="Z1057" s="36">
        <v>2.64</v>
      </c>
      <c r="AA1057" s="38">
        <v>512</v>
      </c>
      <c r="AB1057" s="38"/>
      <c r="AC1057" s="39" t="s">
        <v>508</v>
      </c>
      <c r="AD1057" s="49" t="s">
        <v>506</v>
      </c>
      <c r="AE1057" s="48"/>
    </row>
    <row r="1058" spans="1:31" ht="15" thickBot="1">
      <c r="A1058" s="34">
        <v>1056</v>
      </c>
      <c r="B1058" s="34" t="s">
        <v>1026</v>
      </c>
      <c r="C1058" s="41" t="s">
        <v>1355</v>
      </c>
      <c r="D1058" s="34" t="s">
        <v>920</v>
      </c>
      <c r="E1058" s="80">
        <f t="shared" si="119"/>
        <v>1.5866016304209927</v>
      </c>
      <c r="F1058" s="35">
        <f t="shared" si="126"/>
        <v>59.014559544654517</v>
      </c>
      <c r="G1058" s="42" cm="1">
        <f t="array" ref="G105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58.779417494794743</v>
      </c>
      <c r="H1058" s="81" cm="1">
        <f t="array" ref="H10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1.5835669224283921</v>
      </c>
      <c r="I1058" s="81" cm="1">
        <f t="array" ref="I10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1.5866016304209927</v>
      </c>
      <c r="J1058" s="81" cm="1">
        <f t="array" ref="J10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1.5889718354234712</v>
      </c>
      <c r="K1058" s="81" cm="1">
        <f t="array" ref="K10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1.5935068700438129</v>
      </c>
      <c r="L1058" s="81" cm="1">
        <f t="array" ref="L10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1.5988896530915482</v>
      </c>
      <c r="M1058" s="37">
        <f t="shared" si="121"/>
        <v>9.9399476154207189E-3</v>
      </c>
      <c r="N1058" s="43">
        <f t="shared" si="122"/>
        <v>3.0347079926005271E-3</v>
      </c>
      <c r="O1058" s="43">
        <f t="shared" si="123"/>
        <v>5.3827830477353178E-3</v>
      </c>
      <c r="P1058" s="43">
        <f t="shared" si="124"/>
        <v>0.30530422392694673</v>
      </c>
      <c r="Q1058" s="37">
        <f t="shared" si="125"/>
        <v>0.5415303234983383</v>
      </c>
      <c r="R1058" s="37">
        <f t="shared" si="127"/>
        <v>-4.3868419683793514E-3</v>
      </c>
      <c r="S1058" s="44" t="s">
        <v>1394</v>
      </c>
      <c r="T1058" s="45">
        <v>2.4786815</v>
      </c>
      <c r="U1058" s="45">
        <v>-1.0928711000000001E-2</v>
      </c>
      <c r="V1058" s="45">
        <v>1.4104052000000001E-2</v>
      </c>
      <c r="W1058" s="45">
        <v>1.5365594E-4</v>
      </c>
      <c r="X1058" s="45">
        <v>1.194296E-5</v>
      </c>
      <c r="Y1058" s="45">
        <v>-5.3372518999999997E-7</v>
      </c>
      <c r="Z1058" s="36">
        <v>2.7</v>
      </c>
      <c r="AA1058" s="38">
        <v>507</v>
      </c>
      <c r="AB1058" s="38"/>
      <c r="AC1058" s="39" t="s">
        <v>508</v>
      </c>
      <c r="AD1058" s="49" t="s">
        <v>506</v>
      </c>
      <c r="AE1058" s="48"/>
    </row>
    <row r="1059" spans="1:31" ht="15" thickBot="1">
      <c r="A1059" s="34">
        <v>1057</v>
      </c>
      <c r="B1059" s="34" t="s">
        <v>1026</v>
      </c>
      <c r="C1059" s="41" t="s">
        <v>1355</v>
      </c>
      <c r="D1059" s="34" t="s">
        <v>921</v>
      </c>
      <c r="E1059" s="80">
        <f t="shared" si="119"/>
        <v>1.5642010282804799</v>
      </c>
      <c r="F1059" s="35">
        <f t="shared" si="126"/>
        <v>60.409971788152831</v>
      </c>
      <c r="G1059" s="42" cm="1">
        <f t="array" ref="G105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60.189731735193362</v>
      </c>
      <c r="H1059" s="81" cm="1">
        <f t="array" ref="H10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1.5613413511880658</v>
      </c>
      <c r="I1059" s="81" cm="1">
        <f t="array" ref="I10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1.5642010282804799</v>
      </c>
      <c r="J1059" s="81" cm="1">
        <f t="array" ref="J10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1.5664291790547666</v>
      </c>
      <c r="K1059" s="81" cm="1">
        <f t="array" ref="K10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1.5706808858969883</v>
      </c>
      <c r="L1059" s="81" cm="1">
        <f t="array" ref="L10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1.5757104340762182</v>
      </c>
      <c r="M1059" s="37">
        <f t="shared" si="121"/>
        <v>9.339534708922459E-3</v>
      </c>
      <c r="N1059" s="43">
        <f t="shared" si="122"/>
        <v>2.8596770924140813E-3</v>
      </c>
      <c r="O1059" s="43">
        <f t="shared" si="123"/>
        <v>5.029548179229959E-3</v>
      </c>
      <c r="P1059" s="43">
        <f t="shared" si="124"/>
        <v>0.30619053106383437</v>
      </c>
      <c r="Q1059" s="37">
        <f t="shared" si="125"/>
        <v>0.53852234998655935</v>
      </c>
      <c r="R1059" s="37">
        <f t="shared" si="127"/>
        <v>-5.1303213566599171E-3</v>
      </c>
      <c r="S1059" s="44" t="s">
        <v>1394</v>
      </c>
      <c r="T1059" s="45">
        <v>2.4115552999999998</v>
      </c>
      <c r="U1059" s="45">
        <v>-1.0853847999999999E-2</v>
      </c>
      <c r="V1059" s="45">
        <v>1.2782158E-2</v>
      </c>
      <c r="W1059" s="45">
        <v>2.4099616999999999E-4</v>
      </c>
      <c r="X1059" s="45">
        <v>-6.9046162000000002E-6</v>
      </c>
      <c r="Y1059" s="45">
        <v>5.2824846000000001E-7</v>
      </c>
      <c r="Z1059" s="36">
        <v>2.6</v>
      </c>
      <c r="AA1059" s="38">
        <v>509</v>
      </c>
      <c r="AB1059" s="38"/>
      <c r="AC1059" s="39" t="s">
        <v>508</v>
      </c>
      <c r="AD1059" s="49" t="s">
        <v>506</v>
      </c>
      <c r="AE1059" s="48"/>
    </row>
    <row r="1060" spans="1:31" ht="15" thickBot="1">
      <c r="A1060" s="34">
        <v>1058</v>
      </c>
      <c r="B1060" s="34" t="s">
        <v>1026</v>
      </c>
      <c r="C1060" s="41" t="s">
        <v>1355</v>
      </c>
      <c r="D1060" s="34" t="s">
        <v>1362</v>
      </c>
      <c r="E1060" s="80">
        <f t="shared" si="119"/>
        <v>1.6042008678865034</v>
      </c>
      <c r="F1060" s="35">
        <f t="shared" si="126"/>
        <v>48.88245719139551</v>
      </c>
      <c r="G1060" s="42" cm="1">
        <f t="array" ref="G106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48.623593226425271</v>
      </c>
      <c r="H1060" s="81" cm="1">
        <f t="array" ref="H10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1.6004807846250939</v>
      </c>
      <c r="I1060" s="81" cm="1">
        <f t="array" ref="I10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1.6042008678865034</v>
      </c>
      <c r="J1060" s="81" cm="1">
        <f t="array" ref="J10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1.6071406759607507</v>
      </c>
      <c r="K1060" s="81" cm="1">
        <f t="array" ref="K10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1.6128410648278833</v>
      </c>
      <c r="L1060" s="81" cm="1">
        <f t="array" ref="L10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1.6197404429564619</v>
      </c>
      <c r="M1060" s="37">
        <f t="shared" si="121"/>
        <v>1.2360280202789342E-2</v>
      </c>
      <c r="N1060" s="43">
        <f t="shared" si="122"/>
        <v>3.7200832614094903E-3</v>
      </c>
      <c r="O1060" s="43">
        <f t="shared" si="123"/>
        <v>6.8993781285786593E-3</v>
      </c>
      <c r="P1060" s="43">
        <f t="shared" si="124"/>
        <v>0.30097078709995423</v>
      </c>
      <c r="Q1060" s="37">
        <f t="shared" si="125"/>
        <v>0.55818945973584633</v>
      </c>
      <c r="R1060" s="37">
        <f t="shared" si="127"/>
        <v>-4.170220367347488E-3</v>
      </c>
      <c r="S1060" s="44" t="s">
        <v>1394</v>
      </c>
      <c r="T1060" s="45">
        <v>2.5256675</v>
      </c>
      <c r="U1060" s="45">
        <v>-1.1866084000000001E-2</v>
      </c>
      <c r="V1060" s="45">
        <v>1.6510667999999999E-2</v>
      </c>
      <c r="W1060" s="45">
        <v>5.3690067000000002E-4</v>
      </c>
      <c r="X1060" s="45">
        <v>-2.6430651E-5</v>
      </c>
      <c r="Y1060" s="45">
        <v>2.8648570000000002E-6</v>
      </c>
      <c r="Z1060" s="36">
        <v>2.72</v>
      </c>
      <c r="AA1060" s="38">
        <v>519</v>
      </c>
      <c r="AB1060" s="38"/>
      <c r="AC1060" s="39" t="s">
        <v>508</v>
      </c>
      <c r="AD1060" s="49" t="s">
        <v>506</v>
      </c>
      <c r="AE1060" s="48"/>
    </row>
    <row r="1061" spans="1:31" ht="15" thickBot="1">
      <c r="A1061" s="34">
        <v>1059</v>
      </c>
      <c r="B1061" s="34" t="s">
        <v>1026</v>
      </c>
      <c r="C1061" s="41" t="s">
        <v>1358</v>
      </c>
      <c r="D1061" s="34" t="s">
        <v>922</v>
      </c>
      <c r="E1061" s="80">
        <f t="shared" si="119"/>
        <v>1.7719963935028715</v>
      </c>
      <c r="F1061" s="35">
        <f t="shared" si="126"/>
        <v>49.983483708209214</v>
      </c>
      <c r="G1061" s="42" cm="1">
        <f t="array" ref="G106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49.707700353806231</v>
      </c>
      <c r="H1061" s="81" cm="1">
        <f t="array" ref="H10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1.7673570445309124</v>
      </c>
      <c r="I1061" s="81" cm="1">
        <f t="array" ref="I10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1.7719963935028715</v>
      </c>
      <c r="J1061" s="81" cm="1">
        <f t="array" ref="J10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1.7756746917570152</v>
      </c>
      <c r="K1061" s="81" cm="1">
        <f t="array" ref="K10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1.7828020742933353</v>
      </c>
      <c r="L1061" s="81" cm="1">
        <f t="array" ref="L10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1.7913705157478796</v>
      </c>
      <c r="M1061" s="37">
        <f t="shared" si="121"/>
        <v>1.5445029762422902E-2</v>
      </c>
      <c r="N1061" s="43">
        <f t="shared" si="122"/>
        <v>4.6393489719591674E-3</v>
      </c>
      <c r="O1061" s="43">
        <f t="shared" si="123"/>
        <v>8.5684414545443843E-3</v>
      </c>
      <c r="P1061" s="43">
        <f t="shared" si="124"/>
        <v>0.30037811796559338</v>
      </c>
      <c r="Q1061" s="37">
        <f t="shared" si="125"/>
        <v>0.55477014847786421</v>
      </c>
      <c r="R1061" s="37">
        <f t="shared" si="127"/>
        <v>-5.802770695892745E-3</v>
      </c>
      <c r="S1061" s="44" t="s">
        <v>1394</v>
      </c>
      <c r="T1061" s="45">
        <v>3.0701309999999999</v>
      </c>
      <c r="U1061" s="45">
        <v>-1.2037535E-2</v>
      </c>
      <c r="V1061" s="45">
        <v>2.3978866000000001E-2</v>
      </c>
      <c r="W1061" s="45">
        <v>5.6153238E-4</v>
      </c>
      <c r="X1061" s="45">
        <v>-1.0529871E-5</v>
      </c>
      <c r="Y1061" s="45">
        <v>1.1710915E-6</v>
      </c>
      <c r="Z1061" s="36">
        <v>5.2</v>
      </c>
      <c r="AA1061" s="38">
        <v>560</v>
      </c>
      <c r="AB1061" s="38"/>
      <c r="AC1061" s="39" t="s">
        <v>508</v>
      </c>
      <c r="AD1061" s="49" t="s">
        <v>506</v>
      </c>
      <c r="AE1061" s="48"/>
    </row>
    <row r="1062" spans="1:31" ht="15" thickBot="1">
      <c r="A1062" s="34">
        <v>1060</v>
      </c>
      <c r="B1062" s="34" t="s">
        <v>1026</v>
      </c>
      <c r="C1062" s="41" t="s">
        <v>1358</v>
      </c>
      <c r="D1062" s="34" t="s">
        <v>923</v>
      </c>
      <c r="E1062" s="80">
        <f t="shared" si="119"/>
        <v>1.7659993508519092</v>
      </c>
      <c r="F1062" s="35">
        <f t="shared" si="126"/>
        <v>49.799418912952248</v>
      </c>
      <c r="G1062" s="42" cm="1">
        <f t="array" ref="G106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49.526632240863428</v>
      </c>
      <c r="H1062" s="81" cm="1">
        <f t="array" ref="H10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1.7613785105812729</v>
      </c>
      <c r="I1062" s="81" cm="1">
        <f t="array" ref="I10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1.7659993508519092</v>
      </c>
      <c r="J1062" s="81" cm="1">
        <f t="array" ref="J10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1.7696620808444612</v>
      </c>
      <c r="K1062" s="81" cm="1">
        <f t="array" ref="K10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1.7767602031305545</v>
      </c>
      <c r="L1062" s="81" cm="1">
        <f t="array" ref="L10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1.7852883558461834</v>
      </c>
      <c r="M1062" s="37">
        <f t="shared" si="121"/>
        <v>1.5381692549281567E-2</v>
      </c>
      <c r="N1062" s="43">
        <f t="shared" si="122"/>
        <v>4.6208402706362506E-3</v>
      </c>
      <c r="O1062" s="43">
        <f t="shared" si="123"/>
        <v>8.5281527156289005E-3</v>
      </c>
      <c r="P1062" s="43">
        <f t="shared" si="124"/>
        <v>0.30041169109520893</v>
      </c>
      <c r="Q1062" s="37">
        <f t="shared" si="125"/>
        <v>0.55443526050891101</v>
      </c>
      <c r="R1062" s="37">
        <f t="shared" si="127"/>
        <v>-6.4363615385985007E-3</v>
      </c>
      <c r="S1062" s="44" t="s">
        <v>1394</v>
      </c>
      <c r="T1062" s="45">
        <v>3.0499512000000002</v>
      </c>
      <c r="U1062" s="45">
        <v>-1.2617622E-2</v>
      </c>
      <c r="V1062" s="45">
        <v>2.3790051999999999E-2</v>
      </c>
      <c r="W1062" s="45">
        <v>4.7378242999999997E-4</v>
      </c>
      <c r="X1062" s="45">
        <v>1.3794282E-5</v>
      </c>
      <c r="Y1062" s="45">
        <v>-8.9478673999999996E-7</v>
      </c>
      <c r="Z1062" s="36">
        <v>4.75</v>
      </c>
      <c r="AA1062" s="38">
        <v>576</v>
      </c>
      <c r="AB1062" s="38"/>
      <c r="AC1062" s="39" t="s">
        <v>508</v>
      </c>
      <c r="AD1062" s="49" t="s">
        <v>506</v>
      </c>
      <c r="AE1062" s="48"/>
    </row>
    <row r="1063" spans="1:31" ht="15" thickBot="1">
      <c r="A1063" s="34">
        <v>1061</v>
      </c>
      <c r="B1063" s="34" t="s">
        <v>1026</v>
      </c>
      <c r="C1063" s="41" t="s">
        <v>1358</v>
      </c>
      <c r="D1063" s="34" t="s">
        <v>924</v>
      </c>
      <c r="E1063" s="80">
        <f t="shared" si="119"/>
        <v>1.6939949853914862</v>
      </c>
      <c r="F1063" s="35">
        <f t="shared" si="126"/>
        <v>56.287752579626734</v>
      </c>
      <c r="G1063" s="42" cm="1">
        <f t="array" ref="G106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56.03854823486693</v>
      </c>
      <c r="H1063" s="81" cm="1">
        <f t="array" ref="H10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1.6902482567008876</v>
      </c>
      <c r="I1063" s="81" cm="1">
        <f t="array" ref="I10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1.6939949853914862</v>
      </c>
      <c r="J1063" s="81" cm="1">
        <f t="array" ref="J10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1.6969343893257374</v>
      </c>
      <c r="K1063" s="81" cm="1">
        <f t="array" ref="K10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1.7025776703581434</v>
      </c>
      <c r="L1063" s="81" cm="1">
        <f t="array" ref="L10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1.7092980705569596</v>
      </c>
      <c r="M1063" s="37">
        <f t="shared" si="121"/>
        <v>1.2329413657255817E-2</v>
      </c>
      <c r="N1063" s="43">
        <f t="shared" si="122"/>
        <v>3.7467286905985553E-3</v>
      </c>
      <c r="O1063" s="43">
        <f t="shared" si="123"/>
        <v>6.7204001988161455E-3</v>
      </c>
      <c r="P1063" s="43">
        <f t="shared" si="124"/>
        <v>0.30388539104563328</v>
      </c>
      <c r="Q1063" s="37">
        <f t="shared" si="125"/>
        <v>0.54507054314470282</v>
      </c>
      <c r="R1063" s="37">
        <f t="shared" si="127"/>
        <v>-5.2717220565129397E-3</v>
      </c>
      <c r="S1063" s="44" t="s">
        <v>1394</v>
      </c>
      <c r="T1063" s="45">
        <v>2.8185205999999998</v>
      </c>
      <c r="U1063" s="45">
        <v>-1.3230603000000001E-2</v>
      </c>
      <c r="V1063" s="45">
        <v>1.8037587000000001E-2</v>
      </c>
      <c r="W1063" s="45">
        <v>4.5589601999999999E-4</v>
      </c>
      <c r="X1063" s="45">
        <v>-2.131672E-5</v>
      </c>
      <c r="Y1063" s="45">
        <v>1.5724724E-6</v>
      </c>
      <c r="Z1063" s="36">
        <v>4.34</v>
      </c>
      <c r="AA1063" s="38">
        <v>514</v>
      </c>
      <c r="AB1063" s="38"/>
      <c r="AC1063" s="39" t="s">
        <v>508</v>
      </c>
      <c r="AD1063" s="49" t="s">
        <v>506</v>
      </c>
      <c r="AE1063" s="48"/>
    </row>
    <row r="1064" spans="1:31" ht="15" thickBot="1">
      <c r="A1064" s="34">
        <v>1062</v>
      </c>
      <c r="B1064" s="34" t="s">
        <v>1026</v>
      </c>
      <c r="C1064" s="41" t="s">
        <v>1358</v>
      </c>
      <c r="D1064" s="34" t="s">
        <v>925</v>
      </c>
      <c r="E1064" s="80">
        <f t="shared" si="119"/>
        <v>1.6956018282678957</v>
      </c>
      <c r="F1064" s="35">
        <f t="shared" si="126"/>
        <v>59.05237621231548</v>
      </c>
      <c r="G1064" s="42" cm="1">
        <f t="array" ref="G106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58.788065552802024</v>
      </c>
      <c r="H1064" s="81" cm="1">
        <f t="array" ref="H10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1.6920191669449391</v>
      </c>
      <c r="I1064" s="81" cm="1">
        <f t="array" ref="I10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1.6956018282678957</v>
      </c>
      <c r="J1064" s="81" cm="1">
        <f t="array" ref="J10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1.6984109145818935</v>
      </c>
      <c r="K1064" s="81" cm="1">
        <f t="array" ref="K10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1.7037985714818022</v>
      </c>
      <c r="L1064" s="81" cm="1">
        <f t="array" ref="L10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1.7102006337116518</v>
      </c>
      <c r="M1064" s="37">
        <f t="shared" si="121"/>
        <v>1.1779404536863103E-2</v>
      </c>
      <c r="N1064" s="43">
        <f t="shared" si="122"/>
        <v>3.5826613229565929E-3</v>
      </c>
      <c r="O1064" s="43">
        <f t="shared" si="123"/>
        <v>6.4020622298495145E-3</v>
      </c>
      <c r="P1064" s="43">
        <f t="shared" si="124"/>
        <v>0.30414621653792595</v>
      </c>
      <c r="Q1064" s="37">
        <f t="shared" si="125"/>
        <v>0.54349625312676508</v>
      </c>
      <c r="R1064" s="37">
        <f t="shared" si="127"/>
        <v>-2.3595429331069173E-3</v>
      </c>
      <c r="S1064" s="44" t="s">
        <v>1394</v>
      </c>
      <c r="T1064" s="45">
        <v>2.8262526000000001</v>
      </c>
      <c r="U1064" s="45">
        <v>-1.2785561000000001E-2</v>
      </c>
      <c r="V1064" s="45">
        <v>1.7234088000000002E-2</v>
      </c>
      <c r="W1064" s="45">
        <v>4.436105E-4</v>
      </c>
      <c r="X1064" s="45">
        <v>-2.0762175000000001E-5</v>
      </c>
      <c r="Y1064" s="45">
        <v>1.2592648E-6</v>
      </c>
      <c r="Z1064" s="36">
        <v>4.5599999999999996</v>
      </c>
      <c r="AA1064" s="38">
        <v>542</v>
      </c>
      <c r="AB1064" s="38"/>
      <c r="AC1064" s="39" t="s">
        <v>508</v>
      </c>
      <c r="AD1064" s="49" t="s">
        <v>506</v>
      </c>
      <c r="AE1064" s="48"/>
    </row>
    <row r="1065" spans="1:31" ht="15" thickBot="1">
      <c r="A1065" s="34">
        <v>1063</v>
      </c>
      <c r="B1065" s="34" t="s">
        <v>1026</v>
      </c>
      <c r="C1065" s="41" t="s">
        <v>1358</v>
      </c>
      <c r="D1065" s="34" t="s">
        <v>926</v>
      </c>
      <c r="E1065" s="80">
        <f t="shared" si="119"/>
        <v>1.6324603417589791</v>
      </c>
      <c r="F1065" s="35">
        <f t="shared" si="126"/>
        <v>63.767314549719124</v>
      </c>
      <c r="G1065" s="42" cm="1">
        <f t="array" ref="G106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63.475582590177488</v>
      </c>
      <c r="H1065" s="81" cm="1">
        <f t="array" ref="H10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1.6294395272045035</v>
      </c>
      <c r="I1065" s="81" cm="1">
        <f t="array" ref="I10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1.6324603417589791</v>
      </c>
      <c r="J1065" s="81" cm="1">
        <f t="array" ref="J10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1.634825990038975</v>
      </c>
      <c r="K1065" s="81" cm="1">
        <f t="array" ref="K10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1.6393577799367218</v>
      </c>
      <c r="L1065" s="81" cm="1">
        <f t="array" ref="L10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1.6447350823304916</v>
      </c>
      <c r="M1065" s="37">
        <f t="shared" si="121"/>
        <v>9.9182527322183578E-3</v>
      </c>
      <c r="N1065" s="43">
        <f t="shared" si="122"/>
        <v>3.0208145544756704E-3</v>
      </c>
      <c r="O1065" s="43">
        <f t="shared" si="123"/>
        <v>5.3773023937697673E-3</v>
      </c>
      <c r="P1065" s="43">
        <f t="shared" si="124"/>
        <v>0.3045712421365192</v>
      </c>
      <c r="Q1065" s="37">
        <f t="shared" si="125"/>
        <v>0.54216226778555354</v>
      </c>
      <c r="R1065" s="37">
        <f t="shared" si="127"/>
        <v>3.957938313749132E-3</v>
      </c>
      <c r="S1065" s="44" t="s">
        <v>1394</v>
      </c>
      <c r="T1065" s="45">
        <v>2.6248171999999999</v>
      </c>
      <c r="U1065" s="45">
        <v>-1.0251148999999999E-2</v>
      </c>
      <c r="V1065" s="45">
        <v>1.4379299999999999E-2</v>
      </c>
      <c r="W1065" s="45">
        <v>2.4017461000000001E-4</v>
      </c>
      <c r="X1065" s="45">
        <v>-1.041901E-6</v>
      </c>
      <c r="Y1065" s="45">
        <v>1.0237991E-7</v>
      </c>
      <c r="Z1065" s="36">
        <v>4.2699999999999996</v>
      </c>
      <c r="AA1065" s="38">
        <v>485</v>
      </c>
      <c r="AB1065" s="38"/>
      <c r="AC1065" s="39" t="s">
        <v>508</v>
      </c>
      <c r="AD1065" s="49" t="s">
        <v>506</v>
      </c>
      <c r="AE1065" s="48"/>
    </row>
    <row r="1066" spans="1:31" ht="15" thickBot="1">
      <c r="A1066" s="34">
        <v>1064</v>
      </c>
      <c r="B1066" s="34" t="s">
        <v>1026</v>
      </c>
      <c r="C1066" s="41" t="s">
        <v>1358</v>
      </c>
      <c r="D1066" s="34" t="s">
        <v>927</v>
      </c>
      <c r="E1066" s="80">
        <f t="shared" si="119"/>
        <v>1.6385982541858035</v>
      </c>
      <c r="F1066" s="35">
        <f t="shared" si="126"/>
        <v>63.433699969899202</v>
      </c>
      <c r="G1066" s="42" cm="1">
        <f t="array" ref="G106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63.144960428946511</v>
      </c>
      <c r="H1066" s="81" cm="1">
        <f t="array" ref="H10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1.635531455543384</v>
      </c>
      <c r="I1066" s="81" cm="1">
        <f t="array" ref="I10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1.6385982541858035</v>
      </c>
      <c r="J1066" s="81" cm="1">
        <f t="array" ref="J10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1.6409988919214893</v>
      </c>
      <c r="K1066" s="81" cm="1">
        <f t="array" ref="K10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1.6455986320519091</v>
      </c>
      <c r="L1066" s="81" cm="1">
        <f t="array" ref="L10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1.6510619106063247</v>
      </c>
      <c r="M1066" s="37">
        <f t="shared" si="121"/>
        <v>1.0067176508525177E-2</v>
      </c>
      <c r="N1066" s="43">
        <f t="shared" si="122"/>
        <v>3.0667986424195437E-3</v>
      </c>
      <c r="O1066" s="43">
        <f t="shared" si="123"/>
        <v>5.4632785544155293E-3</v>
      </c>
      <c r="P1066" s="43">
        <f t="shared" si="124"/>
        <v>0.30463344313298663</v>
      </c>
      <c r="Q1066" s="37">
        <f t="shared" si="125"/>
        <v>0.54268230519143734</v>
      </c>
      <c r="R1066" s="37">
        <f t="shared" si="127"/>
        <v>3.936581404773154E-3</v>
      </c>
      <c r="S1066" s="44" t="s">
        <v>1394</v>
      </c>
      <c r="T1066" s="45">
        <v>2.6439316000000002</v>
      </c>
      <c r="U1066" s="45">
        <v>-1.0471601000000001E-2</v>
      </c>
      <c r="V1066" s="45">
        <v>1.4890809E-2</v>
      </c>
      <c r="W1066" s="45">
        <v>1.5162245000000001E-4</v>
      </c>
      <c r="X1066" s="45">
        <v>1.3530927E-5</v>
      </c>
      <c r="Y1066" s="45">
        <v>-6.5983298000000001E-7</v>
      </c>
      <c r="Z1066" s="36">
        <v>4.3600000000000003</v>
      </c>
      <c r="AA1066" s="38">
        <v>486</v>
      </c>
      <c r="AB1066" s="38"/>
      <c r="AC1066" s="39" t="s">
        <v>508</v>
      </c>
      <c r="AD1066" s="49" t="s">
        <v>506</v>
      </c>
      <c r="AE1066" s="48"/>
    </row>
    <row r="1067" spans="1:31" ht="15" thickBot="1">
      <c r="A1067" s="34">
        <v>1065</v>
      </c>
      <c r="B1067" s="34" t="s">
        <v>1026</v>
      </c>
      <c r="C1067" s="41" t="s">
        <v>1358</v>
      </c>
      <c r="D1067" s="34" t="s">
        <v>928</v>
      </c>
      <c r="E1067" s="80">
        <f t="shared" si="119"/>
        <v>1.6567024535592179</v>
      </c>
      <c r="F1067" s="35">
        <f t="shared" si="126"/>
        <v>62.280944420214468</v>
      </c>
      <c r="G1067" s="42" cm="1">
        <f t="array" ref="G106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62.008954415736042</v>
      </c>
      <c r="H1067" s="81" cm="1">
        <f t="array" ref="H10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1.6534876723606595</v>
      </c>
      <c r="I1067" s="81" cm="1">
        <f t="array" ref="I10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1.6567024535592179</v>
      </c>
      <c r="J1067" s="81" cm="1">
        <f t="array" ref="J10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1.6592168762902506</v>
      </c>
      <c r="K1067" s="81" cm="1">
        <f t="array" ref="K10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1.6640318678553263</v>
      </c>
      <c r="L1067" s="81" cm="1">
        <f t="array" ref="L10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1.6697475153472328</v>
      </c>
      <c r="M1067" s="37">
        <f t="shared" si="121"/>
        <v>1.0544195494666786E-2</v>
      </c>
      <c r="N1067" s="43">
        <f t="shared" si="122"/>
        <v>3.2147811985583363E-3</v>
      </c>
      <c r="O1067" s="43">
        <f t="shared" si="123"/>
        <v>5.7156474919064504E-3</v>
      </c>
      <c r="P1067" s="43">
        <f t="shared" si="124"/>
        <v>0.3048863424605851</v>
      </c>
      <c r="Q1067" s="37">
        <f t="shared" si="125"/>
        <v>0.54206577398886457</v>
      </c>
      <c r="R1067" s="37">
        <f t="shared" si="127"/>
        <v>1.4493426888803063E-3</v>
      </c>
      <c r="S1067" s="44" t="s">
        <v>1394</v>
      </c>
      <c r="T1067" s="45">
        <v>2.7016662999999999</v>
      </c>
      <c r="U1067" s="45">
        <v>-1.1618909E-2</v>
      </c>
      <c r="V1067" s="45">
        <v>1.5582285E-2</v>
      </c>
      <c r="W1067" s="45">
        <v>1.9824944000000001E-4</v>
      </c>
      <c r="X1067" s="45">
        <v>1.0097926999999999E-5</v>
      </c>
      <c r="Y1067" s="45">
        <v>-5.2589483E-7</v>
      </c>
      <c r="Z1067" s="36">
        <v>4.3600000000000003</v>
      </c>
      <c r="AA1067" s="38">
        <v>506</v>
      </c>
      <c r="AB1067" s="38"/>
      <c r="AC1067" s="39" t="s">
        <v>508</v>
      </c>
      <c r="AD1067" s="49" t="s">
        <v>506</v>
      </c>
      <c r="AE1067" s="48"/>
    </row>
    <row r="1068" spans="1:31" ht="15" thickBot="1">
      <c r="A1068" s="34">
        <v>1066</v>
      </c>
      <c r="B1068" s="34" t="s">
        <v>1026</v>
      </c>
      <c r="C1068" s="41" t="s">
        <v>1358</v>
      </c>
      <c r="D1068" s="34" t="s">
        <v>929</v>
      </c>
      <c r="E1068" s="80">
        <f t="shared" si="119"/>
        <v>1.6695469496765354</v>
      </c>
      <c r="F1068" s="35">
        <f t="shared" si="126"/>
        <v>55.427598368560233</v>
      </c>
      <c r="G1068" s="42" cm="1">
        <f t="array" ref="G106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55.185099438423485</v>
      </c>
      <c r="H1068" s="81" cm="1">
        <f t="array" ref="H10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1.6658772004022773</v>
      </c>
      <c r="I1068" s="81" cm="1">
        <f t="array" ref="I10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1.6695469496765354</v>
      </c>
      <c r="J1068" s="81" cm="1">
        <f t="array" ref="J10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1.6724276145802814</v>
      </c>
      <c r="K1068" s="81" cm="1">
        <f t="array" ref="K10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1.6779568677409999</v>
      </c>
      <c r="L1068" s="81" cm="1">
        <f t="array" ref="L10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1.6845335463248727</v>
      </c>
      <c r="M1068" s="37">
        <f t="shared" si="121"/>
        <v>1.2079667338722677E-2</v>
      </c>
      <c r="N1068" s="43">
        <f t="shared" si="122"/>
        <v>3.6697492742581161E-3</v>
      </c>
      <c r="O1068" s="43">
        <f t="shared" si="123"/>
        <v>6.5766785838727859E-3</v>
      </c>
      <c r="P1068" s="43">
        <f t="shared" si="124"/>
        <v>0.30379555755598825</v>
      </c>
      <c r="Q1068" s="37">
        <f t="shared" si="125"/>
        <v>0.54444202803421027</v>
      </c>
      <c r="R1068" s="37">
        <f t="shared" si="127"/>
        <v>-7.2961072156867424E-3</v>
      </c>
      <c r="S1068" s="44" t="s">
        <v>1394</v>
      </c>
      <c r="T1068" s="45">
        <v>2.7376882</v>
      </c>
      <c r="U1068" s="45">
        <v>-1.2269245E-2</v>
      </c>
      <c r="V1068" s="45">
        <v>1.7439402999999999E-2</v>
      </c>
      <c r="W1068" s="45">
        <v>4.7088707000000001E-4</v>
      </c>
      <c r="X1068" s="45">
        <v>-2.7150133999999999E-5</v>
      </c>
      <c r="Y1068" s="45">
        <v>1.8172045E-6</v>
      </c>
      <c r="Z1068" s="36">
        <v>3.44</v>
      </c>
      <c r="AA1068" s="38">
        <v>520</v>
      </c>
      <c r="AB1068" s="38"/>
      <c r="AC1068" s="39" t="s">
        <v>508</v>
      </c>
      <c r="AD1068" s="49" t="s">
        <v>506</v>
      </c>
      <c r="AE1068" s="48"/>
    </row>
    <row r="1069" spans="1:31" ht="15" thickBot="1">
      <c r="A1069" s="34">
        <v>1067</v>
      </c>
      <c r="B1069" s="34" t="s">
        <v>1026</v>
      </c>
      <c r="C1069" s="41" t="s">
        <v>1358</v>
      </c>
      <c r="D1069" s="34" t="s">
        <v>930</v>
      </c>
      <c r="E1069" s="80">
        <f t="shared" si="119"/>
        <v>1.6103509074743672</v>
      </c>
      <c r="F1069" s="35">
        <f t="shared" si="126"/>
        <v>57.928829575640194</v>
      </c>
      <c r="G1069" s="42" cm="1">
        <f t="array" ref="G106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57.691912115500365</v>
      </c>
      <c r="H1069" s="81" cm="1">
        <f t="array" ref="H10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1.6071397242154073</v>
      </c>
      <c r="I1069" s="81" cm="1">
        <f t="array" ref="I10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1.6103509074743672</v>
      </c>
      <c r="J1069" s="81" cm="1">
        <f t="array" ref="J10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1.6128646687606263</v>
      </c>
      <c r="K1069" s="81" cm="1">
        <f t="array" ref="K10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1.6176759444695625</v>
      </c>
      <c r="L1069" s="81" cm="1">
        <f t="array" ref="L10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1.6233790410198927</v>
      </c>
      <c r="M1069" s="37">
        <f t="shared" si="121"/>
        <v>1.0536220254155237E-2</v>
      </c>
      <c r="N1069" s="43">
        <f t="shared" si="122"/>
        <v>3.2111832589598599E-3</v>
      </c>
      <c r="O1069" s="43">
        <f t="shared" si="123"/>
        <v>5.7030965503301889E-3</v>
      </c>
      <c r="P1069" s="43">
        <f t="shared" si="124"/>
        <v>0.30477563884386766</v>
      </c>
      <c r="Q1069" s="37">
        <f t="shared" si="125"/>
        <v>0.5412848642833773</v>
      </c>
      <c r="R1069" s="37">
        <f t="shared" si="127"/>
        <v>-6.3942386652525718E-3</v>
      </c>
      <c r="S1069" s="44" t="s">
        <v>1394</v>
      </c>
      <c r="T1069" s="45">
        <v>2.5520489</v>
      </c>
      <c r="U1069" s="45">
        <v>-1.1234947E-2</v>
      </c>
      <c r="V1069" s="45">
        <v>1.4455084E-2</v>
      </c>
      <c r="W1069" s="45">
        <v>4.6725317999999998E-4</v>
      </c>
      <c r="X1069" s="45">
        <v>-3.6714003999999999E-5</v>
      </c>
      <c r="Y1069" s="45">
        <v>2.2810504000000001E-6</v>
      </c>
      <c r="Z1069" s="36">
        <v>3.09</v>
      </c>
      <c r="AA1069" s="38">
        <v>516</v>
      </c>
      <c r="AB1069" s="38"/>
      <c r="AC1069" s="39" t="s">
        <v>508</v>
      </c>
      <c r="AD1069" s="49" t="s">
        <v>506</v>
      </c>
      <c r="AE1069" s="48"/>
    </row>
    <row r="1070" spans="1:31" ht="15" thickBot="1">
      <c r="A1070" s="34">
        <v>1068</v>
      </c>
      <c r="B1070" s="34" t="s">
        <v>1026</v>
      </c>
      <c r="C1070" s="41" t="s">
        <v>1358</v>
      </c>
      <c r="D1070" s="34" t="s">
        <v>931</v>
      </c>
      <c r="E1070" s="80">
        <f t="shared" si="119"/>
        <v>1.6938420545722612</v>
      </c>
      <c r="F1070" s="35">
        <f t="shared" si="126"/>
        <v>53.115514575676379</v>
      </c>
      <c r="G1070" s="42" cm="1">
        <f t="array" ref="G107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52.864129871092437</v>
      </c>
      <c r="H1070" s="81" cm="1">
        <f t="array" ref="H10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1.6898878308736132</v>
      </c>
      <c r="I1070" s="81" cm="1">
        <f t="array" ref="I10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1.6938420545722612</v>
      </c>
      <c r="J1070" s="81" cm="1">
        <f t="array" ref="J10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1.696954199519499</v>
      </c>
      <c r="K1070" s="81" cm="1">
        <f t="array" ref="K10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1.7029507195628248</v>
      </c>
      <c r="L1070" s="81" cm="1">
        <f t="array" ref="L10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1.7101152985742021</v>
      </c>
      <c r="M1070" s="37">
        <f t="shared" si="121"/>
        <v>1.3062888689211682E-2</v>
      </c>
      <c r="N1070" s="43">
        <f t="shared" si="122"/>
        <v>3.9542236986480628E-3</v>
      </c>
      <c r="O1070" s="43">
        <f t="shared" si="123"/>
        <v>7.1645790113772367E-3</v>
      </c>
      <c r="P1070" s="43">
        <f t="shared" si="124"/>
        <v>0.3027066824747392</v>
      </c>
      <c r="Q1070" s="37">
        <f t="shared" si="125"/>
        <v>0.54846819733634311</v>
      </c>
      <c r="R1070" s="37">
        <f t="shared" si="127"/>
        <v>-7.0220191973582313E-3</v>
      </c>
      <c r="S1070" s="44" t="s">
        <v>1394</v>
      </c>
      <c r="T1070" s="45">
        <v>2.8135721999999999</v>
      </c>
      <c r="U1070" s="45">
        <v>-1.2577591000000001E-2</v>
      </c>
      <c r="V1070" s="45">
        <v>1.9933465000000001E-2</v>
      </c>
      <c r="W1070" s="45">
        <v>1.5711222000000001E-4</v>
      </c>
      <c r="X1070" s="45">
        <v>4.0676176000000003E-5</v>
      </c>
      <c r="Y1070" s="45">
        <v>-2.4977604E-6</v>
      </c>
      <c r="Z1070" s="36">
        <v>3.81</v>
      </c>
      <c r="AA1070" s="38">
        <v>530</v>
      </c>
      <c r="AB1070" s="38"/>
      <c r="AC1070" s="39" t="s">
        <v>508</v>
      </c>
      <c r="AD1070" s="49" t="s">
        <v>506</v>
      </c>
      <c r="AE1070" s="48"/>
    </row>
    <row r="1071" spans="1:31" ht="15" thickBot="1">
      <c r="A1071" s="34">
        <v>1069</v>
      </c>
      <c r="B1071" s="34" t="s">
        <v>1026</v>
      </c>
      <c r="C1071" s="41" t="s">
        <v>1358</v>
      </c>
      <c r="D1071" s="34" t="s">
        <v>932</v>
      </c>
      <c r="E1071" s="80">
        <f t="shared" si="119"/>
        <v>1.7555015713781861</v>
      </c>
      <c r="F1071" s="35">
        <f t="shared" si="126"/>
        <v>45.595454806127186</v>
      </c>
      <c r="G1071" s="42" cm="1">
        <f t="array" ref="G107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45.35477377095237</v>
      </c>
      <c r="H1071" s="81" cm="1">
        <f t="array" ref="H10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1.7505283246604548</v>
      </c>
      <c r="I1071" s="81" cm="1">
        <f t="array" ref="I10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1.7555015713781861</v>
      </c>
      <c r="J1071" s="81" cm="1">
        <f t="array" ref="J10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1.7594436400255069</v>
      </c>
      <c r="K1071" s="81" cm="1">
        <f t="array" ref="K10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1.7670979931633921</v>
      </c>
      <c r="L1071" s="81" cm="1">
        <f t="array" ref="L10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1.7763564667431546</v>
      </c>
      <c r="M1071" s="37">
        <f t="shared" si="121"/>
        <v>1.6569668502937285E-2</v>
      </c>
      <c r="N1071" s="43">
        <f t="shared" si="122"/>
        <v>4.97324671773125E-3</v>
      </c>
      <c r="O1071" s="43">
        <f t="shared" si="123"/>
        <v>9.2584735797625051E-3</v>
      </c>
      <c r="P1071" s="43">
        <f t="shared" si="124"/>
        <v>0.30014159407290791</v>
      </c>
      <c r="Q1071" s="37">
        <f t="shared" si="125"/>
        <v>0.55876033839308659</v>
      </c>
      <c r="R1071" s="37">
        <f t="shared" si="127"/>
        <v>-8.9335342543152008E-3</v>
      </c>
      <c r="S1071" s="44" t="s">
        <v>1394</v>
      </c>
      <c r="T1071" s="45">
        <v>3.0092544999999999</v>
      </c>
      <c r="U1071" s="45">
        <v>-1.4428442E-2</v>
      </c>
      <c r="V1071" s="45">
        <v>2.4950143000000001E-2</v>
      </c>
      <c r="W1071" s="45">
        <v>6.5325889999999997E-4</v>
      </c>
      <c r="X1071" s="45">
        <v>-1.7536585E-5</v>
      </c>
      <c r="Y1071" s="45">
        <v>2.6440098999999999E-6</v>
      </c>
      <c r="Z1071" s="36">
        <v>4.25</v>
      </c>
      <c r="AA1071" s="38">
        <v>526</v>
      </c>
      <c r="AB1071" s="38"/>
      <c r="AC1071" s="39" t="s">
        <v>508</v>
      </c>
      <c r="AD1071" s="49" t="s">
        <v>506</v>
      </c>
      <c r="AE1071" s="48"/>
    </row>
    <row r="1072" spans="1:31" ht="15" thickBot="1">
      <c r="A1072" s="34">
        <v>1070</v>
      </c>
      <c r="B1072" s="34" t="s">
        <v>1026</v>
      </c>
      <c r="C1072" s="41" t="s">
        <v>1358</v>
      </c>
      <c r="D1072" s="34" t="s">
        <v>933</v>
      </c>
      <c r="E1072" s="80">
        <f t="shared" si="119"/>
        <v>1.809978593981602</v>
      </c>
      <c r="F1072" s="35">
        <f t="shared" si="126"/>
        <v>40.948691127894762</v>
      </c>
      <c r="G1072" s="42" cm="1">
        <f t="array" ref="G107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40.706247601437219</v>
      </c>
      <c r="H1072" s="81" cm="1">
        <f t="array" ref="H10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1.8040941983656817</v>
      </c>
      <c r="I1072" s="81" cm="1">
        <f t="array" ref="I10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1.809978593981602</v>
      </c>
      <c r="J1072" s="81" cm="1">
        <f t="array" ref="J10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1.814680854256894</v>
      </c>
      <c r="K1072" s="81" cm="1">
        <f t="array" ref="K10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1.823874527642918</v>
      </c>
      <c r="L1072" s="81" cm="1">
        <f t="array" ref="L10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1.8350791428861091</v>
      </c>
      <c r="M1072" s="37">
        <f t="shared" si="121"/>
        <v>1.9780329277236275E-2</v>
      </c>
      <c r="N1072" s="43">
        <f t="shared" si="122"/>
        <v>5.884395615920246E-3</v>
      </c>
      <c r="O1072" s="43">
        <f t="shared" si="123"/>
        <v>1.1204615243191052E-2</v>
      </c>
      <c r="P1072" s="43">
        <f t="shared" si="124"/>
        <v>0.29748724267660009</v>
      </c>
      <c r="Q1072" s="37">
        <f t="shared" si="125"/>
        <v>0.56645241270506141</v>
      </c>
      <c r="R1072" s="37">
        <f t="shared" si="127"/>
        <v>-8.7822917586520832E-3</v>
      </c>
      <c r="S1072" s="44" t="s">
        <v>1394</v>
      </c>
      <c r="T1072" s="45">
        <v>3.1860387999999999</v>
      </c>
      <c r="U1072" s="45">
        <v>-1.3756822E-2</v>
      </c>
      <c r="V1072" s="45">
        <v>2.9614016999999999E-2</v>
      </c>
      <c r="W1072" s="45">
        <v>1.2383727E-3</v>
      </c>
      <c r="X1072" s="45">
        <v>-8.0134174999999994E-5</v>
      </c>
      <c r="Y1072" s="45">
        <v>7.2330635000000004E-6</v>
      </c>
      <c r="Z1072" s="36">
        <v>4.75</v>
      </c>
      <c r="AA1072" s="38">
        <v>528</v>
      </c>
      <c r="AB1072" s="38"/>
      <c r="AC1072" s="39" t="s">
        <v>508</v>
      </c>
      <c r="AD1072" s="49" t="s">
        <v>506</v>
      </c>
      <c r="AE1072" s="48"/>
    </row>
    <row r="1073" spans="1:31" ht="15" thickBot="1">
      <c r="A1073" s="34">
        <v>1071</v>
      </c>
      <c r="B1073" s="34" t="s">
        <v>1026</v>
      </c>
      <c r="C1073" s="41" t="s">
        <v>1358</v>
      </c>
      <c r="D1073" s="34" t="s">
        <v>934</v>
      </c>
      <c r="E1073" s="80">
        <f t="shared" si="119"/>
        <v>1.8527959988203262</v>
      </c>
      <c r="F1073" s="35">
        <f t="shared" si="126"/>
        <v>38.997675858149051</v>
      </c>
      <c r="G1073" s="42" cm="1">
        <f t="array" ref="G107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38.747128483818358</v>
      </c>
      <c r="H1073" s="81" cm="1">
        <f t="array" ref="H10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1.8463245621607258</v>
      </c>
      <c r="I1073" s="81" cm="1">
        <f t="array" ref="I10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1.8527959988203262</v>
      </c>
      <c r="J1073" s="81" cm="1">
        <f t="array" ref="J10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1.8579880578778727</v>
      </c>
      <c r="K1073" s="81" cm="1">
        <f t="array" ref="K10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1.8681924294131822</v>
      </c>
      <c r="L1073" s="81" cm="1">
        <f t="array" ref="L10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1.880722358962891</v>
      </c>
      <c r="M1073" s="37">
        <f t="shared" si="121"/>
        <v>2.1867867252456374E-2</v>
      </c>
      <c r="N1073" s="43">
        <f t="shared" si="122"/>
        <v>6.4714366596003714E-3</v>
      </c>
      <c r="O1073" s="43">
        <f t="shared" si="123"/>
        <v>1.2529929549708774E-2</v>
      </c>
      <c r="P1073" s="43">
        <f t="shared" si="124"/>
        <v>0.29593359905152378</v>
      </c>
      <c r="Q1073" s="37">
        <f t="shared" si="125"/>
        <v>0.57298361129850517</v>
      </c>
      <c r="R1073" s="37">
        <f t="shared" si="127"/>
        <v>-5.4172274984707336E-3</v>
      </c>
      <c r="S1073" s="44" t="s">
        <v>1394</v>
      </c>
      <c r="T1073" s="45">
        <v>3.3299316000000001</v>
      </c>
      <c r="U1073" s="45">
        <v>-1.3661207E-2</v>
      </c>
      <c r="V1073" s="45">
        <v>3.4088331999999999E-2</v>
      </c>
      <c r="W1073" s="45">
        <v>1.0979548E-3</v>
      </c>
      <c r="X1073" s="45">
        <v>-2.7983675999999999E-5</v>
      </c>
      <c r="Y1073" s="45">
        <v>5.1728979999999996E-6</v>
      </c>
      <c r="Z1073" s="36">
        <v>4.9800000000000004</v>
      </c>
      <c r="AA1073" s="38">
        <v>583</v>
      </c>
      <c r="AB1073" s="38"/>
      <c r="AC1073" s="39" t="s">
        <v>508</v>
      </c>
      <c r="AD1073" s="49" t="s">
        <v>506</v>
      </c>
      <c r="AE1073" s="48"/>
    </row>
    <row r="1074" spans="1:31" ht="15" thickBot="1">
      <c r="A1074" s="34">
        <v>1072</v>
      </c>
      <c r="B1074" s="34" t="s">
        <v>1026</v>
      </c>
      <c r="C1074" s="41" t="s">
        <v>1358</v>
      </c>
      <c r="D1074" s="34" t="s">
        <v>935</v>
      </c>
      <c r="E1074" s="80">
        <f t="shared" si="119"/>
        <v>1.8866045925854449</v>
      </c>
      <c r="F1074" s="35">
        <f t="shared" si="126"/>
        <v>34.954004225057936</v>
      </c>
      <c r="G1074" s="42" cm="1">
        <f t="array" ref="G107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34.713919772589371</v>
      </c>
      <c r="H1074" s="81" cm="1">
        <f t="array" ref="H10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1.8791559002419702</v>
      </c>
      <c r="I1074" s="81" cm="1">
        <f t="array" ref="I10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1.8866045925854449</v>
      </c>
      <c r="J1074" s="81" cm="1">
        <f t="array" ref="J10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1.8926177885785957</v>
      </c>
      <c r="K1074" s="81" cm="1">
        <f t="array" ref="K10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1.9045207936852757</v>
      </c>
      <c r="L1074" s="81" cm="1">
        <f t="array" ref="L10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1.9192931536306723</v>
      </c>
      <c r="M1074" s="37">
        <f t="shared" si="121"/>
        <v>2.5364893443305503E-2</v>
      </c>
      <c r="N1074" s="43">
        <f t="shared" si="122"/>
        <v>7.4486923434746721E-3</v>
      </c>
      <c r="O1074" s="43">
        <f t="shared" si="123"/>
        <v>1.4772359945396607E-2</v>
      </c>
      <c r="P1074" s="43">
        <f t="shared" si="124"/>
        <v>0.29366148768271638</v>
      </c>
      <c r="Q1074" s="37">
        <f t="shared" si="125"/>
        <v>0.58239392877463247</v>
      </c>
      <c r="R1074" s="37">
        <f t="shared" si="127"/>
        <v>-2.5690357978315204E-3</v>
      </c>
      <c r="S1074" s="44" t="s">
        <v>1394</v>
      </c>
      <c r="T1074" s="45">
        <v>3.4398054</v>
      </c>
      <c r="U1074" s="45">
        <v>-1.4667565E-2</v>
      </c>
      <c r="V1074" s="45">
        <v>3.8194384999999997E-2</v>
      </c>
      <c r="W1074" s="45">
        <v>1.8572052999999999E-3</v>
      </c>
      <c r="X1074" s="45">
        <v>-1.0460908999999999E-4</v>
      </c>
      <c r="Y1074" s="45">
        <v>1.2213163000000001E-5</v>
      </c>
      <c r="Z1074" s="36">
        <v>4.87</v>
      </c>
      <c r="AA1074" s="38">
        <v>589</v>
      </c>
      <c r="AB1074" s="38"/>
      <c r="AC1074" s="39" t="s">
        <v>508</v>
      </c>
      <c r="AD1074" s="49" t="s">
        <v>506</v>
      </c>
      <c r="AE1074" s="48"/>
    </row>
    <row r="1075" spans="1:31" ht="15" thickBot="1">
      <c r="A1075" s="34">
        <v>1073</v>
      </c>
      <c r="B1075" s="34" t="s">
        <v>1026</v>
      </c>
      <c r="C1075" s="41" t="s">
        <v>1358</v>
      </c>
      <c r="D1075" s="34" t="s">
        <v>936</v>
      </c>
      <c r="E1075" s="80">
        <f t="shared" si="119"/>
        <v>1.8505998753807023</v>
      </c>
      <c r="F1075" s="35">
        <f t="shared" si="126"/>
        <v>41.622197941501923</v>
      </c>
      <c r="G1075" s="42" cm="1">
        <f t="array" ref="G107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41.381953738109978</v>
      </c>
      <c r="H1075" s="81" cm="1">
        <f t="array" ref="H10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1.8445102203624208</v>
      </c>
      <c r="I1075" s="81" cm="1">
        <f t="array" ref="I10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1.8505998753807023</v>
      </c>
      <c r="J1075" s="81" cm="1">
        <f t="array" ref="J10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1.8554585853787628</v>
      </c>
      <c r="K1075" s="81" cm="1">
        <f t="array" ref="K10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1.8649464279018733</v>
      </c>
      <c r="L1075" s="81" cm="1">
        <f t="array" ref="L10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1.8764837117415454</v>
      </c>
      <c r="M1075" s="37">
        <f t="shared" si="121"/>
        <v>2.0436207539452411E-2</v>
      </c>
      <c r="N1075" s="43">
        <f t="shared" si="122"/>
        <v>6.0896550182814035E-3</v>
      </c>
      <c r="O1075" s="43">
        <f t="shared" si="123"/>
        <v>1.1537283839672119E-2</v>
      </c>
      <c r="P1075" s="43">
        <f t="shared" si="124"/>
        <v>0.29798361591920769</v>
      </c>
      <c r="Q1075" s="37">
        <f t="shared" si="125"/>
        <v>0.56455111925239632</v>
      </c>
      <c r="R1075" s="37">
        <f t="shared" si="127"/>
        <v>-9.5906091186566123E-3</v>
      </c>
      <c r="S1075" s="44" t="s">
        <v>1394</v>
      </c>
      <c r="T1075" s="45">
        <v>3.3294765000000002</v>
      </c>
      <c r="U1075" s="45">
        <v>-1.5324674999999999E-2</v>
      </c>
      <c r="V1075" s="45">
        <v>3.1941276999999997E-2</v>
      </c>
      <c r="W1075" s="45">
        <v>1.0078744999999999E-3</v>
      </c>
      <c r="X1075" s="45">
        <v>-2.8400554000000001E-5</v>
      </c>
      <c r="Y1075" s="45">
        <v>3.4886860000000002E-6</v>
      </c>
      <c r="Z1075" s="36">
        <v>5.15</v>
      </c>
      <c r="AA1075" s="38">
        <v>616</v>
      </c>
      <c r="AB1075" s="38"/>
      <c r="AC1075" s="39" t="s">
        <v>508</v>
      </c>
      <c r="AD1075" s="49" t="s">
        <v>506</v>
      </c>
      <c r="AE1075" s="48"/>
    </row>
    <row r="1076" spans="1:31" ht="15" thickBot="1">
      <c r="A1076" s="34">
        <v>1074</v>
      </c>
      <c r="B1076" s="34" t="s">
        <v>1026</v>
      </c>
      <c r="C1076" s="41" t="s">
        <v>1358</v>
      </c>
      <c r="D1076" s="34" t="s">
        <v>937</v>
      </c>
      <c r="E1076" s="80">
        <f t="shared" si="119"/>
        <v>1.803999116811962</v>
      </c>
      <c r="F1076" s="35">
        <f t="shared" ref="F1076:F1107" si="128">(I1076-1)/M1076</f>
        <v>43.602093423378683</v>
      </c>
      <c r="G1076" s="42" cm="1">
        <f t="array" ref="G107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43.353296822032164</v>
      </c>
      <c r="H1076" s="81" cm="1">
        <f t="array" ref="H10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1.7984911634364631</v>
      </c>
      <c r="I1076" s="81" cm="1">
        <f t="array" ref="I10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1.803999116811962</v>
      </c>
      <c r="J1076" s="81" cm="1">
        <f t="array" ref="J10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1.8083835896182969</v>
      </c>
      <c r="K1076" s="81" cm="1">
        <f t="array" ref="K10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1.8169306247945471</v>
      </c>
      <c r="L1076" s="81" cm="1">
        <f t="array" ref="L10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1.8273089245647096</v>
      </c>
      <c r="M1076" s="37">
        <f t="shared" si="121"/>
        <v>1.8439461358084053E-2</v>
      </c>
      <c r="N1076" s="43">
        <f t="shared" si="122"/>
        <v>5.5079533754989196E-3</v>
      </c>
      <c r="O1076" s="43">
        <f t="shared" si="123"/>
        <v>1.0378299770162469E-2</v>
      </c>
      <c r="P1076" s="43">
        <f t="shared" si="124"/>
        <v>0.2987046784359661</v>
      </c>
      <c r="Q1076" s="37">
        <f t="shared" si="125"/>
        <v>0.56283096174132619</v>
      </c>
      <c r="R1076" s="37">
        <f t="shared" ref="R1076:R1107" si="129">_xlfn.LET(
  _xlpm.vd_K7,  $F$1187,
  _xlpm.PgF_K7, $Q$1187,
  _xlpm.vd_F2,  $F$1188,
  _xlpm.PgF_F2, $Q$1188,
  _xlpm.NormalLine, _xlpm.PgF_K7 + ((_xlpm.PgF_F2 - _xlpm.PgF_K7) / (_xlpm.vd_F2 - _xlpm.vd_K7)) * (F1076 - _xlpm.vd_K7),
  O1076/M1076 - _xlpm.NormalLine
)</f>
        <v>-8.0977650921948419E-3</v>
      </c>
      <c r="S1076" s="44" t="s">
        <v>1394</v>
      </c>
      <c r="T1076" s="45">
        <v>3.1712788999999999</v>
      </c>
      <c r="U1076" s="45">
        <v>-1.4900418E-2</v>
      </c>
      <c r="V1076" s="45">
        <v>2.8162431000000002E-2</v>
      </c>
      <c r="W1076" s="45">
        <v>8.3037332000000005E-4</v>
      </c>
      <c r="X1076" s="45">
        <v>-1.8683781E-5</v>
      </c>
      <c r="Y1076" s="45">
        <v>2.6807865E-6</v>
      </c>
      <c r="Z1076" s="36">
        <v>4.71</v>
      </c>
      <c r="AA1076" s="38">
        <v>570</v>
      </c>
      <c r="AB1076" s="38"/>
      <c r="AC1076" s="39" t="s">
        <v>508</v>
      </c>
      <c r="AD1076" s="49" t="s">
        <v>506</v>
      </c>
      <c r="AE1076" s="48"/>
    </row>
    <row r="1077" spans="1:31" ht="15" thickBot="1">
      <c r="A1077" s="34">
        <v>1075</v>
      </c>
      <c r="B1077" s="34" t="s">
        <v>1026</v>
      </c>
      <c r="C1077" s="41" t="s">
        <v>1358</v>
      </c>
      <c r="D1077" s="34" t="s">
        <v>1363</v>
      </c>
      <c r="E1077" s="80">
        <f t="shared" si="119"/>
        <v>1.7485045096685723</v>
      </c>
      <c r="F1077" s="35">
        <f t="shared" si="128"/>
        <v>45.282898018762495</v>
      </c>
      <c r="G1077" s="42" cm="1">
        <f t="array" ref="G107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45.027064734080518</v>
      </c>
      <c r="H1077" s="81" cm="1">
        <f t="array" ref="H10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1.7435591674694804</v>
      </c>
      <c r="I1077" s="81" cm="1">
        <f t="array" ref="I10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1.7485045096685723</v>
      </c>
      <c r="J1077" s="81" cm="1">
        <f t="array" ref="J10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1.7524370351861069</v>
      </c>
      <c r="K1077" s="81" cm="1">
        <f t="array" ref="K10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1.7600886861711862</v>
      </c>
      <c r="L1077" s="81" cm="1">
        <f t="array" ref="L10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1.7693504515888263</v>
      </c>
      <c r="M1077" s="37">
        <f t="shared" si="121"/>
        <v>1.6529518701705825E-2</v>
      </c>
      <c r="N1077" s="43">
        <f t="shared" si="122"/>
        <v>4.9453421990919288E-3</v>
      </c>
      <c r="O1077" s="43">
        <f t="shared" si="123"/>
        <v>9.2617654176401221E-3</v>
      </c>
      <c r="P1077" s="43">
        <f t="shared" si="124"/>
        <v>0.29918246794333919</v>
      </c>
      <c r="Q1077" s="37">
        <f t="shared" si="125"/>
        <v>0.56031670278967771</v>
      </c>
      <c r="R1077" s="37">
        <f t="shared" si="129"/>
        <v>-7.8843912982300424E-3</v>
      </c>
      <c r="S1077" s="44" t="s">
        <v>1394</v>
      </c>
      <c r="T1077" s="45">
        <v>2.9840632999999999</v>
      </c>
      <c r="U1077" s="45">
        <v>-1.2410592999999999E-2</v>
      </c>
      <c r="V1077" s="45">
        <v>2.4927807E-2</v>
      </c>
      <c r="W1077" s="45">
        <v>6.5043728999999995E-4</v>
      </c>
      <c r="X1077" s="45">
        <v>-1.2933305000000001E-5</v>
      </c>
      <c r="Y1077" s="45">
        <v>1.9810658E-6</v>
      </c>
      <c r="Z1077" s="36">
        <v>3.92</v>
      </c>
      <c r="AA1077" s="38">
        <v>524</v>
      </c>
      <c r="AB1077" s="38"/>
      <c r="AC1077" s="39" t="s">
        <v>508</v>
      </c>
      <c r="AD1077" s="49" t="s">
        <v>506</v>
      </c>
      <c r="AE1077" s="48"/>
    </row>
    <row r="1078" spans="1:31" ht="15" thickBot="1">
      <c r="A1078" s="34">
        <v>1076</v>
      </c>
      <c r="B1078" s="34" t="s">
        <v>1026</v>
      </c>
      <c r="C1078" s="41" t="s">
        <v>1358</v>
      </c>
      <c r="D1078" s="34" t="s">
        <v>938</v>
      </c>
      <c r="E1078" s="80">
        <f t="shared" si="119"/>
        <v>1.7988985844803693</v>
      </c>
      <c r="F1078" s="35">
        <f t="shared" si="128"/>
        <v>41.850461912875787</v>
      </c>
      <c r="G1078" s="42" cm="1">
        <f t="array" ref="G107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41.597799918712099</v>
      </c>
      <c r="H1078" s="81" cm="1">
        <f t="array" ref="H10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1.793218207613567</v>
      </c>
      <c r="I1078" s="81" cm="1">
        <f t="array" ref="I10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1.7988985844803693</v>
      </c>
      <c r="J1078" s="81" cm="1">
        <f t="array" ref="J10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1.8034346450099561</v>
      </c>
      <c r="K1078" s="81" cm="1">
        <f t="array" ref="K10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1.812307568828827</v>
      </c>
      <c r="L1078" s="81" cm="1">
        <f t="array" ref="L10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1.8231309748061308</v>
      </c>
      <c r="M1078" s="37">
        <f t="shared" si="121"/>
        <v>1.9089361215260059E-2</v>
      </c>
      <c r="N1078" s="43">
        <f t="shared" si="122"/>
        <v>5.6803768668023391E-3</v>
      </c>
      <c r="O1078" s="43">
        <f t="shared" si="123"/>
        <v>1.0823405977303802E-2</v>
      </c>
      <c r="P1078" s="43">
        <f t="shared" si="124"/>
        <v>0.29756767671520817</v>
      </c>
      <c r="Q1078" s="37">
        <f t="shared" si="125"/>
        <v>0.56698628389155092</v>
      </c>
      <c r="R1078" s="37">
        <f t="shared" si="129"/>
        <v>-6.7850145766608083E-3</v>
      </c>
      <c r="S1078" s="44" t="s">
        <v>1394</v>
      </c>
      <c r="T1078" s="45">
        <v>3.1494838999999999</v>
      </c>
      <c r="U1078" s="45">
        <v>-1.3834727999999999E-2</v>
      </c>
      <c r="V1078" s="45">
        <v>2.918544E-2</v>
      </c>
      <c r="W1078" s="45">
        <v>8.0690932999999995E-4</v>
      </c>
      <c r="X1078" s="45">
        <v>-6.1681096000000004E-6</v>
      </c>
      <c r="Y1078" s="45">
        <v>2.3940145999999999E-6</v>
      </c>
      <c r="Z1078" s="36">
        <v>4.6500000000000004</v>
      </c>
      <c r="AA1078" s="38">
        <v>523</v>
      </c>
      <c r="AB1078" s="38"/>
      <c r="AC1078" s="39" t="s">
        <v>508</v>
      </c>
      <c r="AD1078" s="49" t="s">
        <v>506</v>
      </c>
      <c r="AE1078" s="48"/>
    </row>
    <row r="1079" spans="1:31" ht="15" thickBot="1">
      <c r="A1079" s="34">
        <v>1077</v>
      </c>
      <c r="B1079" s="34" t="s">
        <v>1026</v>
      </c>
      <c r="C1079" s="41" t="s">
        <v>1358</v>
      </c>
      <c r="D1079" s="34" t="s">
        <v>939</v>
      </c>
      <c r="E1079" s="80">
        <f t="shared" si="119"/>
        <v>1.8105482176600143</v>
      </c>
      <c r="F1079" s="35">
        <f t="shared" si="128"/>
        <v>41.13977841817691</v>
      </c>
      <c r="G1079" s="42" cm="1">
        <f t="array" ref="G107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40.882543746479008</v>
      </c>
      <c r="H1079" s="81" cm="1">
        <f t="array" ref="H10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1.8046988773588759</v>
      </c>
      <c r="I1079" s="81" cm="1">
        <f t="array" ref="I10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1.8105482176600143</v>
      </c>
      <c r="J1079" s="81" cm="1">
        <f t="array" ref="J10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1.8152289982384675</v>
      </c>
      <c r="K1079" s="81" cm="1">
        <f t="array" ref="K10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1.8244011764189478</v>
      </c>
      <c r="L1079" s="81" cm="1">
        <f t="array" ref="L10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1.8356107591367523</v>
      </c>
      <c r="M1079" s="37">
        <f t="shared" si="121"/>
        <v>1.9702299060071926E-2</v>
      </c>
      <c r="N1079" s="43">
        <f t="shared" si="122"/>
        <v>5.8493403011383727E-3</v>
      </c>
      <c r="O1079" s="43">
        <f t="shared" si="123"/>
        <v>1.1209582717804478E-2</v>
      </c>
      <c r="P1079" s="43">
        <f t="shared" si="124"/>
        <v>0.29688617979576132</v>
      </c>
      <c r="Q1079" s="37">
        <f t="shared" si="125"/>
        <v>0.56894795290776368</v>
      </c>
      <c r="R1079" s="37">
        <f t="shared" si="129"/>
        <v>-5.9766524809737875E-3</v>
      </c>
      <c r="S1079" s="44" t="s">
        <v>1394</v>
      </c>
      <c r="T1079" s="45">
        <v>3.1886895000000002</v>
      </c>
      <c r="U1079" s="45">
        <v>-1.3820455000000001E-2</v>
      </c>
      <c r="V1079" s="45">
        <v>2.9631616999999999E-2</v>
      </c>
      <c r="W1079" s="45">
        <v>1.0659501E-3</v>
      </c>
      <c r="X1079" s="45">
        <v>-3.7795054999999997E-5</v>
      </c>
      <c r="Y1079" s="45">
        <v>4.3966629000000003E-6</v>
      </c>
      <c r="Z1079" s="36">
        <v>4.71</v>
      </c>
      <c r="AA1079" s="38">
        <v>548</v>
      </c>
      <c r="AB1079" s="38"/>
      <c r="AC1079" s="39" t="s">
        <v>508</v>
      </c>
      <c r="AD1079" s="49" t="s">
        <v>506</v>
      </c>
      <c r="AE1079" s="48"/>
    </row>
    <row r="1080" spans="1:31" ht="15" thickBot="1">
      <c r="A1080" s="34">
        <v>1078</v>
      </c>
      <c r="B1080" s="34" t="s">
        <v>1026</v>
      </c>
      <c r="C1080" s="41" t="s">
        <v>1358</v>
      </c>
      <c r="D1080" s="34" t="s">
        <v>940</v>
      </c>
      <c r="E1080" s="80">
        <f t="shared" si="119"/>
        <v>1.853750179156078</v>
      </c>
      <c r="F1080" s="35">
        <f t="shared" si="128"/>
        <v>40.593943995208413</v>
      </c>
      <c r="G1080" s="42" cm="1">
        <f t="array" ref="G108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40.352798049148063</v>
      </c>
      <c r="H1080" s="81" cm="1">
        <f t="array" ref="H10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1.8474963932715096</v>
      </c>
      <c r="I1080" s="81" cm="1">
        <f t="array" ref="I10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1.853750179156078</v>
      </c>
      <c r="J1080" s="81" cm="1">
        <f t="array" ref="J10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1.8587486533690283</v>
      </c>
      <c r="K1080" s="81" cm="1">
        <f t="array" ref="K10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1.8685278599172943</v>
      </c>
      <c r="L1080" s="81" cm="1">
        <f t="array" ref="L10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1.8804524015699873</v>
      </c>
      <c r="M1080" s="37">
        <f t="shared" si="121"/>
        <v>2.1031466645784702E-2</v>
      </c>
      <c r="N1080" s="43">
        <f t="shared" si="122"/>
        <v>6.2537858845683747E-3</v>
      </c>
      <c r="O1080" s="43">
        <f t="shared" si="123"/>
        <v>1.1924541652692966E-2</v>
      </c>
      <c r="P1080" s="43">
        <f t="shared" si="124"/>
        <v>0.29735376946817971</v>
      </c>
      <c r="Q1080" s="37">
        <f t="shared" si="125"/>
        <v>0.56698573872797309</v>
      </c>
      <c r="R1080" s="37">
        <f t="shared" si="129"/>
        <v>-8.8246542471742684E-3</v>
      </c>
      <c r="S1080" s="44" t="s">
        <v>1394</v>
      </c>
      <c r="T1080" s="45">
        <v>3.3380676999999999</v>
      </c>
      <c r="U1080" s="45">
        <v>-1.4969128999999999E-2</v>
      </c>
      <c r="V1080" s="45">
        <v>3.2739414000000001E-2</v>
      </c>
      <c r="W1080" s="45">
        <v>1.1048947E-3</v>
      </c>
      <c r="X1080" s="45">
        <v>-3.8597399000000001E-5</v>
      </c>
      <c r="Y1080" s="45">
        <v>4.5931893000000001E-6</v>
      </c>
      <c r="Z1080" s="36">
        <v>5</v>
      </c>
      <c r="AA1080" s="38">
        <v>617</v>
      </c>
      <c r="AB1080" s="38"/>
      <c r="AC1080" s="39" t="s">
        <v>508</v>
      </c>
      <c r="AD1080" s="49" t="s">
        <v>506</v>
      </c>
      <c r="AE1080" s="48"/>
    </row>
    <row r="1081" spans="1:31" ht="15" thickBot="1">
      <c r="A1081" s="34">
        <v>1079</v>
      </c>
      <c r="B1081" s="34" t="s">
        <v>1026</v>
      </c>
      <c r="C1081" s="41" t="s">
        <v>1359</v>
      </c>
      <c r="D1081" s="34" t="s">
        <v>941</v>
      </c>
      <c r="E1081" s="80">
        <f t="shared" si="119"/>
        <v>1.693200310912206</v>
      </c>
      <c r="F1081" s="35">
        <f t="shared" si="128"/>
        <v>33.742418927894697</v>
      </c>
      <c r="G1081" s="42" cm="1">
        <f t="array" ref="G108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33.488653760873675</v>
      </c>
      <c r="H1081" s="81" cm="1">
        <f t="array" ref="H10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1.6871986476381857</v>
      </c>
      <c r="I1081" s="81" cm="1">
        <f t="array" ref="I10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1.693200310912206</v>
      </c>
      <c r="J1081" s="81" cm="1">
        <f t="array" ref="J10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1.6980591374131453</v>
      </c>
      <c r="K1081" s="81" cm="1">
        <f t="array" ref="K10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1.7077425307662308</v>
      </c>
      <c r="L1081" s="81" cm="1">
        <f t="array" ref="L10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1.7199120270174362</v>
      </c>
      <c r="M1081" s="37">
        <f t="shared" si="121"/>
        <v>2.0543883128045115E-2</v>
      </c>
      <c r="N1081" s="43">
        <f t="shared" si="122"/>
        <v>6.0016632740202969E-3</v>
      </c>
      <c r="O1081" s="43">
        <f t="shared" si="123"/>
        <v>1.2169496251205336E-2</v>
      </c>
      <c r="P1081" s="43">
        <f t="shared" si="124"/>
        <v>0.29213869824966215</v>
      </c>
      <c r="Q1081" s="37">
        <f t="shared" si="125"/>
        <v>0.59236592105571151</v>
      </c>
      <c r="R1081" s="37">
        <f t="shared" si="129"/>
        <v>5.4367792490096489E-3</v>
      </c>
      <c r="S1081" s="44" t="s">
        <v>1394</v>
      </c>
      <c r="T1081" s="45">
        <v>2.7807680000000001</v>
      </c>
      <c r="U1081" s="45">
        <v>-1.1432782000000001E-2</v>
      </c>
      <c r="V1081" s="45">
        <v>2.823867E-2</v>
      </c>
      <c r="W1081" s="45">
        <v>9.2607119999999995E-4</v>
      </c>
      <c r="X1081" s="45">
        <v>5.9615098000000004E-6</v>
      </c>
      <c r="Y1081" s="45">
        <v>5.5996227000000003E-6</v>
      </c>
      <c r="Z1081" s="36">
        <v>3.13</v>
      </c>
      <c r="AA1081" s="38">
        <v>470</v>
      </c>
      <c r="AB1081" s="38"/>
      <c r="AC1081" s="39" t="s">
        <v>508</v>
      </c>
      <c r="AD1081" s="49" t="s">
        <v>506</v>
      </c>
      <c r="AE1081" s="48"/>
    </row>
    <row r="1082" spans="1:31" ht="15" thickBot="1">
      <c r="A1082" s="34">
        <v>1080</v>
      </c>
      <c r="B1082" s="34" t="s">
        <v>1026</v>
      </c>
      <c r="C1082" s="41" t="s">
        <v>1359</v>
      </c>
      <c r="D1082" s="34" t="s">
        <v>942</v>
      </c>
      <c r="E1082" s="80">
        <f t="shared" si="119"/>
        <v>1.7224981343595183</v>
      </c>
      <c r="F1082" s="35">
        <f t="shared" si="128"/>
        <v>29.237016759793622</v>
      </c>
      <c r="G1082" s="42" cm="1">
        <f t="array" ref="G108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29.008805807806873</v>
      </c>
      <c r="H1082" s="81" cm="1">
        <f t="array" ref="H10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1.7153440436885474</v>
      </c>
      <c r="I1082" s="81" cm="1">
        <f t="array" ref="I10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1.7224981343595183</v>
      </c>
      <c r="J1082" s="81" cm="1">
        <f t="array" ref="J10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1.7283316774527104</v>
      </c>
      <c r="K1082" s="81" cm="1">
        <f t="array" ref="K10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1.740055803451708</v>
      </c>
      <c r="L1082" s="81" cm="1">
        <f t="array" ref="L10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1.7549850232884487</v>
      </c>
      <c r="M1082" s="37">
        <f t="shared" si="121"/>
        <v>2.4711759763160535E-2</v>
      </c>
      <c r="N1082" s="43">
        <f t="shared" si="122"/>
        <v>7.1540906709708363E-3</v>
      </c>
      <c r="O1082" s="43">
        <f t="shared" si="123"/>
        <v>1.4929219836740781E-2</v>
      </c>
      <c r="P1082" s="43">
        <f t="shared" si="124"/>
        <v>0.28950146568015428</v>
      </c>
      <c r="Q1082" s="37">
        <f t="shared" si="125"/>
        <v>0.6041342251552948</v>
      </c>
      <c r="R1082" s="37">
        <f t="shared" si="129"/>
        <v>9.89365492935812E-3</v>
      </c>
      <c r="S1082" s="44" t="s">
        <v>1394</v>
      </c>
      <c r="T1082" s="45">
        <v>2.8630662</v>
      </c>
      <c r="U1082" s="45">
        <v>-1.1977981E-2</v>
      </c>
      <c r="V1082" s="45">
        <v>3.2706278999999998E-2</v>
      </c>
      <c r="W1082" s="45">
        <v>1.6821116E-3</v>
      </c>
      <c r="X1082" s="45">
        <v>-7.4783483E-5</v>
      </c>
      <c r="Y1082" s="45">
        <v>1.4696883E-5</v>
      </c>
      <c r="Z1082" s="36">
        <v>3.01</v>
      </c>
      <c r="AA1082" s="38">
        <v>508</v>
      </c>
      <c r="AB1082" s="38"/>
      <c r="AC1082" s="39" t="s">
        <v>508</v>
      </c>
      <c r="AD1082" s="49" t="s">
        <v>506</v>
      </c>
      <c r="AE1082" s="48"/>
    </row>
    <row r="1083" spans="1:31" ht="15" thickBot="1">
      <c r="A1083" s="34">
        <v>1081</v>
      </c>
      <c r="B1083" s="34" t="s">
        <v>1026</v>
      </c>
      <c r="C1083" s="41" t="s">
        <v>1359</v>
      </c>
      <c r="D1083" s="34" t="s">
        <v>1364</v>
      </c>
      <c r="E1083" s="80">
        <f t="shared" si="119"/>
        <v>1.8064482581912686</v>
      </c>
      <c r="F1083" s="35">
        <f t="shared" si="128"/>
        <v>24.40706194831202</v>
      </c>
      <c r="G1083" s="42" cm="1">
        <f t="array" ref="G108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24.217601001681778</v>
      </c>
      <c r="H1083" s="81" cm="1">
        <f t="array" ref="H10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1.7969789073625873</v>
      </c>
      <c r="I1083" s="81" cm="1">
        <f t="array" ref="I10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1.8064482581912686</v>
      </c>
      <c r="J1083" s="81" cm="1">
        <f t="array" ref="J10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1.8142302038867999</v>
      </c>
      <c r="K1083" s="81" cm="1">
        <f t="array" ref="K10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1.8300205024508909</v>
      </c>
      <c r="L1083" s="81" cm="1">
        <f t="array" ref="L10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1.8504488021403844</v>
      </c>
      <c r="M1083" s="37">
        <f t="shared" si="121"/>
        <v>3.3041595088303621E-2</v>
      </c>
      <c r="N1083" s="43">
        <f t="shared" si="122"/>
        <v>9.4693508286813888E-3</v>
      </c>
      <c r="O1083" s="43">
        <f t="shared" si="123"/>
        <v>2.0428299689493556E-2</v>
      </c>
      <c r="P1083" s="43">
        <f t="shared" si="124"/>
        <v>0.28658879219888023</v>
      </c>
      <c r="Q1083" s="37">
        <f t="shared" si="125"/>
        <v>0.61826009412980676</v>
      </c>
      <c r="R1083" s="37">
        <f t="shared" si="129"/>
        <v>1.6181407004492332E-2</v>
      </c>
      <c r="S1083" s="44" t="s">
        <v>1394</v>
      </c>
      <c r="T1083" s="45">
        <v>3.1196896999999999</v>
      </c>
      <c r="U1083" s="45">
        <v>-1.3609154E-2</v>
      </c>
      <c r="V1083" s="45">
        <v>4.3085339E-2</v>
      </c>
      <c r="W1083" s="45">
        <v>3.2150530999999999E-3</v>
      </c>
      <c r="X1083" s="45">
        <v>-2.4706309999999998E-4</v>
      </c>
      <c r="Y1083" s="45">
        <v>3.5376407999999997E-5</v>
      </c>
      <c r="Z1083" s="36">
        <v>3.17</v>
      </c>
      <c r="AA1083" s="38">
        <v>553</v>
      </c>
      <c r="AB1083" s="38"/>
      <c r="AC1083" s="39" t="s">
        <v>508</v>
      </c>
      <c r="AD1083" s="49" t="s">
        <v>506</v>
      </c>
      <c r="AE1083" s="48"/>
    </row>
    <row r="1084" spans="1:31" ht="15" thickBot="1">
      <c r="A1084" s="34">
        <v>1082</v>
      </c>
      <c r="B1084" s="34" t="s">
        <v>1026</v>
      </c>
      <c r="C1084" s="41" t="s">
        <v>1359</v>
      </c>
      <c r="D1084" s="34" t="s">
        <v>943</v>
      </c>
      <c r="E1084" s="80">
        <f t="shared" si="119"/>
        <v>1.6922031734980403</v>
      </c>
      <c r="F1084" s="35">
        <f t="shared" si="128"/>
        <v>29.637378868968412</v>
      </c>
      <c r="G1084" s="42" cm="1">
        <f t="array" ref="G108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29.410460948337644</v>
      </c>
      <c r="H1084" s="81" cm="1">
        <f t="array" ref="H10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1.6854315353619771</v>
      </c>
      <c r="I1084" s="81" cm="1">
        <f t="array" ref="I10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1.6922031734980403</v>
      </c>
      <c r="J1084" s="81" cm="1">
        <f t="array" ref="J10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1.6977206051757912</v>
      </c>
      <c r="K1084" s="81" cm="1">
        <f t="array" ref="K10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1.7087872840791083</v>
      </c>
      <c r="L1084" s="81" cm="1">
        <f t="array" ref="L10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1.7228282855720096</v>
      </c>
      <c r="M1084" s="37">
        <f t="shared" si="121"/>
        <v>2.3355748717131197E-2</v>
      </c>
      <c r="N1084" s="43">
        <f t="shared" si="122"/>
        <v>6.771638136063185E-3</v>
      </c>
      <c r="O1084" s="43">
        <f t="shared" si="123"/>
        <v>1.4041001492901328E-2</v>
      </c>
      <c r="P1084" s="43">
        <f t="shared" si="124"/>
        <v>0.28993453466538882</v>
      </c>
      <c r="Q1084" s="37">
        <f t="shared" si="125"/>
        <v>0.6011796779866192</v>
      </c>
      <c r="R1084" s="37">
        <f t="shared" si="129"/>
        <v>7.5888208814623992E-3</v>
      </c>
      <c r="S1084" s="44" t="s">
        <v>1394</v>
      </c>
      <c r="T1084" s="45">
        <v>2.7660702000000001</v>
      </c>
      <c r="U1084" s="45">
        <v>-1.0339855E-2</v>
      </c>
      <c r="V1084" s="45">
        <v>3.0603824000000002E-2</v>
      </c>
      <c r="W1084" s="45">
        <v>1.6069801000000001E-3</v>
      </c>
      <c r="X1084" s="45">
        <v>-8.5220478999999998E-5</v>
      </c>
      <c r="Y1084" s="45">
        <v>1.4076295000000001E-5</v>
      </c>
      <c r="Z1084" s="36">
        <v>2.78</v>
      </c>
      <c r="AA1084" s="38">
        <v>482</v>
      </c>
      <c r="AB1084" s="38"/>
      <c r="AC1084" s="39" t="s">
        <v>508</v>
      </c>
      <c r="AD1084" s="49" t="s">
        <v>506</v>
      </c>
      <c r="AE1084" s="48"/>
    </row>
    <row r="1085" spans="1:31" ht="15" thickBot="1">
      <c r="A1085" s="34">
        <v>1083</v>
      </c>
      <c r="B1085" s="34" t="s">
        <v>1026</v>
      </c>
      <c r="C1085" s="41" t="s">
        <v>1359</v>
      </c>
      <c r="D1085" s="34" t="s">
        <v>944</v>
      </c>
      <c r="E1085" s="80">
        <f t="shared" si="119"/>
        <v>1.6651981912177691</v>
      </c>
      <c r="F1085" s="35">
        <f t="shared" si="128"/>
        <v>47.31222674371346</v>
      </c>
      <c r="G1085" s="42" cm="1">
        <f t="array" ref="G108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47.05591659351483</v>
      </c>
      <c r="H1085" s="81" cm="1">
        <f t="array" ref="H10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1.6609782079381379</v>
      </c>
      <c r="I1085" s="81" cm="1">
        <f t="array" ref="I10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1.6651981912177691</v>
      </c>
      <c r="J1085" s="81" cm="1">
        <f t="array" ref="J10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1.6685441254254991</v>
      </c>
      <c r="K1085" s="81" cm="1">
        <f t="array" ref="K10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1.6750379602897043</v>
      </c>
      <c r="L1085" s="81" cm="1">
        <f t="array" ref="L10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1.6828762495360035</v>
      </c>
      <c r="M1085" s="37">
        <f t="shared" si="121"/>
        <v>1.4059752351566424E-2</v>
      </c>
      <c r="N1085" s="43">
        <f t="shared" si="122"/>
        <v>4.2199832796312453E-3</v>
      </c>
      <c r="O1085" s="43">
        <f t="shared" si="123"/>
        <v>7.838289246299146E-3</v>
      </c>
      <c r="P1085" s="43">
        <f t="shared" si="124"/>
        <v>0.30014634497890635</v>
      </c>
      <c r="Q1085" s="37">
        <f t="shared" si="125"/>
        <v>0.55749838619496506</v>
      </c>
      <c r="R1085" s="37">
        <f t="shared" si="129"/>
        <v>-7.4094854106909747E-3</v>
      </c>
      <c r="S1085" s="44" t="s">
        <v>1394</v>
      </c>
      <c r="T1085" s="45">
        <v>2.7157013999999999</v>
      </c>
      <c r="U1085" s="45">
        <v>-1.2306139000000001E-2</v>
      </c>
      <c r="V1085" s="45">
        <v>1.9299156000000001E-2</v>
      </c>
      <c r="W1085" s="45">
        <v>7.6108019000000002E-4</v>
      </c>
      <c r="X1085" s="45">
        <v>-4.4909824000000001E-5</v>
      </c>
      <c r="Y1085" s="45">
        <v>3.3413498999999998E-6</v>
      </c>
      <c r="Z1085" s="36">
        <v>3.64</v>
      </c>
      <c r="AA1085" s="38">
        <v>547</v>
      </c>
      <c r="AB1085" s="38"/>
      <c r="AC1085" s="39" t="s">
        <v>508</v>
      </c>
      <c r="AD1085" s="49" t="s">
        <v>506</v>
      </c>
      <c r="AE1085" s="48"/>
    </row>
    <row r="1086" spans="1:31" ht="15" thickBot="1">
      <c r="A1086" s="34">
        <v>1084</v>
      </c>
      <c r="B1086" s="34" t="s">
        <v>1026</v>
      </c>
      <c r="C1086" s="41" t="s">
        <v>1359</v>
      </c>
      <c r="D1086" s="34" t="s">
        <v>1018</v>
      </c>
      <c r="E1086" s="80">
        <f t="shared" si="119"/>
        <v>1.6182009125357109</v>
      </c>
      <c r="F1086" s="35">
        <f t="shared" si="128"/>
        <v>45.316552876410064</v>
      </c>
      <c r="G1086" s="42" cm="1">
        <f t="array" ref="G108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45.025726268681538</v>
      </c>
      <c r="H1086" s="81" cm="1">
        <f t="array" ref="H10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1.614137382505701</v>
      </c>
      <c r="I1086" s="81" cm="1">
        <f t="array" ref="I10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1.6182009125357109</v>
      </c>
      <c r="J1086" s="81" cm="1">
        <f t="array" ref="J10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1.6214402046738017</v>
      </c>
      <c r="K1086" s="81" cm="1">
        <f t="array" ref="K10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1.6277792169634477</v>
      </c>
      <c r="L1086" s="81" cm="1">
        <f t="array" ref="L10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1.6355411001777787</v>
      </c>
      <c r="M1086" s="37">
        <f t="shared" si="121"/>
        <v>1.3641834457746693E-2</v>
      </c>
      <c r="N1086" s="43">
        <f t="shared" si="122"/>
        <v>4.0635300300098098E-3</v>
      </c>
      <c r="O1086" s="43">
        <f t="shared" si="123"/>
        <v>7.7618832143309113E-3</v>
      </c>
      <c r="P1086" s="43">
        <f t="shared" si="124"/>
        <v>0.2978726975903363</v>
      </c>
      <c r="Q1086" s="37">
        <f t="shared" si="125"/>
        <v>0.56897649933900385</v>
      </c>
      <c r="R1086" s="37">
        <f t="shared" si="129"/>
        <v>8.3002081558269936E-4</v>
      </c>
      <c r="S1086" s="44" t="s">
        <v>1394</v>
      </c>
      <c r="T1086" s="45">
        <v>2.5638470999999998</v>
      </c>
      <c r="U1086" s="45">
        <v>-1.0292697999999999E-2</v>
      </c>
      <c r="V1086" s="45">
        <v>1.8684011E-2</v>
      </c>
      <c r="W1086" s="45">
        <v>4.8290224000000002E-4</v>
      </c>
      <c r="X1086" s="45">
        <v>-1.4901827000000001E-6</v>
      </c>
      <c r="Y1086" s="45">
        <v>2.0486493999999998E-6</v>
      </c>
      <c r="Z1086" s="36">
        <v>3.26</v>
      </c>
      <c r="AA1086" s="38">
        <v>426</v>
      </c>
      <c r="AB1086" s="38"/>
      <c r="AC1086" s="39" t="s">
        <v>508</v>
      </c>
      <c r="AD1086" s="49" t="s">
        <v>506</v>
      </c>
      <c r="AE1086" s="48"/>
    </row>
    <row r="1087" spans="1:31" ht="15" thickBot="1">
      <c r="A1087" s="34">
        <v>1085</v>
      </c>
      <c r="B1087" s="34" t="s">
        <v>1026</v>
      </c>
      <c r="C1087" s="41" t="s">
        <v>1359</v>
      </c>
      <c r="D1087" s="34" t="s">
        <v>945</v>
      </c>
      <c r="E1087" s="80">
        <f t="shared" si="119"/>
        <v>1.7142995521373103</v>
      </c>
      <c r="F1087" s="35">
        <f t="shared" si="128"/>
        <v>38.852696206802051</v>
      </c>
      <c r="G1087" s="42" cm="1">
        <f t="array" ref="G108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38.604893049267922</v>
      </c>
      <c r="H1087" s="81" cm="1">
        <f t="array" ref="H10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1.7088561232926409</v>
      </c>
      <c r="I1087" s="81" cm="1">
        <f t="array" ref="I10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1.7142995521373103</v>
      </c>
      <c r="J1087" s="81" cm="1">
        <f t="array" ref="J10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1.7186629735877068</v>
      </c>
      <c r="K1087" s="81" cm="1">
        <f t="array" ref="K10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1.7272409362367747</v>
      </c>
      <c r="L1087" s="81" cm="1">
        <f t="array" ref="L10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1.737793623051674</v>
      </c>
      <c r="M1087" s="37">
        <f t="shared" si="121"/>
        <v>1.8384812944133744E-2</v>
      </c>
      <c r="N1087" s="43">
        <f t="shared" si="122"/>
        <v>5.4434288446694179E-3</v>
      </c>
      <c r="O1087" s="43">
        <f t="shared" si="123"/>
        <v>1.0552686814899293E-2</v>
      </c>
      <c r="P1087" s="43">
        <f t="shared" si="124"/>
        <v>0.29608290610355742</v>
      </c>
      <c r="Q1087" s="37">
        <f t="shared" si="125"/>
        <v>0.5739893490875283</v>
      </c>
      <c r="R1087" s="37">
        <f t="shared" si="129"/>
        <v>-4.6467646757035741E-3</v>
      </c>
      <c r="S1087" s="44" t="s">
        <v>1394</v>
      </c>
      <c r="T1087" s="45">
        <v>2.8600336999999998</v>
      </c>
      <c r="U1087" s="45">
        <v>-1.2073452E-2</v>
      </c>
      <c r="V1087" s="45">
        <v>2.6131306E-2</v>
      </c>
      <c r="W1087" s="45">
        <v>9.1303268000000003E-4</v>
      </c>
      <c r="X1087" s="45">
        <v>-3.0467767E-5</v>
      </c>
      <c r="Y1087" s="45">
        <v>4.891802E-6</v>
      </c>
      <c r="Z1087" s="36">
        <v>3.72</v>
      </c>
      <c r="AA1087" s="38">
        <v>518</v>
      </c>
      <c r="AB1087" s="38"/>
      <c r="AC1087" s="39" t="s">
        <v>508</v>
      </c>
      <c r="AD1087" s="49" t="s">
        <v>506</v>
      </c>
      <c r="AE1087" s="48"/>
    </row>
    <row r="1088" spans="1:31" ht="15" thickBot="1">
      <c r="A1088" s="34">
        <v>1086</v>
      </c>
      <c r="B1088" s="34" t="s">
        <v>1026</v>
      </c>
      <c r="C1088" s="41" t="s">
        <v>1357</v>
      </c>
      <c r="D1088" s="34" t="s">
        <v>946</v>
      </c>
      <c r="E1088" s="80">
        <f t="shared" si="119"/>
        <v>1.9068227222382352</v>
      </c>
      <c r="F1088" s="35">
        <f t="shared" si="128"/>
        <v>21.171694463214322</v>
      </c>
      <c r="G1088" s="42" cm="1">
        <f t="array" ref="G108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21.00234928256339</v>
      </c>
      <c r="H1088" s="81" cm="1">
        <f t="array" ref="H10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1.8946849808606805</v>
      </c>
      <c r="I1088" s="81" cm="1">
        <f t="array" ref="I10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1.9068227222382352</v>
      </c>
      <c r="J1088" s="81" cm="1">
        <f t="array" ref="J10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1.9168788793546556</v>
      </c>
      <c r="K1088" s="81" cm="1">
        <f t="array" ref="K10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1.9375168252278772</v>
      </c>
      <c r="L1088" s="81" cm="1">
        <f t="array" ref="L10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1.9646435749815077</v>
      </c>
      <c r="M1088" s="37">
        <f t="shared" si="121"/>
        <v>4.283184436719667E-2</v>
      </c>
      <c r="N1088" s="43">
        <f t="shared" si="122"/>
        <v>1.2137741377554745E-2</v>
      </c>
      <c r="O1088" s="43">
        <f t="shared" si="123"/>
        <v>2.7126749753630497E-2</v>
      </c>
      <c r="P1088" s="43">
        <f t="shared" si="124"/>
        <v>0.28338124488635363</v>
      </c>
      <c r="Q1088" s="37">
        <f t="shared" si="125"/>
        <v>0.633331348542298</v>
      </c>
      <c r="R1088" s="37">
        <f t="shared" si="129"/>
        <v>2.6002262696821932E-2</v>
      </c>
      <c r="S1088" s="44" t="s">
        <v>1394</v>
      </c>
      <c r="T1088" s="45">
        <v>3.4407637000000002</v>
      </c>
      <c r="U1088" s="45">
        <v>-1.5750621999999999E-2</v>
      </c>
      <c r="V1088" s="45">
        <v>5.9024249000000001E-2</v>
      </c>
      <c r="W1088" s="45">
        <v>3.5647556E-3</v>
      </c>
      <c r="X1088" s="45">
        <v>-1.2641103000000001E-4</v>
      </c>
      <c r="Y1088" s="45">
        <v>4.0309245E-5</v>
      </c>
      <c r="Z1088" s="36">
        <v>4.1500000000000004</v>
      </c>
      <c r="AA1088" s="38">
        <v>498</v>
      </c>
      <c r="AB1088" s="38"/>
      <c r="AC1088" s="39" t="s">
        <v>508</v>
      </c>
      <c r="AD1088" s="49" t="s">
        <v>506</v>
      </c>
      <c r="AE1088" s="48" t="s">
        <v>1027</v>
      </c>
    </row>
    <row r="1089" spans="1:31" ht="15" thickBot="1">
      <c r="A1089" s="34">
        <v>1087</v>
      </c>
      <c r="B1089" s="34" t="s">
        <v>1026</v>
      </c>
      <c r="C1089" s="41" t="s">
        <v>1357</v>
      </c>
      <c r="D1089" s="34" t="s">
        <v>947</v>
      </c>
      <c r="E1089" s="80">
        <f t="shared" si="119"/>
        <v>2.0017128259665005</v>
      </c>
      <c r="F1089" s="35">
        <f t="shared" si="128"/>
        <v>20.656086035795454</v>
      </c>
      <c r="G1089" s="42" cm="1">
        <f t="array" ref="G108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20.489780416027216</v>
      </c>
      <c r="H1089" s="81" cm="1">
        <f t="array" ref="H10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1.9880064937144946</v>
      </c>
      <c r="I1089" s="81" cm="1">
        <f t="array" ref="I10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2.0017128259665005</v>
      </c>
      <c r="J1089" s="81" cm="1">
        <f t="array" ref="J10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2.0130967114864551</v>
      </c>
      <c r="K1089" s="81" cm="1">
        <f t="array" ref="K10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2.0365012968553513</v>
      </c>
      <c r="L1089" s="81" cm="1">
        <f t="array" ref="L10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2.0672824870639146</v>
      </c>
      <c r="M1089" s="37">
        <f t="shared" si="121"/>
        <v>4.8494803140856746E-2</v>
      </c>
      <c r="N1089" s="43">
        <f t="shared" si="122"/>
        <v>1.3706332252005904E-2</v>
      </c>
      <c r="O1089" s="43">
        <f t="shared" si="123"/>
        <v>3.0781190208563292E-2</v>
      </c>
      <c r="P1089" s="43">
        <f t="shared" si="124"/>
        <v>0.28263507353962952</v>
      </c>
      <c r="Q1089" s="37">
        <f t="shared" si="125"/>
        <v>0.63473172824636581</v>
      </c>
      <c r="R1089" s="37">
        <f t="shared" si="129"/>
        <v>2.656590597453512E-2</v>
      </c>
      <c r="S1089" s="44" t="s">
        <v>1394</v>
      </c>
      <c r="T1089" s="45">
        <v>3.7699503000000001</v>
      </c>
      <c r="U1089" s="45">
        <v>-1.3004151E-2</v>
      </c>
      <c r="V1089" s="45">
        <v>7.2310519000000004E-2</v>
      </c>
      <c r="W1089" s="45">
        <v>3.5123072000000002E-3</v>
      </c>
      <c r="X1089" s="45">
        <v>-1.0361593999999999E-5</v>
      </c>
      <c r="Y1089" s="45">
        <v>3.8615780999999998E-5</v>
      </c>
      <c r="Z1089" s="36">
        <v>5.48</v>
      </c>
      <c r="AA1089" s="38">
        <v>480</v>
      </c>
      <c r="AB1089" s="38"/>
      <c r="AC1089" s="39" t="s">
        <v>508</v>
      </c>
      <c r="AD1089" s="49" t="s">
        <v>506</v>
      </c>
      <c r="AE1089" s="48" t="s">
        <v>1027</v>
      </c>
    </row>
    <row r="1090" spans="1:31" ht="15" thickBot="1">
      <c r="A1090" s="34">
        <v>1088</v>
      </c>
      <c r="B1090" s="34" t="s">
        <v>1026</v>
      </c>
      <c r="C1090" s="41" t="s">
        <v>1357</v>
      </c>
      <c r="D1090" s="34" t="s">
        <v>948</v>
      </c>
      <c r="E1090" s="80">
        <f t="shared" si="119"/>
        <v>1.8391820606912315</v>
      </c>
      <c r="F1090" s="35">
        <f t="shared" si="128"/>
        <v>23.860636207978605</v>
      </c>
      <c r="G1090" s="42" cm="1">
        <f t="array" ref="G109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23.668368691518026</v>
      </c>
      <c r="H1090" s="81" cm="1">
        <f t="array" ref="H10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1.8291381270800393</v>
      </c>
      <c r="I1090" s="81" cm="1">
        <f t="array" ref="I10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1.8391820606912315</v>
      </c>
      <c r="J1090" s="81" cm="1">
        <f t="array" ref="J10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1.8474562725982566</v>
      </c>
      <c r="K1090" s="81" cm="1">
        <f t="array" ref="K10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1.864308273147252</v>
      </c>
      <c r="L1090" s="81" cm="1">
        <f t="array" ref="L10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1.886197345603891</v>
      </c>
      <c r="M1090" s="37">
        <f t="shared" si="121"/>
        <v>3.5170146067212693E-2</v>
      </c>
      <c r="N1090" s="43">
        <f t="shared" si="122"/>
        <v>1.0043933611192157E-2</v>
      </c>
      <c r="O1090" s="43">
        <f t="shared" si="123"/>
        <v>2.1889072456638958E-2</v>
      </c>
      <c r="P1090" s="43">
        <f t="shared" si="124"/>
        <v>0.28558123108153927</v>
      </c>
      <c r="Q1090" s="37">
        <f t="shared" si="125"/>
        <v>0.62237650121803179</v>
      </c>
      <c r="R1090" s="37">
        <f t="shared" si="129"/>
        <v>1.9411066908379127E-2</v>
      </c>
      <c r="S1090" s="44" t="s">
        <v>1394</v>
      </c>
      <c r="T1090" s="45">
        <v>3.2268914</v>
      </c>
      <c r="U1090" s="45">
        <v>-1.4590158000000001E-2</v>
      </c>
      <c r="V1090" s="45">
        <v>4.7763869E-2</v>
      </c>
      <c r="W1090" s="45">
        <v>2.7173636999999998E-3</v>
      </c>
      <c r="X1090" s="45">
        <v>-9.5689163999999993E-5</v>
      </c>
      <c r="Y1090" s="45">
        <v>2.7097845E-5</v>
      </c>
      <c r="Z1090" s="36">
        <v>3.9</v>
      </c>
      <c r="AA1090" s="38">
        <v>477</v>
      </c>
      <c r="AB1090" s="38"/>
      <c r="AC1090" s="39" t="s">
        <v>508</v>
      </c>
      <c r="AD1090" s="49" t="s">
        <v>506</v>
      </c>
      <c r="AE1090" s="48" t="s">
        <v>1027</v>
      </c>
    </row>
    <row r="1091" spans="1:31" ht="15" thickBot="1">
      <c r="A1091" s="34">
        <v>1089</v>
      </c>
      <c r="B1091" s="34" t="s">
        <v>1026</v>
      </c>
      <c r="C1091" s="41" t="s">
        <v>1357</v>
      </c>
      <c r="D1091" s="34" t="s">
        <v>1019</v>
      </c>
      <c r="E1091" s="80">
        <f t="shared" ref="E1091:E1154" si="130">I1091</f>
        <v>1.6630019232706716</v>
      </c>
      <c r="F1091" s="35">
        <f t="shared" si="128"/>
        <v>34.423131785465706</v>
      </c>
      <c r="G1091" s="42" cm="1">
        <f t="array" ref="G109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34.165691277829644</v>
      </c>
      <c r="H1091" s="81" cm="1">
        <f t="array" ref="H10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1.6573682989704956</v>
      </c>
      <c r="I1091" s="81" cm="1">
        <f t="array" ref="I10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1.6630019232706716</v>
      </c>
      <c r="J1091" s="81" cm="1">
        <f t="array" ref="J10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1.6675587576179323</v>
      </c>
      <c r="K1091" s="81" cm="1">
        <f t="array" ref="K10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1.676628659341036</v>
      </c>
      <c r="L1091" s="81" cm="1">
        <f t="array" ref="L10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1.6880125525631029</v>
      </c>
      <c r="M1091" s="37">
        <f t="shared" ref="M1091:M1154" si="131">K1091-H1091</f>
        <v>1.9260360370540353E-2</v>
      </c>
      <c r="N1091" s="43">
        <f t="shared" ref="N1091:N1154" si="132">I1091-H1091</f>
        <v>5.6336243001759989E-3</v>
      </c>
      <c r="O1091" s="43">
        <f t="shared" ref="O1091:O1154" si="133">L1091-K1091</f>
        <v>1.1383893222066899E-2</v>
      </c>
      <c r="P1091" s="43">
        <f t="shared" ref="P1091:P1154" si="134">(I1091-H1091)/M1091</f>
        <v>0.29249838485851481</v>
      </c>
      <c r="Q1091" s="37">
        <f t="shared" ref="Q1091:Q1154" si="135">(L1091-K1091)/M1091</f>
        <v>0.59105297113127286</v>
      </c>
      <c r="R1091" s="37">
        <f t="shared" si="129"/>
        <v>5.2284994841897969E-3</v>
      </c>
      <c r="S1091" s="44" t="s">
        <v>1394</v>
      </c>
      <c r="T1091" s="45">
        <v>2.6866767999999999</v>
      </c>
      <c r="U1091" s="45">
        <v>-1.088273E-2</v>
      </c>
      <c r="V1091" s="45">
        <v>2.5595704E-2</v>
      </c>
      <c r="W1091" s="45">
        <v>1.0483014000000001E-3</v>
      </c>
      <c r="X1091" s="45">
        <v>-3.3897735000000001E-5</v>
      </c>
      <c r="Y1091" s="45">
        <v>7.7058200999999996E-6</v>
      </c>
      <c r="Z1091" s="36">
        <v>3.11</v>
      </c>
      <c r="AA1091" s="38">
        <v>488</v>
      </c>
      <c r="AB1091" s="38"/>
      <c r="AC1091" s="39" t="s">
        <v>508</v>
      </c>
      <c r="AD1091" s="49" t="s">
        <v>506</v>
      </c>
      <c r="AE1091" s="48"/>
    </row>
    <row r="1092" spans="1:31" ht="15" thickBot="1">
      <c r="A1092" s="34">
        <v>1090</v>
      </c>
      <c r="B1092" s="34" t="s">
        <v>1026</v>
      </c>
      <c r="C1092" s="41" t="s">
        <v>1357</v>
      </c>
      <c r="D1092" s="34" t="s">
        <v>1020</v>
      </c>
      <c r="E1092" s="80">
        <f t="shared" si="130"/>
        <v>1.8506993157834728</v>
      </c>
      <c r="F1092" s="35">
        <f t="shared" si="128"/>
        <v>26.912576849355109</v>
      </c>
      <c r="G1092" s="42" cm="1">
        <f t="array" ref="G109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26.690774823189109</v>
      </c>
      <c r="H1092" s="81" cm="1">
        <f t="array" ref="H10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1.841619167205627</v>
      </c>
      <c r="I1092" s="81" cm="1">
        <f t="array" ref="I10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1.8506993157834728</v>
      </c>
      <c r="J1092" s="81" cm="1">
        <f t="array" ref="J10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1.8581483791587226</v>
      </c>
      <c r="K1092" s="81" cm="1">
        <f t="array" ref="K10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1.8732288982449592</v>
      </c>
      <c r="L1092" s="81" cm="1">
        <f t="array" ref="L109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1.892609429524557</v>
      </c>
      <c r="M1092" s="37">
        <f t="shared" si="131"/>
        <v>3.1609731039332178E-2</v>
      </c>
      <c r="N1092" s="43">
        <f t="shared" si="132"/>
        <v>9.0801485778457813E-3</v>
      </c>
      <c r="O1092" s="43">
        <f t="shared" si="133"/>
        <v>1.9380531279597824E-2</v>
      </c>
      <c r="P1092" s="43">
        <f t="shared" si="134"/>
        <v>0.28725801451924088</v>
      </c>
      <c r="Q1092" s="37">
        <f t="shared" si="135"/>
        <v>0.61311914535060463</v>
      </c>
      <c r="R1092" s="37">
        <f t="shared" si="129"/>
        <v>1.5106442163861367E-2</v>
      </c>
      <c r="S1092" s="44" t="s">
        <v>1394</v>
      </c>
      <c r="T1092" s="45">
        <v>3.2821265999999998</v>
      </c>
      <c r="U1092" s="45">
        <v>-1.3764195E-2</v>
      </c>
      <c r="V1092" s="45">
        <v>4.4857953999999998E-2</v>
      </c>
      <c r="W1092" s="45">
        <v>2.0290188999999999E-3</v>
      </c>
      <c r="X1092" s="45">
        <v>-1.5619432999999998E-5</v>
      </c>
      <c r="Y1092" s="45">
        <v>1.6072643E-5</v>
      </c>
      <c r="Z1092" s="36">
        <v>4.17</v>
      </c>
      <c r="AA1092" s="38">
        <v>537</v>
      </c>
      <c r="AB1092" s="38"/>
      <c r="AC1092" s="39" t="s">
        <v>508</v>
      </c>
      <c r="AD1092" s="49" t="s">
        <v>506</v>
      </c>
      <c r="AE1092" s="48" t="s">
        <v>1027</v>
      </c>
    </row>
    <row r="1093" spans="1:31" ht="15" thickBot="1">
      <c r="A1093" s="34">
        <v>1091</v>
      </c>
      <c r="B1093" s="34" t="s">
        <v>1026</v>
      </c>
      <c r="C1093" s="41" t="s">
        <v>1357</v>
      </c>
      <c r="D1093" s="34" t="s">
        <v>949</v>
      </c>
      <c r="E1093" s="80">
        <f t="shared" si="130"/>
        <v>1.9045995382720253</v>
      </c>
      <c r="F1093" s="35">
        <f t="shared" si="128"/>
        <v>21.493622167346011</v>
      </c>
      <c r="G1093" s="42" cm="1">
        <f t="array" ref="G109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21.321318548988874</v>
      </c>
      <c r="H1093" s="81" cm="1">
        <f t="array" ref="H10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1.8926600702885572</v>
      </c>
      <c r="I1093" s="81" cm="1">
        <f t="array" ref="I10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1.9045995382720253</v>
      </c>
      <c r="J1093" s="81" cm="1">
        <f t="array" ref="J10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1.9144830634572121</v>
      </c>
      <c r="K1093" s="81" cm="1">
        <f t="array" ref="K10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1.9347469522123648</v>
      </c>
      <c r="L1093" s="81" cm="1">
        <f t="array" ref="L109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1.9613625312866139</v>
      </c>
      <c r="M1093" s="37">
        <f t="shared" si="131"/>
        <v>4.2086881923807606E-2</v>
      </c>
      <c r="N1093" s="43">
        <f t="shared" si="132"/>
        <v>1.1939467983468122E-2</v>
      </c>
      <c r="O1093" s="43">
        <f t="shared" si="133"/>
        <v>2.6615579074249052E-2</v>
      </c>
      <c r="P1093" s="43">
        <f t="shared" si="134"/>
        <v>0.28368620904449166</v>
      </c>
      <c r="Q1093" s="37">
        <f t="shared" si="135"/>
        <v>0.63239607824672839</v>
      </c>
      <c r="R1093" s="37">
        <f t="shared" si="129"/>
        <v>2.5589421093987541E-2</v>
      </c>
      <c r="S1093" s="44" t="s">
        <v>1394</v>
      </c>
      <c r="T1093" s="45">
        <v>3.4367173000000002</v>
      </c>
      <c r="U1093" s="45">
        <v>-1.6285824000000001E-2</v>
      </c>
      <c r="V1093" s="45">
        <v>5.7270177999999998E-2</v>
      </c>
      <c r="W1093" s="45">
        <v>3.8227478999999999E-3</v>
      </c>
      <c r="X1093" s="45">
        <v>-1.9197328000000001E-4</v>
      </c>
      <c r="Y1093" s="45">
        <v>4.4106437000000003E-5</v>
      </c>
      <c r="Z1093" s="36">
        <v>4.1500000000000004</v>
      </c>
      <c r="AA1093" s="38">
        <v>497</v>
      </c>
      <c r="AB1093" s="38"/>
      <c r="AC1093" s="39" t="s">
        <v>508</v>
      </c>
      <c r="AD1093" s="49" t="s">
        <v>506</v>
      </c>
      <c r="AE1093" s="48" t="s">
        <v>1027</v>
      </c>
    </row>
    <row r="1094" spans="1:31" ht="15" thickBot="1">
      <c r="A1094" s="34">
        <v>1092</v>
      </c>
      <c r="B1094" s="34" t="s">
        <v>1026</v>
      </c>
      <c r="C1094" s="41" t="s">
        <v>1357</v>
      </c>
      <c r="D1094" s="34" t="s">
        <v>1021</v>
      </c>
      <c r="E1094" s="80">
        <f t="shared" si="130"/>
        <v>2.1439965262556786</v>
      </c>
      <c r="F1094" s="35">
        <f t="shared" si="128"/>
        <v>17.755534250441624</v>
      </c>
      <c r="G1094" s="42" cm="1">
        <f t="array" ref="G109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17.602133064836394</v>
      </c>
      <c r="H1094" s="81" cm="1">
        <f t="array" ref="H10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2.1260672835357148</v>
      </c>
      <c r="I1094" s="81" cm="1">
        <f t="array" ref="I10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2.1439965262556786</v>
      </c>
      <c r="J1094" s="81" cm="1">
        <f t="array" ref="J10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2.1590521662248543</v>
      </c>
      <c r="K1094" s="81" cm="1">
        <f t="array" ref="K10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2.1904977033766286</v>
      </c>
      <c r="L1094" s="81" cm="1">
        <f t="array" ref="L109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2.2329615410267714</v>
      </c>
      <c r="M1094" s="37">
        <f t="shared" si="131"/>
        <v>6.44304198409138E-2</v>
      </c>
      <c r="N1094" s="43">
        <f t="shared" si="132"/>
        <v>1.7929242719963767E-2</v>
      </c>
      <c r="O1094" s="43">
        <f t="shared" si="133"/>
        <v>4.2463837650142722E-2</v>
      </c>
      <c r="P1094" s="43">
        <f t="shared" si="134"/>
        <v>0.27827294567120864</v>
      </c>
      <c r="Q1094" s="37">
        <f t="shared" si="135"/>
        <v>0.65906504652601794</v>
      </c>
      <c r="R1094" s="37">
        <f t="shared" si="129"/>
        <v>4.6192169042768239E-2</v>
      </c>
      <c r="S1094" s="44" t="s">
        <v>1394</v>
      </c>
      <c r="T1094" s="45">
        <v>4.2694007000000003</v>
      </c>
      <c r="U1094" s="45">
        <v>-1.3941316E-2</v>
      </c>
      <c r="V1094" s="45">
        <v>9.5671794000000004E-2</v>
      </c>
      <c r="W1094" s="45">
        <v>6.5505527000000001E-3</v>
      </c>
      <c r="X1094" s="45">
        <v>-2.8211749999999998E-4</v>
      </c>
      <c r="Y1094" s="45">
        <v>9.8041280999999994E-5</v>
      </c>
      <c r="Z1094" s="36">
        <v>7.07</v>
      </c>
      <c r="AA1094" s="38">
        <v>427</v>
      </c>
      <c r="AB1094" s="38"/>
      <c r="AC1094" s="39" t="s">
        <v>508</v>
      </c>
      <c r="AD1094" s="49" t="s">
        <v>506</v>
      </c>
      <c r="AE1094" s="48"/>
    </row>
    <row r="1095" spans="1:31" ht="15" thickBot="1">
      <c r="A1095" s="34">
        <v>1093</v>
      </c>
      <c r="B1095" s="34" t="s">
        <v>1026</v>
      </c>
      <c r="C1095" s="41" t="s">
        <v>1355</v>
      </c>
      <c r="D1095" s="34" t="s">
        <v>950</v>
      </c>
      <c r="E1095" s="80">
        <f t="shared" si="130"/>
        <v>1.5066965981239175</v>
      </c>
      <c r="F1095" s="35">
        <f t="shared" si="128"/>
        <v>70.537441001283426</v>
      </c>
      <c r="G1095" s="42" cm="1">
        <f t="array" ref="G109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70.218976561501364</v>
      </c>
      <c r="H1095" s="81" cm="1">
        <f t="array" ref="H10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1.5045027600299921</v>
      </c>
      <c r="I1095" s="81" cm="1">
        <f t="array" ref="I10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1.5066965981239175</v>
      </c>
      <c r="J1095" s="81" cm="1">
        <f t="array" ref="J10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1.5084110450369901</v>
      </c>
      <c r="K1095" s="81" cm="1">
        <f t="array" ref="K10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1.5116861308885223</v>
      </c>
      <c r="L1095" s="81" cm="1">
        <f t="array" ref="L109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1.5155573396115591</v>
      </c>
      <c r="M1095" s="37">
        <f t="shared" si="131"/>
        <v>7.1833708585302691E-3</v>
      </c>
      <c r="N1095" s="43">
        <f t="shared" si="132"/>
        <v>2.193838093925482E-3</v>
      </c>
      <c r="O1095" s="43">
        <f t="shared" si="133"/>
        <v>3.871208723036812E-3</v>
      </c>
      <c r="P1095" s="43">
        <f t="shared" si="134"/>
        <v>0.3054050997966079</v>
      </c>
      <c r="Q1095" s="37">
        <f t="shared" si="135"/>
        <v>0.53891255223719137</v>
      </c>
      <c r="R1095" s="37">
        <f t="shared" si="129"/>
        <v>1.1694876807115451E-2</v>
      </c>
      <c r="S1095" s="44" t="s">
        <v>1394</v>
      </c>
      <c r="T1095" s="45">
        <v>2.2433502000000001</v>
      </c>
      <c r="U1095" s="45">
        <v>-7.0443238000000002E-3</v>
      </c>
      <c r="V1095" s="45">
        <v>9.5932745999999999E-3</v>
      </c>
      <c r="W1095" s="45">
        <v>1.9364615999999999E-4</v>
      </c>
      <c r="X1095" s="45">
        <v>-9.8585539E-6</v>
      </c>
      <c r="Y1095" s="45">
        <v>6.1088785000000002E-7</v>
      </c>
      <c r="Z1095" s="36">
        <v>3</v>
      </c>
      <c r="AA1095" s="38">
        <v>288</v>
      </c>
      <c r="AB1095" s="38"/>
      <c r="AC1095" s="39" t="s">
        <v>508</v>
      </c>
      <c r="AD1095" s="49" t="s">
        <v>506</v>
      </c>
      <c r="AE1095" s="48"/>
    </row>
    <row r="1096" spans="1:31" ht="15" thickBot="1">
      <c r="A1096" s="34">
        <v>1094</v>
      </c>
      <c r="B1096" s="34" t="s">
        <v>1026</v>
      </c>
      <c r="C1096" s="41" t="s">
        <v>1355</v>
      </c>
      <c r="D1096" s="34" t="s">
        <v>951</v>
      </c>
      <c r="E1096" s="80">
        <f t="shared" si="130"/>
        <v>1.5424933682155355</v>
      </c>
      <c r="F1096" s="35">
        <f t="shared" si="128"/>
        <v>62.897431070654889</v>
      </c>
      <c r="G1096" s="42" cm="1">
        <f t="array" ref="G109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62.597006934563971</v>
      </c>
      <c r="H1096" s="81" cm="1">
        <f t="array" ref="H10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1.5398714846598054</v>
      </c>
      <c r="I1096" s="81" cm="1">
        <f t="array" ref="I10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1.5424933682155355</v>
      </c>
      <c r="J1096" s="81" cm="1">
        <f t="array" ref="J10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1.5445508195815103</v>
      </c>
      <c r="K1096" s="81" cm="1">
        <f t="array" ref="K10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1.5484965327576543</v>
      </c>
      <c r="L1096" s="81" cm="1">
        <f t="array" ref="L109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1.5531822621396909</v>
      </c>
      <c r="M1096" s="37">
        <f t="shared" si="131"/>
        <v>8.6250480978489197E-3</v>
      </c>
      <c r="N1096" s="43">
        <f t="shared" si="132"/>
        <v>2.6218835557301201E-3</v>
      </c>
      <c r="O1096" s="43">
        <f t="shared" si="133"/>
        <v>4.6857293820365964E-3</v>
      </c>
      <c r="P1096" s="43">
        <f t="shared" si="134"/>
        <v>0.30398480402492084</v>
      </c>
      <c r="Q1096" s="37">
        <f t="shared" si="135"/>
        <v>0.5432699422517091</v>
      </c>
      <c r="R1096" s="37">
        <f t="shared" si="129"/>
        <v>3.6539539417029809E-3</v>
      </c>
      <c r="S1096" s="44" t="s">
        <v>1394</v>
      </c>
      <c r="T1096" s="45">
        <v>2.3459430000000001</v>
      </c>
      <c r="U1096" s="45">
        <v>-7.7317211E-3</v>
      </c>
      <c r="V1096" s="45">
        <v>1.1783663999999999E-2</v>
      </c>
      <c r="W1096" s="45">
        <v>2.5239184999999999E-4</v>
      </c>
      <c r="X1096" s="45">
        <v>-1.2352344000000001E-5</v>
      </c>
      <c r="Y1096" s="45">
        <v>8.7540056999999997E-7</v>
      </c>
      <c r="Z1096" s="36">
        <v>2.9</v>
      </c>
      <c r="AA1096" s="38">
        <v>344</v>
      </c>
      <c r="AB1096" s="38"/>
      <c r="AC1096" s="39" t="s">
        <v>508</v>
      </c>
      <c r="AD1096" s="49" t="s">
        <v>506</v>
      </c>
      <c r="AE1096" s="48"/>
    </row>
    <row r="1097" spans="1:31" ht="15" thickBot="1">
      <c r="A1097" s="34">
        <v>1095</v>
      </c>
      <c r="B1097" s="34" t="s">
        <v>1026</v>
      </c>
      <c r="C1097" s="41" t="s">
        <v>1355</v>
      </c>
      <c r="D1097" s="34" t="s">
        <v>952</v>
      </c>
      <c r="E1097" s="80">
        <f t="shared" si="130"/>
        <v>1.4874894991465635</v>
      </c>
      <c r="F1097" s="35">
        <f t="shared" si="128"/>
        <v>70.402228555085628</v>
      </c>
      <c r="G1097" s="42" cm="1">
        <f t="array" ref="G109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70.215713030740204</v>
      </c>
      <c r="H1097" s="81" cm="1">
        <f t="array" ref="H10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1.4853463620009224</v>
      </c>
      <c r="I1097" s="81" cm="1">
        <f t="array" ref="I10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1.4874894991465635</v>
      </c>
      <c r="J1097" s="81" cm="1">
        <f t="array" ref="J10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1.4891432251617842</v>
      </c>
      <c r="K1097" s="81" cm="1">
        <f t="array" ref="K10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1.4922707095557037</v>
      </c>
      <c r="L1097" s="81" cm="1">
        <f t="array" ref="L109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1.4959333016724004</v>
      </c>
      <c r="M1097" s="37">
        <f t="shared" si="131"/>
        <v>6.9243475547813294E-3</v>
      </c>
      <c r="N1097" s="43">
        <f t="shared" si="132"/>
        <v>2.1431371456410719E-3</v>
      </c>
      <c r="O1097" s="43">
        <f t="shared" si="133"/>
        <v>3.6625921166966169E-3</v>
      </c>
      <c r="P1097" s="43">
        <f t="shared" si="134"/>
        <v>0.30950744870702146</v>
      </c>
      <c r="Q1097" s="37">
        <f t="shared" si="135"/>
        <v>0.52894400341986902</v>
      </c>
      <c r="R1097" s="37">
        <f t="shared" si="129"/>
        <v>1.506903377987312E-3</v>
      </c>
      <c r="S1097" s="44" t="s">
        <v>1394</v>
      </c>
      <c r="T1097" s="45">
        <v>2.1891970000000001</v>
      </c>
      <c r="U1097" s="45">
        <v>-9.7642231000000003E-3</v>
      </c>
      <c r="V1097" s="45">
        <v>8.6917382000000001E-3</v>
      </c>
      <c r="W1097" s="45">
        <v>2.3646623000000001E-4</v>
      </c>
      <c r="X1097" s="45">
        <v>-1.7699987000000001E-5</v>
      </c>
      <c r="Y1097" s="45">
        <v>9.6989630999999998E-7</v>
      </c>
      <c r="Z1097" s="36">
        <v>2.4500000000000002</v>
      </c>
      <c r="AA1097" s="38">
        <v>465</v>
      </c>
      <c r="AB1097" s="38"/>
      <c r="AC1097" s="49" t="s">
        <v>506</v>
      </c>
      <c r="AD1097" s="49" t="s">
        <v>506</v>
      </c>
      <c r="AE1097" s="48"/>
    </row>
    <row r="1098" spans="1:31" ht="15" thickBot="1">
      <c r="A1098" s="34">
        <v>1096</v>
      </c>
      <c r="B1098" s="34" t="s">
        <v>1026</v>
      </c>
      <c r="C1098" s="41" t="s">
        <v>1355</v>
      </c>
      <c r="D1098" s="34" t="s">
        <v>953</v>
      </c>
      <c r="E1098" s="80">
        <f t="shared" si="130"/>
        <v>1.516329917074188</v>
      </c>
      <c r="F1098" s="35">
        <f t="shared" si="128"/>
        <v>64.062655645340172</v>
      </c>
      <c r="G1098" s="42" cm="1">
        <f t="array" ref="G109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63.853457460077529</v>
      </c>
      <c r="H1098" s="81" cm="1">
        <f t="array" ref="H10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1.5138517403409633</v>
      </c>
      <c r="I1098" s="81" cm="1">
        <f t="array" ref="I10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1.516329917074188</v>
      </c>
      <c r="J1098" s="81" cm="1">
        <f t="array" ref="J10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1.51825373440032</v>
      </c>
      <c r="K1098" s="81" cm="1">
        <f t="array" ref="K10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1.5219115048304759</v>
      </c>
      <c r="L1098" s="81" cm="1">
        <f t="array" ref="L109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1.5262218907038347</v>
      </c>
      <c r="M1098" s="37">
        <f t="shared" si="131"/>
        <v>8.0597644895126219E-3</v>
      </c>
      <c r="N1098" s="43">
        <f t="shared" si="132"/>
        <v>2.4781767332247018E-3</v>
      </c>
      <c r="O1098" s="43">
        <f t="shared" si="133"/>
        <v>4.3103858733588574E-3</v>
      </c>
      <c r="P1098" s="43">
        <f t="shared" si="134"/>
        <v>0.30747508025194897</v>
      </c>
      <c r="Q1098" s="37">
        <f t="shared" si="135"/>
        <v>0.53480295596323413</v>
      </c>
      <c r="R1098" s="37">
        <f t="shared" si="129"/>
        <v>-2.922089928698024E-3</v>
      </c>
      <c r="S1098" s="44" t="s">
        <v>1394</v>
      </c>
      <c r="T1098" s="45">
        <v>2.2705777999999999</v>
      </c>
      <c r="U1098" s="45">
        <v>-1.0059376E-2</v>
      </c>
      <c r="V1098" s="45">
        <v>1.0414998999999999E-2</v>
      </c>
      <c r="W1098" s="45">
        <v>2.8872517000000001E-4</v>
      </c>
      <c r="X1098" s="45">
        <v>-2.2214494999999998E-5</v>
      </c>
      <c r="Y1098" s="45">
        <v>1.4258559000000001E-6</v>
      </c>
      <c r="Z1098" s="36">
        <v>2.52</v>
      </c>
      <c r="AA1098" s="38">
        <v>572</v>
      </c>
      <c r="AB1098" s="38"/>
      <c r="AC1098" s="49" t="s">
        <v>506</v>
      </c>
      <c r="AD1098" s="49" t="s">
        <v>506</v>
      </c>
      <c r="AE1098" s="48"/>
    </row>
    <row r="1099" spans="1:31" ht="15" thickBot="1">
      <c r="A1099" s="34">
        <v>1097</v>
      </c>
      <c r="B1099" s="34" t="s">
        <v>1026</v>
      </c>
      <c r="C1099" s="41" t="s">
        <v>1355</v>
      </c>
      <c r="D1099" s="34" t="s">
        <v>954</v>
      </c>
      <c r="E1099" s="80">
        <f t="shared" si="130"/>
        <v>1.5591937295473797</v>
      </c>
      <c r="F1099" s="35">
        <f t="shared" si="128"/>
        <v>53.903349663304695</v>
      </c>
      <c r="G1099" s="42" cm="1">
        <f t="array" ref="G109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53.625734840877982</v>
      </c>
      <c r="H1099" s="81" cm="1">
        <f t="array" ref="H10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1.5560605806179701</v>
      </c>
      <c r="I1099" s="81" cm="1">
        <f t="array" ref="I10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1.5591937295473797</v>
      </c>
      <c r="J1099" s="81" cm="1">
        <f t="array" ref="J10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1.5616645182292348</v>
      </c>
      <c r="K1099" s="81" cm="1">
        <f t="array" ref="K10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1.5664345876702268</v>
      </c>
      <c r="L1099" s="81" cm="1">
        <f t="array" ref="L109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1.5721577935455726</v>
      </c>
      <c r="M1099" s="37">
        <f t="shared" si="131"/>
        <v>1.0374007052256662E-2</v>
      </c>
      <c r="N1099" s="43">
        <f t="shared" si="132"/>
        <v>3.1331489294095238E-3</v>
      </c>
      <c r="O1099" s="43">
        <f t="shared" si="133"/>
        <v>5.7232058753458048E-3</v>
      </c>
      <c r="P1099" s="43">
        <f t="shared" si="134"/>
        <v>0.30201916324396261</v>
      </c>
      <c r="Q1099" s="37">
        <f t="shared" si="135"/>
        <v>0.5516871008971248</v>
      </c>
      <c r="R1099" s="37">
        <f t="shared" si="129"/>
        <v>-2.5246060530949022E-3</v>
      </c>
      <c r="S1099" s="44" t="s">
        <v>1394</v>
      </c>
      <c r="T1099" s="45">
        <v>2.3909284</v>
      </c>
      <c r="U1099" s="45">
        <v>-9.0241173000000004E-3</v>
      </c>
      <c r="V1099" s="45">
        <v>1.4036613999999999E-2</v>
      </c>
      <c r="W1099" s="45">
        <v>3.3108428000000001E-4</v>
      </c>
      <c r="X1099" s="45">
        <v>-9.9852289999999999E-6</v>
      </c>
      <c r="Y1099" s="45">
        <v>1.1070905999999999E-6</v>
      </c>
      <c r="Z1099" s="36">
        <v>2.72</v>
      </c>
      <c r="AA1099" s="38">
        <v>608</v>
      </c>
      <c r="AB1099" s="38"/>
      <c r="AC1099" s="49" t="s">
        <v>506</v>
      </c>
      <c r="AD1099" s="49" t="s">
        <v>506</v>
      </c>
      <c r="AE1099" s="48"/>
    </row>
    <row r="1100" spans="1:31" ht="15" thickBot="1">
      <c r="A1100" s="34">
        <v>1098</v>
      </c>
      <c r="B1100" s="34" t="s">
        <v>1026</v>
      </c>
      <c r="C1100" s="41" t="s">
        <v>1355</v>
      </c>
      <c r="D1100" s="34" t="s">
        <v>955</v>
      </c>
      <c r="E1100" s="80">
        <f t="shared" si="130"/>
        <v>1.6180036541105085</v>
      </c>
      <c r="F1100" s="35">
        <f t="shared" si="128"/>
        <v>63.390660550153747</v>
      </c>
      <c r="G1100" s="42" cm="1">
        <f t="array" ref="G110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63.108756563941036</v>
      </c>
      <c r="H1100" s="81" cm="1">
        <f t="array" ref="H11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1.6150314402214627</v>
      </c>
      <c r="I1100" s="81" cm="1">
        <f t="array" ref="I11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1.6180036541105085</v>
      </c>
      <c r="J1100" s="81" cm="1">
        <f t="array" ref="J11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1.6203283312693686</v>
      </c>
      <c r="K1100" s="81" cm="1">
        <f t="array" ref="K11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1.6247805680700604</v>
      </c>
      <c r="L1100" s="81" cm="1">
        <f t="array" ref="L110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1.6300668797958044</v>
      </c>
      <c r="M1100" s="37">
        <f t="shared" si="131"/>
        <v>9.7491278485977162E-3</v>
      </c>
      <c r="N1100" s="43">
        <f t="shared" si="132"/>
        <v>2.9722138890457828E-3</v>
      </c>
      <c r="O1100" s="43">
        <f t="shared" si="133"/>
        <v>5.2863117257440084E-3</v>
      </c>
      <c r="P1100" s="43">
        <f t="shared" si="134"/>
        <v>0.30486972118980843</v>
      </c>
      <c r="Q1100" s="37">
        <f t="shared" si="135"/>
        <v>0.54223432165825736</v>
      </c>
      <c r="R1100" s="37">
        <f t="shared" si="129"/>
        <v>3.418752911047318E-3</v>
      </c>
      <c r="S1100" s="44" t="s">
        <v>1394</v>
      </c>
      <c r="T1100" s="45">
        <v>2.5788859999999998</v>
      </c>
      <c r="U1100" s="45">
        <v>-1.0381408E-2</v>
      </c>
      <c r="V1100" s="45">
        <v>1.4233562999999999E-2</v>
      </c>
      <c r="W1100" s="45">
        <v>1.2483021000000001E-4</v>
      </c>
      <c r="X1100" s="45">
        <v>1.7477672E-5</v>
      </c>
      <c r="Y1100" s="45">
        <v>-9.6204805000000009E-7</v>
      </c>
      <c r="Z1100" s="36">
        <v>3.63</v>
      </c>
      <c r="AA1100" s="38">
        <v>624</v>
      </c>
      <c r="AB1100" s="38"/>
      <c r="AC1100" s="49" t="s">
        <v>506</v>
      </c>
      <c r="AD1100" s="49" t="s">
        <v>506</v>
      </c>
      <c r="AE1100" s="48"/>
    </row>
    <row r="1101" spans="1:31" ht="15" thickBot="1">
      <c r="A1101" s="34">
        <v>1099</v>
      </c>
      <c r="B1101" s="34" t="s">
        <v>1026</v>
      </c>
      <c r="C1101" s="41" t="s">
        <v>1355</v>
      </c>
      <c r="D1101" s="34" t="s">
        <v>956</v>
      </c>
      <c r="E1101" s="80">
        <f t="shared" si="130"/>
        <v>1.6127159299078095</v>
      </c>
      <c r="F1101" s="35">
        <f t="shared" si="128"/>
        <v>58.555850235356573</v>
      </c>
      <c r="G1101" s="42" cm="1">
        <f t="array" ref="G110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58.279632270335071</v>
      </c>
      <c r="H1101" s="81" cm="1">
        <f t="array" ref="H11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1.6095398594747612</v>
      </c>
      <c r="I1101" s="81" cm="1">
        <f t="array" ref="I11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1.6127159299078095</v>
      </c>
      <c r="J1101" s="81" cm="1">
        <f t="array" ref="J11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1.615211166714227</v>
      </c>
      <c r="K1101" s="81" cm="1">
        <f t="array" ref="K11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1.6200036462261291</v>
      </c>
      <c r="L1101" s="81" cm="1">
        <f t="array" ref="L110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1.6257047168014942</v>
      </c>
      <c r="M1101" s="37">
        <f t="shared" si="131"/>
        <v>1.0463786751367943E-2</v>
      </c>
      <c r="N1101" s="43">
        <f t="shared" si="132"/>
        <v>3.1760704330483502E-3</v>
      </c>
      <c r="O1101" s="43">
        <f t="shared" si="133"/>
        <v>5.7010705753650637E-3</v>
      </c>
      <c r="P1101" s="43">
        <f t="shared" si="134"/>
        <v>0.3035297362719227</v>
      </c>
      <c r="Q1101" s="37">
        <f t="shared" si="135"/>
        <v>0.54483818438098008</v>
      </c>
      <c r="R1101" s="37">
        <f t="shared" si="129"/>
        <v>-1.8233808429698461E-3</v>
      </c>
      <c r="S1101" s="44" t="s">
        <v>1394</v>
      </c>
      <c r="T1101" s="45">
        <v>2.5587726000000002</v>
      </c>
      <c r="U1101" s="45">
        <v>-9.8095616000000007E-3</v>
      </c>
      <c r="V1101" s="45">
        <v>1.4840562999999999E-2</v>
      </c>
      <c r="W1101" s="45">
        <v>3.1931659999999998E-4</v>
      </c>
      <c r="X1101" s="45">
        <v>-1.0164359999999999E-5</v>
      </c>
      <c r="Y1101" s="45">
        <v>6.6518793999999998E-7</v>
      </c>
      <c r="Z1101" s="36">
        <v>3.58</v>
      </c>
      <c r="AA1101" s="38">
        <v>660</v>
      </c>
      <c r="AB1101" s="38"/>
      <c r="AC1101" s="49" t="s">
        <v>506</v>
      </c>
      <c r="AD1101" s="49" t="s">
        <v>506</v>
      </c>
      <c r="AE1101" s="48"/>
    </row>
    <row r="1102" spans="1:31" ht="15" thickBot="1">
      <c r="A1102" s="34">
        <v>1100</v>
      </c>
      <c r="B1102" s="34" t="s">
        <v>1026</v>
      </c>
      <c r="C1102" s="41" t="s">
        <v>1355</v>
      </c>
      <c r="D1102" s="34" t="s">
        <v>957</v>
      </c>
      <c r="E1102" s="80">
        <f t="shared" si="130"/>
        <v>1.5891293745551871</v>
      </c>
      <c r="F1102" s="35">
        <f t="shared" si="128"/>
        <v>61.264803355766553</v>
      </c>
      <c r="G1102" s="42" cm="1">
        <f t="array" ref="G110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61.015551794941331</v>
      </c>
      <c r="H1102" s="81" cm="1">
        <f t="array" ref="H11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1.5861936398692302</v>
      </c>
      <c r="I1102" s="81" cm="1">
        <f t="array" ref="I11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1.5891293745551871</v>
      </c>
      <c r="J1102" s="81" cm="1">
        <f t="array" ref="J11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1.591423737228953</v>
      </c>
      <c r="K1102" s="81" cm="1">
        <f t="array" ref="K11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1.5958097545433294</v>
      </c>
      <c r="L1102" s="81" cm="1">
        <f t="array" ref="L110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1.6010014502661742</v>
      </c>
      <c r="M1102" s="37">
        <f t="shared" si="131"/>
        <v>9.6161146740991743E-3</v>
      </c>
      <c r="N1102" s="43">
        <f t="shared" si="132"/>
        <v>2.93573468595687E-3</v>
      </c>
      <c r="O1102" s="43">
        <f t="shared" si="133"/>
        <v>5.1916957228448357E-3</v>
      </c>
      <c r="P1102" s="43">
        <f t="shared" si="134"/>
        <v>0.30529322761345773</v>
      </c>
      <c r="Q1102" s="37">
        <f t="shared" si="135"/>
        <v>0.53989536302313157</v>
      </c>
      <c r="R1102" s="37">
        <f t="shared" si="129"/>
        <v>-2.3700759301888974E-3</v>
      </c>
      <c r="S1102" s="44" t="s">
        <v>1394</v>
      </c>
      <c r="T1102" s="45">
        <v>2.4895418999999999</v>
      </c>
      <c r="U1102" s="45">
        <v>-1.1359477E-2</v>
      </c>
      <c r="V1102" s="45">
        <v>1.2448401E-2</v>
      </c>
      <c r="W1102" s="45">
        <v>5.5781133000000005E-4</v>
      </c>
      <c r="X1102" s="45">
        <v>-5.0555752999999999E-5</v>
      </c>
      <c r="Y1102" s="45">
        <v>2.8679508000000002E-6</v>
      </c>
      <c r="Z1102" s="36">
        <v>3.32</v>
      </c>
      <c r="AA1102" s="38">
        <v>667</v>
      </c>
      <c r="AB1102" s="38"/>
      <c r="AC1102" s="49" t="s">
        <v>506</v>
      </c>
      <c r="AD1102" s="49" t="s">
        <v>506</v>
      </c>
      <c r="AE1102" s="48"/>
    </row>
    <row r="1103" spans="1:31" ht="15" thickBot="1">
      <c r="A1103" s="34">
        <v>1101</v>
      </c>
      <c r="B1103" s="34" t="s">
        <v>1026</v>
      </c>
      <c r="C1103" s="41" t="s">
        <v>1355</v>
      </c>
      <c r="D1103" s="34" t="s">
        <v>958</v>
      </c>
      <c r="E1103" s="80">
        <f t="shared" si="130"/>
        <v>1.6072880776609237</v>
      </c>
      <c r="F1103" s="35">
        <f t="shared" si="128"/>
        <v>59.46647115103395</v>
      </c>
      <c r="G1103" s="42" cm="1">
        <f t="array" ref="G110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59.200944072923463</v>
      </c>
      <c r="H1103" s="81" cm="1">
        <f t="array" ref="H11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1.6041812573253968</v>
      </c>
      <c r="I1103" s="81" cm="1">
        <f t="array" ref="I11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1.6072880776609237</v>
      </c>
      <c r="J1103" s="81" cm="1">
        <f t="array" ref="J11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1.6097236262005636</v>
      </c>
      <c r="K1103" s="81" cm="1">
        <f t="array" ref="K11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1.6143935343599383</v>
      </c>
      <c r="L1103" s="81" cm="1">
        <f t="array" ref="L110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1.6199402347740968</v>
      </c>
      <c r="M1103" s="37">
        <f t="shared" si="131"/>
        <v>1.0212277034541417E-2</v>
      </c>
      <c r="N1103" s="43">
        <f t="shared" si="132"/>
        <v>3.1068203355268942E-3</v>
      </c>
      <c r="O1103" s="43">
        <f t="shared" si="133"/>
        <v>5.5467004141585008E-3</v>
      </c>
      <c r="P1103" s="43">
        <f t="shared" si="134"/>
        <v>0.30422405551852583</v>
      </c>
      <c r="Q1103" s="37">
        <f t="shared" si="135"/>
        <v>0.54314041769506072</v>
      </c>
      <c r="R1103" s="37">
        <f t="shared" si="129"/>
        <v>-2.043379419934932E-3</v>
      </c>
      <c r="S1103" s="44" t="s">
        <v>1394</v>
      </c>
      <c r="T1103" s="45">
        <v>2.5429276999999999</v>
      </c>
      <c r="U1103" s="45">
        <v>-1.031719E-2</v>
      </c>
      <c r="V1103" s="45">
        <v>1.4356944E-2</v>
      </c>
      <c r="W1103" s="45">
        <v>3.1433871999999999E-4</v>
      </c>
      <c r="X1103" s="45">
        <v>-1.0824341E-5</v>
      </c>
      <c r="Y1103" s="45">
        <v>6.8100891999999998E-7</v>
      </c>
      <c r="Z1103" s="36">
        <v>3.5</v>
      </c>
      <c r="AA1103" s="38">
        <v>662</v>
      </c>
      <c r="AB1103" s="38"/>
      <c r="AC1103" s="49" t="s">
        <v>506</v>
      </c>
      <c r="AD1103" s="49" t="s">
        <v>506</v>
      </c>
      <c r="AE1103" s="48"/>
    </row>
    <row r="1104" spans="1:31" ht="15" thickBot="1">
      <c r="A1104" s="34">
        <v>1102</v>
      </c>
      <c r="B1104" s="34" t="s">
        <v>1026</v>
      </c>
      <c r="C1104" s="41" t="s">
        <v>1355</v>
      </c>
      <c r="D1104" s="34" t="s">
        <v>959</v>
      </c>
      <c r="E1104" s="80">
        <f t="shared" si="130"/>
        <v>1.6031087636630943</v>
      </c>
      <c r="F1104" s="35">
        <f t="shared" si="128"/>
        <v>60.693861200152561</v>
      </c>
      <c r="G1104" s="42" cm="1">
        <f t="array" ref="G110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60.433281130592299</v>
      </c>
      <c r="H1104" s="81" cm="1">
        <f t="array" ref="H11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1.6000800514395868</v>
      </c>
      <c r="I1104" s="81" cm="1">
        <f t="array" ref="I11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1.6031087636630943</v>
      </c>
      <c r="J1104" s="81" cm="1">
        <f t="array" ref="J11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1.6054784946985123</v>
      </c>
      <c r="K1104" s="81" cm="1">
        <f t="array" ref="K11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1.6100169503571593</v>
      </c>
      <c r="L1104" s="81" cm="1">
        <f t="array" ref="L110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1.6154020706587686</v>
      </c>
      <c r="M1104" s="37">
        <f t="shared" si="131"/>
        <v>9.9368989175725453E-3</v>
      </c>
      <c r="N1104" s="43">
        <f t="shared" si="132"/>
        <v>3.0287122235075348E-3</v>
      </c>
      <c r="O1104" s="43">
        <f t="shared" si="133"/>
        <v>5.3851203016093141E-3</v>
      </c>
      <c r="P1104" s="43">
        <f t="shared" si="134"/>
        <v>0.30479450869239694</v>
      </c>
      <c r="Q1104" s="37">
        <f t="shared" si="135"/>
        <v>0.541931677707438</v>
      </c>
      <c r="R1104" s="37">
        <f t="shared" si="129"/>
        <v>-1.2602940051221756E-3</v>
      </c>
      <c r="S1104" s="44" t="s">
        <v>1394</v>
      </c>
      <c r="T1104" s="45">
        <v>2.5313894000000001</v>
      </c>
      <c r="U1104" s="45">
        <v>-1.0956275E-2</v>
      </c>
      <c r="V1104" s="45">
        <v>1.3803543999999999E-2</v>
      </c>
      <c r="W1104" s="45">
        <v>2.9803889E-4</v>
      </c>
      <c r="X1104" s="45">
        <v>-6.2451963999999996E-6</v>
      </c>
      <c r="Y1104" s="45">
        <v>2.5686024000000001E-7</v>
      </c>
      <c r="Z1104" s="36">
        <v>3.44</v>
      </c>
      <c r="AA1104" s="38">
        <v>646</v>
      </c>
      <c r="AB1104" s="38"/>
      <c r="AC1104" s="49" t="s">
        <v>506</v>
      </c>
      <c r="AD1104" s="49" t="s">
        <v>506</v>
      </c>
      <c r="AE1104" s="48"/>
    </row>
    <row r="1105" spans="1:31" ht="15" thickBot="1">
      <c r="A1105" s="34">
        <v>1103</v>
      </c>
      <c r="B1105" s="34" t="s">
        <v>1026</v>
      </c>
      <c r="C1105" s="41" t="s">
        <v>1355</v>
      </c>
      <c r="D1105" s="34" t="s">
        <v>960</v>
      </c>
      <c r="E1105" s="80">
        <f t="shared" si="130"/>
        <v>1.6229866908039052</v>
      </c>
      <c r="F1105" s="35">
        <f t="shared" si="128"/>
        <v>58.151106979175708</v>
      </c>
      <c r="G1105" s="42" cm="1">
        <f t="array" ref="G110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57.878340200611902</v>
      </c>
      <c r="H1105" s="81" cm="1">
        <f t="array" ref="H11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1.6197357315844221</v>
      </c>
      <c r="I1105" s="81" cm="1">
        <f t="array" ref="I11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1.6229866908039052</v>
      </c>
      <c r="J1105" s="81" cm="1">
        <f t="array" ref="J11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1.6255422356070777</v>
      </c>
      <c r="K1105" s="81" cm="1">
        <f t="array" ref="K11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1.6304489703027667</v>
      </c>
      <c r="L1105" s="81" cm="1">
        <f t="array" ref="L110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1.6362800594886302</v>
      </c>
      <c r="M1105" s="37">
        <f t="shared" si="131"/>
        <v>1.071323871834462E-2</v>
      </c>
      <c r="N1105" s="43">
        <f t="shared" si="132"/>
        <v>3.2509592194831516E-3</v>
      </c>
      <c r="O1105" s="43">
        <f t="shared" si="133"/>
        <v>5.8310891858635028E-3</v>
      </c>
      <c r="P1105" s="43">
        <f t="shared" si="134"/>
        <v>0.30345251374978049</v>
      </c>
      <c r="Q1105" s="37">
        <f t="shared" si="135"/>
        <v>0.54428817831518517</v>
      </c>
      <c r="R1105" s="37">
        <f t="shared" si="129"/>
        <v>-3.0302098149830314E-3</v>
      </c>
      <c r="S1105" s="44" t="s">
        <v>1394</v>
      </c>
      <c r="T1105" s="45">
        <v>2.5918508</v>
      </c>
      <c r="U1105" s="45">
        <v>-1.0567563E-2</v>
      </c>
      <c r="V1105" s="45">
        <v>1.4411695E-2</v>
      </c>
      <c r="W1105" s="45">
        <v>6.3226961000000003E-4</v>
      </c>
      <c r="X1105" s="45">
        <v>-5.7927036999999997E-5</v>
      </c>
      <c r="Y1105" s="45">
        <v>3.4193172000000002E-6</v>
      </c>
      <c r="Z1105" s="36">
        <v>3.67</v>
      </c>
      <c r="AA1105" s="38">
        <v>649</v>
      </c>
      <c r="AB1105" s="38"/>
      <c r="AC1105" s="49" t="s">
        <v>506</v>
      </c>
      <c r="AD1105" s="49" t="s">
        <v>506</v>
      </c>
      <c r="AE1105" s="48"/>
    </row>
    <row r="1106" spans="1:31" ht="15" thickBot="1">
      <c r="A1106" s="34">
        <v>1104</v>
      </c>
      <c r="B1106" s="34" t="s">
        <v>1026</v>
      </c>
      <c r="C1106" s="41" t="s">
        <v>1355</v>
      </c>
      <c r="D1106" s="34" t="s">
        <v>961</v>
      </c>
      <c r="E1106" s="80">
        <f t="shared" si="130"/>
        <v>1.62040730024383</v>
      </c>
      <c r="F1106" s="35">
        <f t="shared" si="128"/>
        <v>60.273354982998633</v>
      </c>
      <c r="G1106" s="42" cm="1">
        <f t="array" ref="G110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60.035473851175752</v>
      </c>
      <c r="H1106" s="81" cm="1">
        <f t="array" ref="H11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1.6172627201830443</v>
      </c>
      <c r="I1106" s="81" cm="1">
        <f t="array" ref="I11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1.62040730024383</v>
      </c>
      <c r="J1106" s="81" cm="1">
        <f t="array" ref="J11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1.622862767440769</v>
      </c>
      <c r="K1106" s="81" cm="1">
        <f t="array" ref="K11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1.6275559467741114</v>
      </c>
      <c r="L1106" s="81" cm="1">
        <f t="array" ref="L110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1.6331161572988102</v>
      </c>
      <c r="M1106" s="37">
        <f t="shared" si="131"/>
        <v>1.0293226591067128E-2</v>
      </c>
      <c r="N1106" s="43">
        <f t="shared" si="132"/>
        <v>3.1445800607856622E-3</v>
      </c>
      <c r="O1106" s="43">
        <f t="shared" si="133"/>
        <v>5.5602105246987943E-3</v>
      </c>
      <c r="P1106" s="43">
        <f t="shared" si="134"/>
        <v>0.30549993560956423</v>
      </c>
      <c r="Q1106" s="37">
        <f t="shared" si="135"/>
        <v>0.54018149464660248</v>
      </c>
      <c r="R1106" s="37">
        <f t="shared" si="129"/>
        <v>-3.6928803213944761E-3</v>
      </c>
      <c r="S1106" s="44" t="s">
        <v>1394</v>
      </c>
      <c r="T1106" s="45">
        <v>2.5853302999999999</v>
      </c>
      <c r="U1106" s="45">
        <v>-1.1740186999999999E-2</v>
      </c>
      <c r="V1106" s="45">
        <v>1.4496524E-2</v>
      </c>
      <c r="W1106" s="45">
        <v>3.2871609999999998E-4</v>
      </c>
      <c r="X1106" s="45">
        <v>-1.5804639000000001E-5</v>
      </c>
      <c r="Y1106" s="45">
        <v>1.1016183000000001E-6</v>
      </c>
      <c r="Z1106" s="36">
        <v>3.5</v>
      </c>
      <c r="AA1106" s="38">
        <v>653</v>
      </c>
      <c r="AB1106" s="38"/>
      <c r="AC1106" s="49" t="s">
        <v>506</v>
      </c>
      <c r="AD1106" s="49" t="s">
        <v>506</v>
      </c>
      <c r="AE1106" s="46" t="s">
        <v>770</v>
      </c>
    </row>
    <row r="1107" spans="1:31" ht="15" thickBot="1">
      <c r="A1107" s="34">
        <v>1105</v>
      </c>
      <c r="B1107" s="34" t="s">
        <v>1026</v>
      </c>
      <c r="C1107" s="41" t="s">
        <v>1355</v>
      </c>
      <c r="D1107" s="34" t="s">
        <v>962</v>
      </c>
      <c r="E1107" s="80">
        <f t="shared" si="130"/>
        <v>1.6385419334775289</v>
      </c>
      <c r="F1107" s="35">
        <f t="shared" si="128"/>
        <v>55.501543431755003</v>
      </c>
      <c r="G1107" s="42" cm="1">
        <f t="array" ref="G110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55.220857689151792</v>
      </c>
      <c r="H1107" s="81" cm="1">
        <f t="array" ref="H11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1.6350624768939317</v>
      </c>
      <c r="I1107" s="81" cm="1">
        <f t="array" ref="I11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1.6385419334775289</v>
      </c>
      <c r="J1107" s="81" cm="1">
        <f t="array" ref="J11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1.6412831812226159</v>
      </c>
      <c r="K1107" s="81" cm="1">
        <f t="array" ref="K11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1.6465674170090239</v>
      </c>
      <c r="L1107" s="81" cm="1">
        <f t="array" ref="L110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1.652891854261809</v>
      </c>
      <c r="M1107" s="37">
        <f t="shared" si="131"/>
        <v>1.1504940115092177E-2</v>
      </c>
      <c r="N1107" s="43">
        <f t="shared" si="132"/>
        <v>3.4794565835971625E-3</v>
      </c>
      <c r="O1107" s="43">
        <f t="shared" si="133"/>
        <v>6.3244372527850867E-3</v>
      </c>
      <c r="P1107" s="43">
        <f t="shared" si="134"/>
        <v>0.30243152496142178</v>
      </c>
      <c r="Q1107" s="37">
        <f t="shared" si="135"/>
        <v>0.5497149215482392</v>
      </c>
      <c r="R1107" s="37">
        <f t="shared" si="129"/>
        <v>-1.9032146391252391E-3</v>
      </c>
      <c r="S1107" s="44" t="s">
        <v>1394</v>
      </c>
      <c r="T1107" s="45">
        <v>2.6383228999999999</v>
      </c>
      <c r="U1107" s="45">
        <v>-1.0806956E-2</v>
      </c>
      <c r="V1107" s="45">
        <v>1.6153414000000001E-2</v>
      </c>
      <c r="W1107" s="45">
        <v>4.6673953999999999E-4</v>
      </c>
      <c r="X1107" s="45">
        <v>-2.5414619000000001E-5</v>
      </c>
      <c r="Y1107" s="45">
        <v>1.9703165000000001E-6</v>
      </c>
      <c r="Z1107" s="36">
        <v>3.69</v>
      </c>
      <c r="AA1107" s="38">
        <v>647</v>
      </c>
      <c r="AB1107" s="38"/>
      <c r="AC1107" s="49" t="s">
        <v>506</v>
      </c>
      <c r="AD1107" s="49" t="s">
        <v>506</v>
      </c>
      <c r="AE1107" s="48"/>
    </row>
    <row r="1108" spans="1:31" ht="15" thickBot="1">
      <c r="A1108" s="34">
        <v>1106</v>
      </c>
      <c r="B1108" s="34" t="s">
        <v>1026</v>
      </c>
      <c r="C1108" s="41" t="s">
        <v>1355</v>
      </c>
      <c r="D1108" s="34" t="s">
        <v>963</v>
      </c>
      <c r="E1108" s="80">
        <f t="shared" si="130"/>
        <v>1.6385377571359174</v>
      </c>
      <c r="F1108" s="35">
        <f t="shared" ref="F1108:F1139" si="136">(I1108-1)/M1108</f>
        <v>55.481055030325045</v>
      </c>
      <c r="G1108" s="42" cm="1">
        <f t="array" ref="G110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55.195201523677497</v>
      </c>
      <c r="H1108" s="81" cm="1">
        <f t="array" ref="H11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1.6350593673806821</v>
      </c>
      <c r="I1108" s="81" cm="1">
        <f t="array" ref="I11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1.6385377571359174</v>
      </c>
      <c r="J1108" s="81" cm="1">
        <f t="array" ref="J11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1.6412793535884473</v>
      </c>
      <c r="K1108" s="81" cm="1">
        <f t="array" ref="K11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1.6465684808390852</v>
      </c>
      <c r="L1108" s="81" cm="1">
        <f t="array" ref="L110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1.6528992309547792</v>
      </c>
      <c r="M1108" s="37">
        <f t="shared" si="131"/>
        <v>1.1509113458403109E-2</v>
      </c>
      <c r="N1108" s="43">
        <f t="shared" si="132"/>
        <v>3.4783897552352894E-3</v>
      </c>
      <c r="O1108" s="43">
        <f t="shared" si="133"/>
        <v>6.3307501156939505E-3</v>
      </c>
      <c r="P1108" s="43">
        <f t="shared" si="134"/>
        <v>0.30222916541809092</v>
      </c>
      <c r="Q1108" s="37">
        <f t="shared" si="135"/>
        <v>0.55006409821007562</v>
      </c>
      <c r="R1108" s="37">
        <f t="shared" ref="R1108:R1139" si="137">_xlfn.LET(
  _xlpm.vd_K7,  $F$1187,
  _xlpm.PgF_K7, $Q$1187,
  _xlpm.vd_F2,  $F$1188,
  _xlpm.PgF_F2, $Q$1188,
  _xlpm.NormalLine, _xlpm.PgF_K7 + ((_xlpm.PgF_F2 - _xlpm.PgF_K7) / (_xlpm.vd_F2 - _xlpm.vd_K7)) * (F1108 - _xlpm.vd_K7),
  O1108/M1108 - _xlpm.NormalLine
)</f>
        <v>-1.5872868360788939E-3</v>
      </c>
      <c r="S1108" s="44" t="s">
        <v>1394</v>
      </c>
      <c r="T1108" s="45">
        <v>2.6368942</v>
      </c>
      <c r="U1108" s="45">
        <v>-9.9823399999999993E-3</v>
      </c>
      <c r="V1108" s="45">
        <v>1.7151413000000001E-2</v>
      </c>
      <c r="W1108" s="45">
        <v>1.1644223E-4</v>
      </c>
      <c r="X1108" s="45">
        <v>3.4189944999999999E-5</v>
      </c>
      <c r="Y1108" s="45">
        <v>-1.8645959000000001E-6</v>
      </c>
      <c r="Z1108" s="36">
        <v>3.35</v>
      </c>
      <c r="AA1108" s="38">
        <v>656</v>
      </c>
      <c r="AB1108" s="38"/>
      <c r="AC1108" s="49" t="s">
        <v>506</v>
      </c>
      <c r="AD1108" s="49" t="s">
        <v>506</v>
      </c>
      <c r="AE1108" s="46" t="s">
        <v>770</v>
      </c>
    </row>
    <row r="1109" spans="1:31" ht="15" thickBot="1">
      <c r="A1109" s="34">
        <v>1107</v>
      </c>
      <c r="B1109" s="34" t="s">
        <v>1026</v>
      </c>
      <c r="C1109" s="41" t="s">
        <v>1355</v>
      </c>
      <c r="D1109" s="34" t="s">
        <v>964</v>
      </c>
      <c r="E1109" s="80">
        <f t="shared" si="130"/>
        <v>1.617202552840536</v>
      </c>
      <c r="F1109" s="35">
        <f t="shared" si="136"/>
        <v>54.073685615567221</v>
      </c>
      <c r="G1109" s="42" cm="1">
        <f t="array" ref="G110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53.806688799718849</v>
      </c>
      <c r="H1109" s="81" cm="1">
        <f t="array" ref="H11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1.613751152234038</v>
      </c>
      <c r="I1109" s="81" cm="1">
        <f t="array" ref="I11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1.617202552840536</v>
      </c>
      <c r="J1109" s="81" cm="1">
        <f t="array" ref="J11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1.6199228574527449</v>
      </c>
      <c r="K1109" s="81" cm="1">
        <f t="array" ref="K11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1.6251652540437147</v>
      </c>
      <c r="L1109" s="81" cm="1">
        <f t="array" ref="L110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1.6314296652609248</v>
      </c>
      <c r="M1109" s="37">
        <f t="shared" si="131"/>
        <v>1.1414101809676724E-2</v>
      </c>
      <c r="N1109" s="43">
        <f t="shared" si="132"/>
        <v>3.4514006064980673E-3</v>
      </c>
      <c r="O1109" s="43">
        <f t="shared" si="133"/>
        <v>6.2644112172101085E-3</v>
      </c>
      <c r="P1109" s="43">
        <f t="shared" si="134"/>
        <v>0.30238039436200015</v>
      </c>
      <c r="Q1109" s="37">
        <f t="shared" si="135"/>
        <v>0.54883085166624535</v>
      </c>
      <c r="R1109" s="37">
        <f t="shared" si="137"/>
        <v>-5.1044317648916149E-3</v>
      </c>
      <c r="S1109" s="44" t="s">
        <v>1394</v>
      </c>
      <c r="T1109" s="45">
        <v>2.5692173</v>
      </c>
      <c r="U1109" s="45">
        <v>-1.0022582E-2</v>
      </c>
      <c r="V1109" s="45">
        <v>1.6067095E-2</v>
      </c>
      <c r="W1109" s="45">
        <v>3.9868115000000001E-4</v>
      </c>
      <c r="X1109" s="45">
        <v>-1.5698671E-5</v>
      </c>
      <c r="Y1109" s="45">
        <v>1.1774033000000001E-6</v>
      </c>
      <c r="Z1109" s="36">
        <v>3.46</v>
      </c>
      <c r="AA1109" s="38">
        <v>577</v>
      </c>
      <c r="AB1109" s="38"/>
      <c r="AC1109" s="49" t="s">
        <v>506</v>
      </c>
      <c r="AD1109" s="49" t="s">
        <v>506</v>
      </c>
      <c r="AE1109" s="48"/>
    </row>
    <row r="1110" spans="1:31" ht="15" thickBot="1">
      <c r="A1110" s="34">
        <v>1108</v>
      </c>
      <c r="B1110" s="34" t="s">
        <v>1026</v>
      </c>
      <c r="C1110" s="41" t="s">
        <v>1355</v>
      </c>
      <c r="D1110" s="34" t="s">
        <v>965</v>
      </c>
      <c r="E1110" s="80">
        <f t="shared" si="130"/>
        <v>1.6148369312843991</v>
      </c>
      <c r="F1110" s="35">
        <f t="shared" si="136"/>
        <v>51.107583684820291</v>
      </c>
      <c r="G1110" s="42" cm="1">
        <f t="array" ref="G111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50.850524166503895</v>
      </c>
      <c r="H1110" s="81" cm="1">
        <f t="array" ref="H11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1.6112076692752446</v>
      </c>
      <c r="I1110" s="81" cm="1">
        <f t="array" ref="I11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1.6148369312843991</v>
      </c>
      <c r="J1110" s="81" cm="1">
        <f t="array" ref="J11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1.6177032936042415</v>
      </c>
      <c r="K1110" s="81" cm="1">
        <f t="array" ref="K11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1.623237917761968</v>
      </c>
      <c r="L1110" s="81" cm="1">
        <f t="array" ref="L111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1.6298708400802482</v>
      </c>
      <c r="M1110" s="37">
        <f t="shared" si="131"/>
        <v>1.2030248486723405E-2</v>
      </c>
      <c r="N1110" s="43">
        <f t="shared" si="132"/>
        <v>3.6292620091544769E-3</v>
      </c>
      <c r="O1110" s="43">
        <f t="shared" si="133"/>
        <v>6.6329223182801655E-3</v>
      </c>
      <c r="P1110" s="43">
        <f t="shared" si="134"/>
        <v>0.3016780587000954</v>
      </c>
      <c r="Q1110" s="37">
        <f t="shared" si="135"/>
        <v>0.55135372520362036</v>
      </c>
      <c r="R1110" s="37">
        <f t="shared" si="137"/>
        <v>-7.3949891137432555E-3</v>
      </c>
      <c r="S1110" s="44" t="s">
        <v>1394</v>
      </c>
      <c r="T1110" s="45">
        <v>2.5581178000000002</v>
      </c>
      <c r="U1110" s="45">
        <v>-9.3433458999999993E-3</v>
      </c>
      <c r="V1110" s="45">
        <v>1.7279507999999999E-2</v>
      </c>
      <c r="W1110" s="45">
        <v>3.4232239000000001E-4</v>
      </c>
      <c r="X1110" s="45">
        <v>-8.1515193999999999E-6</v>
      </c>
      <c r="Y1110" s="45">
        <v>1.1314454E-6</v>
      </c>
      <c r="Z1110" s="36">
        <v>3.37</v>
      </c>
      <c r="AA1110" s="38">
        <v>545</v>
      </c>
      <c r="AB1110" s="38"/>
      <c r="AC1110" s="49" t="s">
        <v>506</v>
      </c>
      <c r="AD1110" s="49" t="s">
        <v>506</v>
      </c>
      <c r="AE1110" s="48"/>
    </row>
    <row r="1111" spans="1:31" ht="15" thickBot="1">
      <c r="A1111" s="34">
        <v>1109</v>
      </c>
      <c r="B1111" s="34" t="s">
        <v>1026</v>
      </c>
      <c r="C1111" s="41" t="s">
        <v>1355</v>
      </c>
      <c r="D1111" s="34" t="s">
        <v>966</v>
      </c>
      <c r="E1111" s="80">
        <f t="shared" si="130"/>
        <v>1.6176495068033314</v>
      </c>
      <c r="F1111" s="35">
        <f t="shared" si="136"/>
        <v>55.081855044538266</v>
      </c>
      <c r="G1111" s="42" cm="1">
        <f t="array" ref="G111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54.809618156602568</v>
      </c>
      <c r="H1111" s="81" cm="1">
        <f t="array" ref="H11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1.6142594080012396</v>
      </c>
      <c r="I1111" s="81" cm="1">
        <f t="array" ref="I11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1.6176495068033314</v>
      </c>
      <c r="J1111" s="81" cm="1">
        <f t="array" ref="J11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1.6203232980877273</v>
      </c>
      <c r="K1111" s="81" cm="1">
        <f t="array" ref="K11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1.6254727105725475</v>
      </c>
      <c r="L1111" s="81" cm="1">
        <f t="array" ref="L111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1.6316009741642132</v>
      </c>
      <c r="M1111" s="37">
        <f t="shared" si="131"/>
        <v>1.1213302571307926E-2</v>
      </c>
      <c r="N1111" s="43">
        <f t="shared" si="132"/>
        <v>3.3900988020918454E-3</v>
      </c>
      <c r="O1111" s="43">
        <f t="shared" si="133"/>
        <v>6.1282635916657391E-3</v>
      </c>
      <c r="P1111" s="43">
        <f t="shared" si="134"/>
        <v>0.30232830876839722</v>
      </c>
      <c r="Q1111" s="37">
        <f t="shared" si="135"/>
        <v>0.54651727737610978</v>
      </c>
      <c r="R1111" s="37">
        <f t="shared" si="137"/>
        <v>-5.7819348810548288E-3</v>
      </c>
      <c r="S1111" s="44" t="s">
        <v>1394</v>
      </c>
      <c r="T1111" s="45">
        <v>2.5749312999999998</v>
      </c>
      <c r="U1111" s="45">
        <v>-1.1981485E-2</v>
      </c>
      <c r="V1111" s="45">
        <v>1.3663757E-2</v>
      </c>
      <c r="W1111" s="45">
        <v>9.9687548999999992E-4</v>
      </c>
      <c r="X1111" s="45">
        <v>-9.3565959000000006E-5</v>
      </c>
      <c r="Y1111" s="45">
        <v>4.6297330000000002E-6</v>
      </c>
      <c r="Z1111" s="36">
        <v>3.39</v>
      </c>
      <c r="AA1111" s="38">
        <v>536</v>
      </c>
      <c r="AB1111" s="38"/>
      <c r="AC1111" s="49" t="s">
        <v>506</v>
      </c>
      <c r="AD1111" s="49" t="s">
        <v>506</v>
      </c>
      <c r="AE1111" s="48"/>
    </row>
    <row r="1112" spans="1:31" ht="15" thickBot="1">
      <c r="A1112" s="34">
        <v>1110</v>
      </c>
      <c r="B1112" s="34" t="s">
        <v>1026</v>
      </c>
      <c r="C1112" s="41" t="s">
        <v>1355</v>
      </c>
      <c r="D1112" s="34" t="s">
        <v>967</v>
      </c>
      <c r="E1112" s="80">
        <f t="shared" si="130"/>
        <v>1.6201196965532845</v>
      </c>
      <c r="F1112" s="35">
        <f t="shared" si="136"/>
        <v>49.813610980344215</v>
      </c>
      <c r="G1112" s="42" cm="1">
        <f t="array" ref="G111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49.518250263876126</v>
      </c>
      <c r="H1112" s="81" cm="1">
        <f t="array" ref="H11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1.6163886768499931</v>
      </c>
      <c r="I1112" s="81" cm="1">
        <f t="array" ref="I11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1.6201196965532845</v>
      </c>
      <c r="J1112" s="81" cm="1">
        <f t="array" ref="J11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1.6230806834079892</v>
      </c>
      <c r="K1112" s="81" cm="1">
        <f t="array" ref="K11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1.6288374771748275</v>
      </c>
      <c r="L1112" s="81" cm="1">
        <f t="array" ref="L111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1.6358128252674031</v>
      </c>
      <c r="M1112" s="37">
        <f t="shared" si="131"/>
        <v>1.2448800324834419E-2</v>
      </c>
      <c r="N1112" s="43">
        <f t="shared" si="132"/>
        <v>3.7310197032913717E-3</v>
      </c>
      <c r="O1112" s="43">
        <f t="shared" si="133"/>
        <v>6.9753480925756062E-3</v>
      </c>
      <c r="P1112" s="43">
        <f t="shared" si="134"/>
        <v>0.2997091772649183</v>
      </c>
      <c r="Q1112" s="37">
        <f t="shared" si="135"/>
        <v>0.56032291550699165</v>
      </c>
      <c r="R1112" s="37">
        <f t="shared" si="137"/>
        <v>-5.256754589437751E-4</v>
      </c>
      <c r="S1112" s="44" t="s">
        <v>1394</v>
      </c>
      <c r="T1112" s="45">
        <v>2.5737917000000001</v>
      </c>
      <c r="U1112" s="45">
        <v>-9.3452954999999997E-3</v>
      </c>
      <c r="V1112" s="45">
        <v>1.7645208999999999E-2</v>
      </c>
      <c r="W1112" s="45">
        <v>3.5765081000000001E-4</v>
      </c>
      <c r="X1112" s="45">
        <v>1.1614433999999999E-6</v>
      </c>
      <c r="Y1112" s="45">
        <v>1.16034E-6</v>
      </c>
      <c r="Z1112" s="36">
        <v>3.29</v>
      </c>
      <c r="AA1112" s="38">
        <v>579</v>
      </c>
      <c r="AB1112" s="38"/>
      <c r="AC1112" s="49" t="s">
        <v>506</v>
      </c>
      <c r="AD1112" s="49" t="s">
        <v>506</v>
      </c>
      <c r="AE1112" s="48"/>
    </row>
    <row r="1113" spans="1:31" ht="15" thickBot="1">
      <c r="A1113" s="34">
        <v>1111</v>
      </c>
      <c r="B1113" s="34" t="s">
        <v>1026</v>
      </c>
      <c r="C1113" s="41" t="s">
        <v>1355</v>
      </c>
      <c r="D1113" s="34" t="s">
        <v>968</v>
      </c>
      <c r="E1113" s="80">
        <f t="shared" si="130"/>
        <v>1.6237315699495241</v>
      </c>
      <c r="F1113" s="35">
        <f t="shared" si="136"/>
        <v>47.063374715048987</v>
      </c>
      <c r="G1113" s="42" cm="1">
        <f t="array" ref="G111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46.79046356742532</v>
      </c>
      <c r="H1113" s="81" cm="1">
        <f t="array" ref="H11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1.619760155724008</v>
      </c>
      <c r="I1113" s="81" cm="1">
        <f t="array" ref="I11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1.6237315699495241</v>
      </c>
      <c r="J1113" s="81" cm="1">
        <f t="array" ref="J11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1.6268801048589778</v>
      </c>
      <c r="K1113" s="81" cm="1">
        <f t="array" ref="K11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1.6330131698507251</v>
      </c>
      <c r="L1113" s="81" cm="1">
        <f t="array" ref="L111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1.6404908771806619</v>
      </c>
      <c r="M1113" s="37">
        <f t="shared" si="131"/>
        <v>1.3253014126717089E-2</v>
      </c>
      <c r="N1113" s="43">
        <f t="shared" si="132"/>
        <v>3.9714142255160567E-3</v>
      </c>
      <c r="O1113" s="43">
        <f t="shared" si="133"/>
        <v>7.4777073299368002E-3</v>
      </c>
      <c r="P1113" s="43">
        <f t="shared" si="134"/>
        <v>0.29966120820093156</v>
      </c>
      <c r="Q1113" s="37">
        <f t="shared" si="135"/>
        <v>0.56422691913247869</v>
      </c>
      <c r="R1113" s="37">
        <f t="shared" si="137"/>
        <v>-1.0847929577059157E-3</v>
      </c>
      <c r="S1113" s="44" t="s">
        <v>1394</v>
      </c>
      <c r="T1113" s="45">
        <v>2.5830562000000001</v>
      </c>
      <c r="U1113" s="45">
        <v>-1.131971E-2</v>
      </c>
      <c r="V1113" s="45">
        <v>1.8817463999999999E-2</v>
      </c>
      <c r="W1113" s="45">
        <v>2.7063309000000002E-4</v>
      </c>
      <c r="X1113" s="45">
        <v>2.1527561E-5</v>
      </c>
      <c r="Y1113" s="45">
        <v>7.7761940999999998E-7</v>
      </c>
      <c r="Z1113" s="36">
        <v>3.02</v>
      </c>
      <c r="AA1113" s="38">
        <v>504</v>
      </c>
      <c r="AB1113" s="38"/>
      <c r="AC1113" s="49" t="s">
        <v>506</v>
      </c>
      <c r="AD1113" s="49" t="s">
        <v>506</v>
      </c>
      <c r="AE1113" s="48"/>
    </row>
    <row r="1114" spans="1:31" ht="15" thickBot="1">
      <c r="A1114" s="34">
        <v>1112</v>
      </c>
      <c r="B1114" s="34" t="s">
        <v>1026</v>
      </c>
      <c r="C1114" s="41" t="s">
        <v>1355</v>
      </c>
      <c r="D1114" s="34" t="s">
        <v>969</v>
      </c>
      <c r="E1114" s="80">
        <f t="shared" si="130"/>
        <v>1.6432839636579566</v>
      </c>
      <c r="F1114" s="35">
        <f t="shared" si="136"/>
        <v>47.761079695464538</v>
      </c>
      <c r="G1114" s="42" cm="1">
        <f t="array" ref="G111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47.465895275400506</v>
      </c>
      <c r="H1114" s="81" cm="1">
        <f t="array" ref="H11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1.6392583926037028</v>
      </c>
      <c r="I1114" s="81" cm="1">
        <f t="array" ref="I11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1.6432839636579566</v>
      </c>
      <c r="J1114" s="81" cm="1">
        <f t="array" ref="J11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1.646484068790331</v>
      </c>
      <c r="K1114" s="81" cm="1">
        <f t="array" ref="K11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1.6527271828354078</v>
      </c>
      <c r="L1114" s="81" cm="1">
        <f t="array" ref="L111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1.6603361354906576</v>
      </c>
      <c r="M1114" s="37">
        <f t="shared" si="131"/>
        <v>1.3468790231704997E-2</v>
      </c>
      <c r="N1114" s="43">
        <f t="shared" si="132"/>
        <v>4.0255710542538292E-3</v>
      </c>
      <c r="O1114" s="43">
        <f t="shared" si="133"/>
        <v>7.6089526552498565E-3</v>
      </c>
      <c r="P1114" s="43">
        <f t="shared" si="134"/>
        <v>0.2988814128812991</v>
      </c>
      <c r="Q1114" s="37">
        <f t="shared" si="135"/>
        <v>0.56493215235758032</v>
      </c>
      <c r="R1114" s="37">
        <f t="shared" si="137"/>
        <v>7.5268547697315835E-4</v>
      </c>
      <c r="S1114" s="44" t="s">
        <v>1394</v>
      </c>
      <c r="T1114" s="45">
        <v>2.6455399000000002</v>
      </c>
      <c r="U1114" s="45">
        <v>-1.0990833E-2</v>
      </c>
      <c r="V1114" s="45">
        <v>1.8955207000000002E-2</v>
      </c>
      <c r="W1114" s="45">
        <v>4.0800743000000002E-4</v>
      </c>
      <c r="X1114" s="45">
        <v>9.9346339999999994E-6</v>
      </c>
      <c r="Y1114" s="45">
        <v>9.3197901999999995E-7</v>
      </c>
      <c r="Z1114" s="36">
        <v>3.44</v>
      </c>
      <c r="AA1114" s="38">
        <v>618</v>
      </c>
      <c r="AB1114" s="38"/>
      <c r="AC1114" s="49" t="s">
        <v>506</v>
      </c>
      <c r="AD1114" s="49" t="s">
        <v>506</v>
      </c>
      <c r="AE1114" s="48"/>
    </row>
    <row r="1115" spans="1:31" ht="15" thickBot="1">
      <c r="A1115" s="34">
        <v>1113</v>
      </c>
      <c r="B1115" s="34" t="s">
        <v>1026</v>
      </c>
      <c r="C1115" s="41" t="s">
        <v>1355</v>
      </c>
      <c r="D1115" s="34" t="s">
        <v>970</v>
      </c>
      <c r="E1115" s="80">
        <f t="shared" si="130"/>
        <v>1.6825089430916709</v>
      </c>
      <c r="F1115" s="35">
        <f t="shared" si="136"/>
        <v>44.465321859881399</v>
      </c>
      <c r="G1115" s="42" cm="1">
        <f t="array" ref="G111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44.180574475665139</v>
      </c>
      <c r="H1115" s="81" cm="1">
        <f t="array" ref="H11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1.6779403104493711</v>
      </c>
      <c r="I1115" s="81" cm="1">
        <f t="array" ref="I11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1.6825089430916709</v>
      </c>
      <c r="J1115" s="81" cm="1">
        <f t="array" ref="J11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1.6861542163875143</v>
      </c>
      <c r="K1115" s="81" cm="1">
        <f t="array" ref="K11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1.693289551488093</v>
      </c>
      <c r="L1115" s="81" cm="1">
        <f t="array" ref="L111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1.7020247494645568</v>
      </c>
      <c r="M1115" s="37">
        <f t="shared" si="131"/>
        <v>1.5349241038721928E-2</v>
      </c>
      <c r="N1115" s="43">
        <f t="shared" si="132"/>
        <v>4.5686326422997858E-3</v>
      </c>
      <c r="O1115" s="43">
        <f t="shared" si="133"/>
        <v>8.7351979764638266E-3</v>
      </c>
      <c r="P1115" s="43">
        <f t="shared" si="134"/>
        <v>0.29764550773385978</v>
      </c>
      <c r="Q1115" s="37">
        <f t="shared" si="135"/>
        <v>0.5690964103324273</v>
      </c>
      <c r="R1115" s="37">
        <f t="shared" si="137"/>
        <v>-4.314575572188506E-4</v>
      </c>
      <c r="S1115" s="44" t="s">
        <v>1394</v>
      </c>
      <c r="T1115" s="45">
        <v>2.7669296999999999</v>
      </c>
      <c r="U1115" s="45">
        <v>-1.1669996E-2</v>
      </c>
      <c r="V1115" s="45">
        <v>2.1519839999999998E-2</v>
      </c>
      <c r="W1115" s="45">
        <v>7.0810280999999997E-4</v>
      </c>
      <c r="X1115" s="45">
        <v>-2.4958219999999999E-5</v>
      </c>
      <c r="Y1115" s="45">
        <v>3.7747946000000002E-6</v>
      </c>
      <c r="Z1115" s="36">
        <v>3.62</v>
      </c>
      <c r="AA1115" s="38">
        <v>601</v>
      </c>
      <c r="AB1115" s="38"/>
      <c r="AC1115" s="49" t="s">
        <v>506</v>
      </c>
      <c r="AD1115" s="49" t="s">
        <v>506</v>
      </c>
      <c r="AE1115" s="48"/>
    </row>
    <row r="1116" spans="1:31" ht="15" thickBot="1">
      <c r="A1116" s="34">
        <v>1114</v>
      </c>
      <c r="B1116" s="34" t="s">
        <v>1026</v>
      </c>
      <c r="C1116" s="41" t="s">
        <v>1355</v>
      </c>
      <c r="D1116" s="34" t="s">
        <v>971</v>
      </c>
      <c r="E1116" s="80">
        <f t="shared" si="130"/>
        <v>1.6642198260314052</v>
      </c>
      <c r="F1116" s="35">
        <f t="shared" si="136"/>
        <v>49.189329460337518</v>
      </c>
      <c r="G1116" s="42" cm="1">
        <f t="array" ref="G111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48.908059808427765</v>
      </c>
      <c r="H1116" s="81" cm="1">
        <f t="array" ref="H11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1.6601687596065946</v>
      </c>
      <c r="I1116" s="81" cm="1">
        <f t="array" ref="I11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1.6642198260314052</v>
      </c>
      <c r="J1116" s="81" cm="1">
        <f t="array" ref="J11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1.6674323135374711</v>
      </c>
      <c r="K1116" s="81" cm="1">
        <f t="array" ref="K11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1.6736720911892498</v>
      </c>
      <c r="L1116" s="81" cm="1">
        <f t="array" ref="L111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1.6812209399912219</v>
      </c>
      <c r="M1116" s="37">
        <f t="shared" si="131"/>
        <v>1.3503331582655154E-2</v>
      </c>
      <c r="N1116" s="43">
        <f t="shared" si="132"/>
        <v>4.0510664248105677E-3</v>
      </c>
      <c r="O1116" s="43">
        <f t="shared" si="133"/>
        <v>7.5488488019721522E-3</v>
      </c>
      <c r="P1116" s="43">
        <f t="shared" si="134"/>
        <v>0.30000495803673427</v>
      </c>
      <c r="Q1116" s="37">
        <f t="shared" si="135"/>
        <v>0.55903602424075449</v>
      </c>
      <c r="R1116" s="37">
        <f t="shared" si="137"/>
        <v>-2.8256593363792382E-3</v>
      </c>
      <c r="S1116" s="44" t="s">
        <v>1394</v>
      </c>
      <c r="T1116" s="45">
        <v>2.7128944000000002</v>
      </c>
      <c r="U1116" s="45">
        <v>-1.0619935E-2</v>
      </c>
      <c r="V1116" s="45">
        <v>1.9653632000000001E-2</v>
      </c>
      <c r="W1116" s="45">
        <v>4.0051164999999999E-4</v>
      </c>
      <c r="X1116" s="45">
        <v>1.1626539E-6</v>
      </c>
      <c r="Y1116" s="45">
        <v>1.1579589E-6</v>
      </c>
      <c r="Z1116" s="36">
        <v>3.62</v>
      </c>
      <c r="AA1116" s="38">
        <v>616</v>
      </c>
      <c r="AB1116" s="38"/>
      <c r="AC1116" s="49" t="s">
        <v>506</v>
      </c>
      <c r="AD1116" s="49" t="s">
        <v>506</v>
      </c>
      <c r="AE1116" s="48"/>
    </row>
    <row r="1117" spans="1:31" ht="15" thickBot="1">
      <c r="A1117" s="34">
        <v>1115</v>
      </c>
      <c r="B1117" s="34" t="s">
        <v>1026</v>
      </c>
      <c r="C1117" s="41" t="s">
        <v>1355</v>
      </c>
      <c r="D1117" s="34" t="s">
        <v>972</v>
      </c>
      <c r="E1117" s="80">
        <f t="shared" si="130"/>
        <v>1.6512929990056933</v>
      </c>
      <c r="F1117" s="35">
        <f t="shared" si="136"/>
        <v>38.366344663869114</v>
      </c>
      <c r="G1117" s="42" cm="1">
        <f t="array" ref="G111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38.105158944907274</v>
      </c>
      <c r="H1117" s="81" cm="1">
        <f t="array" ref="H11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1.6462826218554569</v>
      </c>
      <c r="I1117" s="81" cm="1">
        <f t="array" ref="I11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1.6512929990056933</v>
      </c>
      <c r="J1117" s="81" cm="1">
        <f t="array" ref="J11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1.6553179338914803</v>
      </c>
      <c r="K1117" s="81" cm="1">
        <f t="array" ref="K11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1.6632582551797084</v>
      </c>
      <c r="L1117" s="81" cm="1">
        <f t="array" ref="L111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1.6730908374831841</v>
      </c>
      <c r="M1117" s="37">
        <f t="shared" si="131"/>
        <v>1.6975633324251449E-2</v>
      </c>
      <c r="N1117" s="43">
        <f t="shared" si="132"/>
        <v>5.0103771502363337E-3</v>
      </c>
      <c r="O1117" s="43">
        <f t="shared" si="133"/>
        <v>9.8325823034757232E-3</v>
      </c>
      <c r="P1117" s="43">
        <f t="shared" si="134"/>
        <v>0.29515111775408648</v>
      </c>
      <c r="Q1117" s="37">
        <f t="shared" si="135"/>
        <v>0.57921740624715667</v>
      </c>
      <c r="R1117" s="37">
        <f t="shared" si="137"/>
        <v>-2.0796546909762625E-4</v>
      </c>
      <c r="S1117" s="44" t="s">
        <v>1394</v>
      </c>
      <c r="T1117" s="45">
        <v>2.6590501</v>
      </c>
      <c r="U1117" s="45">
        <v>-1.1944105999999999E-2</v>
      </c>
      <c r="V1117" s="45">
        <v>2.185629E-2</v>
      </c>
      <c r="W1117" s="45">
        <v>1.1761807E-3</v>
      </c>
      <c r="X1117" s="45">
        <v>-7.8567029000000001E-5</v>
      </c>
      <c r="Y1117" s="45">
        <v>8.1413834999999995E-6</v>
      </c>
      <c r="Z1117" s="36">
        <v>2.96</v>
      </c>
      <c r="AA1117" s="38">
        <v>513</v>
      </c>
      <c r="AB1117" s="38"/>
      <c r="AC1117" s="49" t="s">
        <v>506</v>
      </c>
      <c r="AD1117" s="49" t="s">
        <v>506</v>
      </c>
      <c r="AE1117" s="48"/>
    </row>
    <row r="1118" spans="1:31" ht="15" thickBot="1">
      <c r="A1118" s="34">
        <v>1116</v>
      </c>
      <c r="B1118" s="34" t="s">
        <v>1026</v>
      </c>
      <c r="C1118" s="41" t="s">
        <v>1355</v>
      </c>
      <c r="D1118" s="34" t="s">
        <v>973</v>
      </c>
      <c r="E1118" s="80">
        <f t="shared" si="130"/>
        <v>1.6032464968534192</v>
      </c>
      <c r="F1118" s="35">
        <f t="shared" si="136"/>
        <v>42.579694659658756</v>
      </c>
      <c r="G1118" s="42" cm="1">
        <f t="array" ref="G111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42.30564197092815</v>
      </c>
      <c r="H1118" s="81" cm="1">
        <f t="array" ref="H11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1.5990362974389205</v>
      </c>
      <c r="I1118" s="81" cm="1">
        <f t="array" ref="I11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1.6032464968534192</v>
      </c>
      <c r="J1118" s="81" cm="1">
        <f t="array" ref="J11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1.6066088374741059</v>
      </c>
      <c r="K1118" s="81" cm="1">
        <f t="array" ref="K11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1.6132037662682579</v>
      </c>
      <c r="L1118" s="81" cm="1">
        <f t="array" ref="L111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1.6213105315688536</v>
      </c>
      <c r="M1118" s="37">
        <f t="shared" si="131"/>
        <v>1.4167468829337393E-2</v>
      </c>
      <c r="N1118" s="43">
        <f t="shared" si="132"/>
        <v>4.2101994144987387E-3</v>
      </c>
      <c r="O1118" s="43">
        <f t="shared" si="133"/>
        <v>8.1067653005957307E-3</v>
      </c>
      <c r="P1118" s="43">
        <f t="shared" si="134"/>
        <v>0.29717371996474323</v>
      </c>
      <c r="Q1118" s="37">
        <f t="shared" si="135"/>
        <v>0.57220985613242259</v>
      </c>
      <c r="R1118" s="37">
        <f t="shared" si="137"/>
        <v>-3.7803343462261552E-4</v>
      </c>
      <c r="S1118" s="44" t="s">
        <v>1394</v>
      </c>
      <c r="T1118" s="45">
        <v>2.5165761999999998</v>
      </c>
      <c r="U1118" s="45">
        <v>-1.1837790000000001E-2</v>
      </c>
      <c r="V1118" s="45">
        <v>1.7631594E-2</v>
      </c>
      <c r="W1118" s="45">
        <v>9.5834052E-4</v>
      </c>
      <c r="X1118" s="45">
        <v>-6.7623905000000002E-5</v>
      </c>
      <c r="Y1118" s="45">
        <v>6.2543393000000002E-6</v>
      </c>
      <c r="Z1118" s="36">
        <v>2.71</v>
      </c>
      <c r="AA1118" s="38">
        <v>495</v>
      </c>
      <c r="AB1118" s="38"/>
      <c r="AC1118" s="49" t="s">
        <v>506</v>
      </c>
      <c r="AD1118" s="49" t="s">
        <v>506</v>
      </c>
      <c r="AE1118" s="48"/>
    </row>
    <row r="1119" spans="1:31" ht="15" thickBot="1">
      <c r="A1119" s="34">
        <v>1117</v>
      </c>
      <c r="B1119" s="34" t="s">
        <v>1026</v>
      </c>
      <c r="C1119" s="41" t="s">
        <v>1358</v>
      </c>
      <c r="D1119" s="34" t="s">
        <v>974</v>
      </c>
      <c r="E1119" s="80">
        <f t="shared" si="130"/>
        <v>1.6424994729132851</v>
      </c>
      <c r="F1119" s="35">
        <f t="shared" si="136"/>
        <v>58.106262631101167</v>
      </c>
      <c r="G1119" s="42" cm="1">
        <f t="array" ref="G111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57.83598637350503</v>
      </c>
      <c r="H1119" s="81" cm="1">
        <f t="array" ref="H11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1.6391419533104561</v>
      </c>
      <c r="I1119" s="81" cm="1">
        <f t="array" ref="I11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1.6424994729132851</v>
      </c>
      <c r="J1119" s="81" cm="1">
        <f t="array" ref="J11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1.6451350346919129</v>
      </c>
      <c r="K1119" s="81" cm="1">
        <f t="array" ref="K11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1.6501992721573473</v>
      </c>
      <c r="L1119" s="81" cm="1">
        <f t="array" ref="L111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1.6562263130802137</v>
      </c>
      <c r="M1119" s="37">
        <f t="shared" si="131"/>
        <v>1.1057318846891206E-2</v>
      </c>
      <c r="N1119" s="43">
        <f t="shared" si="132"/>
        <v>3.3575196028290399E-3</v>
      </c>
      <c r="O1119" s="43">
        <f t="shared" si="133"/>
        <v>6.0270409228664334E-3</v>
      </c>
      <c r="P1119" s="43">
        <f t="shared" si="134"/>
        <v>0.30364681070701105</v>
      </c>
      <c r="Q1119" s="37">
        <f t="shared" si="135"/>
        <v>0.54507254482952272</v>
      </c>
      <c r="R1119" s="37">
        <f t="shared" si="137"/>
        <v>-2.3186173236341423E-3</v>
      </c>
      <c r="S1119" s="44" t="s">
        <v>1394</v>
      </c>
      <c r="T1119" s="45">
        <v>2.6532656999999999</v>
      </c>
      <c r="U1119" s="45">
        <v>-1.1570116E-2</v>
      </c>
      <c r="V1119" s="45">
        <v>1.5955637000000002E-2</v>
      </c>
      <c r="W1119" s="45">
        <v>2.3811283E-4</v>
      </c>
      <c r="X1119" s="45">
        <v>1.7165459000000001E-5</v>
      </c>
      <c r="Y1119" s="45">
        <v>-1.4129709E-6</v>
      </c>
      <c r="Z1119" s="36">
        <v>3.73</v>
      </c>
      <c r="AA1119" s="38">
        <v>646</v>
      </c>
      <c r="AB1119" s="38"/>
      <c r="AC1119" s="49" t="s">
        <v>506</v>
      </c>
      <c r="AD1119" s="49" t="s">
        <v>506</v>
      </c>
      <c r="AE1119" s="48"/>
    </row>
    <row r="1120" spans="1:31" ht="15" thickBot="1">
      <c r="A1120" s="34">
        <v>1118</v>
      </c>
      <c r="B1120" s="34" t="s">
        <v>1026</v>
      </c>
      <c r="C1120" s="41" t="s">
        <v>1358</v>
      </c>
      <c r="D1120" s="34" t="s">
        <v>975</v>
      </c>
      <c r="E1120" s="80">
        <f t="shared" si="130"/>
        <v>1.6515983677120598</v>
      </c>
      <c r="F1120" s="35">
        <f t="shared" si="136"/>
        <v>58.269093183902378</v>
      </c>
      <c r="G1120" s="42" cm="1">
        <f t="array" ref="G112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58.004288375832012</v>
      </c>
      <c r="H1120" s="81" cm="1">
        <f t="array" ref="H11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1.6482011072534872</v>
      </c>
      <c r="I1120" s="81" cm="1">
        <f t="array" ref="I11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1.6515983677120598</v>
      </c>
      <c r="J1120" s="81" cm="1">
        <f t="array" ref="J11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1.6542655761599212</v>
      </c>
      <c r="K1120" s="81" cm="1">
        <f t="array" ref="K11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1.6593836799023451</v>
      </c>
      <c r="L1120" s="81" cm="1">
        <f t="array" ref="L112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1.6654615744253962</v>
      </c>
      <c r="M1120" s="37">
        <f t="shared" si="131"/>
        <v>1.1182572648857914E-2</v>
      </c>
      <c r="N1120" s="43">
        <f t="shared" si="132"/>
        <v>3.3972604585725819E-3</v>
      </c>
      <c r="O1120" s="43">
        <f t="shared" si="133"/>
        <v>6.077894523051075E-3</v>
      </c>
      <c r="P1120" s="43">
        <f t="shared" si="134"/>
        <v>0.30379954284665855</v>
      </c>
      <c r="Q1120" s="37">
        <f t="shared" si="135"/>
        <v>0.54351487031669909</v>
      </c>
      <c r="R1120" s="37">
        <f t="shared" si="137"/>
        <v>-3.6120481825394624E-3</v>
      </c>
      <c r="S1120" s="44" t="s">
        <v>1394</v>
      </c>
      <c r="T1120" s="45">
        <v>2.6835737000000002</v>
      </c>
      <c r="U1120" s="45">
        <v>-1.2086497999999999E-2</v>
      </c>
      <c r="V1120" s="45">
        <v>1.5193488999999999E-2</v>
      </c>
      <c r="W1120" s="45">
        <v>6.4847986999999998E-4</v>
      </c>
      <c r="X1120" s="45">
        <v>-5.2423892999999999E-5</v>
      </c>
      <c r="Y1120" s="45">
        <v>2.8301451999999999E-6</v>
      </c>
      <c r="Z1120" s="36">
        <v>3.76</v>
      </c>
      <c r="AA1120" s="38">
        <v>645</v>
      </c>
      <c r="AB1120" s="38"/>
      <c r="AC1120" s="49" t="s">
        <v>506</v>
      </c>
      <c r="AD1120" s="49" t="s">
        <v>506</v>
      </c>
      <c r="AE1120" s="48"/>
    </row>
    <row r="1121" spans="1:31" ht="15" thickBot="1">
      <c r="A1121" s="34">
        <v>1119</v>
      </c>
      <c r="B1121" s="34" t="s">
        <v>1026</v>
      </c>
      <c r="C1121" s="41" t="s">
        <v>1358</v>
      </c>
      <c r="D1121" s="34" t="s">
        <v>976</v>
      </c>
      <c r="E1121" s="80">
        <f t="shared" si="130"/>
        <v>1.7130030969356027</v>
      </c>
      <c r="F1121" s="35">
        <f t="shared" si="136"/>
        <v>53.903652025427519</v>
      </c>
      <c r="G1121" s="42" cm="1">
        <f t="array" ref="G112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53.668313020742481</v>
      </c>
      <c r="H1121" s="81" cm="1">
        <f t="array" ref="H11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1.7089866204657542</v>
      </c>
      <c r="I1121" s="81" cm="1">
        <f t="array" ref="I11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1.7130030969356027</v>
      </c>
      <c r="J1121" s="81" cm="1">
        <f t="array" ref="J11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1.7161553155617388</v>
      </c>
      <c r="K1121" s="81" cm="1">
        <f t="array" ref="K11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1.722213982066398</v>
      </c>
      <c r="L1121" s="81" cm="1">
        <f t="array" ref="L112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1.7294389917364055</v>
      </c>
      <c r="M1121" s="37">
        <f t="shared" si="131"/>
        <v>1.322736160064375E-2</v>
      </c>
      <c r="N1121" s="43">
        <f t="shared" si="132"/>
        <v>4.0164764698484845E-3</v>
      </c>
      <c r="O1121" s="43">
        <f t="shared" si="133"/>
        <v>7.2250096700074984E-3</v>
      </c>
      <c r="P1121" s="43">
        <f t="shared" si="134"/>
        <v>0.30364910184756805</v>
      </c>
      <c r="Q1121" s="37">
        <f t="shared" si="135"/>
        <v>0.54621699233321563</v>
      </c>
      <c r="R1121" s="37">
        <f t="shared" si="137"/>
        <v>-7.9942239396050274E-3</v>
      </c>
      <c r="S1121" s="44" t="s">
        <v>1394</v>
      </c>
      <c r="T1121" s="45">
        <v>2.8797142</v>
      </c>
      <c r="U1121" s="45">
        <v>-1.5009517999999999E-2</v>
      </c>
      <c r="V1121" s="45">
        <v>1.9337819999999999E-2</v>
      </c>
      <c r="W1121" s="45">
        <v>4.8379963000000001E-4</v>
      </c>
      <c r="X1121" s="45">
        <v>-1.1367908E-5</v>
      </c>
      <c r="Y1121" s="45">
        <v>7.0484274999999997E-7</v>
      </c>
      <c r="Z1121" s="36">
        <v>3.79</v>
      </c>
      <c r="AA1121" s="38">
        <v>660</v>
      </c>
      <c r="AB1121" s="38"/>
      <c r="AC1121" s="49" t="s">
        <v>506</v>
      </c>
      <c r="AD1121" s="49" t="s">
        <v>506</v>
      </c>
      <c r="AE1121" s="48"/>
    </row>
    <row r="1122" spans="1:31" ht="15" thickBot="1">
      <c r="A1122" s="34">
        <v>1120</v>
      </c>
      <c r="B1122" s="34" t="s">
        <v>1026</v>
      </c>
      <c r="C1122" s="41" t="s">
        <v>1358</v>
      </c>
      <c r="D1122" s="34" t="s">
        <v>977</v>
      </c>
      <c r="E1122" s="80">
        <f t="shared" si="130"/>
        <v>1.6910012571421527</v>
      </c>
      <c r="F1122" s="35">
        <f t="shared" si="136"/>
        <v>54.760939384469324</v>
      </c>
      <c r="G1122" s="42" cm="1">
        <f t="array" ref="G112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54.496353908757968</v>
      </c>
      <c r="H1122" s="81" cm="1">
        <f t="array" ref="H11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1.6871814806201131</v>
      </c>
      <c r="I1122" s="81" cm="1">
        <f t="array" ref="I11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1.6910012571421527</v>
      </c>
      <c r="J1122" s="81" cm="1">
        <f t="array" ref="J11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1.6940089246046901</v>
      </c>
      <c r="K1122" s="81" cm="1">
        <f t="array" ref="K11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1.6997999868931835</v>
      </c>
      <c r="L1122" s="81" cm="1">
        <f t="array" ref="L112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1.7067108552362253</v>
      </c>
      <c r="M1122" s="37">
        <f t="shared" si="131"/>
        <v>1.2618506273070373E-2</v>
      </c>
      <c r="N1122" s="43">
        <f t="shared" si="132"/>
        <v>3.8197765220395752E-3</v>
      </c>
      <c r="O1122" s="43">
        <f t="shared" si="133"/>
        <v>6.9108683430418871E-3</v>
      </c>
      <c r="P1122" s="43">
        <f t="shared" si="134"/>
        <v>0.30271225764585968</v>
      </c>
      <c r="Q1122" s="37">
        <f t="shared" si="135"/>
        <v>0.54767721261831359</v>
      </c>
      <c r="R1122" s="37">
        <f t="shared" si="137"/>
        <v>-5.1427859726034253E-3</v>
      </c>
      <c r="S1122" s="44" t="s">
        <v>1394</v>
      </c>
      <c r="T1122" s="45">
        <v>2.8065085999999999</v>
      </c>
      <c r="U1122" s="45">
        <v>-1.2084694E-2</v>
      </c>
      <c r="V1122" s="45">
        <v>1.8509722999999999E-2</v>
      </c>
      <c r="W1122" s="45">
        <v>4.5689652000000002E-4</v>
      </c>
      <c r="X1122" s="45">
        <v>-1.5275984E-5</v>
      </c>
      <c r="Y1122" s="45">
        <v>1.0018509000000001E-6</v>
      </c>
      <c r="Z1122" s="36">
        <v>4.0599999999999996</v>
      </c>
      <c r="AA1122" s="38">
        <v>651</v>
      </c>
      <c r="AB1122" s="38"/>
      <c r="AC1122" s="49" t="s">
        <v>506</v>
      </c>
      <c r="AD1122" s="49" t="s">
        <v>506</v>
      </c>
      <c r="AE1122" s="48"/>
    </row>
    <row r="1123" spans="1:31" ht="15" thickBot="1">
      <c r="A1123" s="34">
        <v>1121</v>
      </c>
      <c r="B1123" s="34" t="s">
        <v>1026</v>
      </c>
      <c r="C1123" s="41" t="s">
        <v>1358</v>
      </c>
      <c r="D1123" s="34" t="s">
        <v>978</v>
      </c>
      <c r="E1123" s="80">
        <f t="shared" si="130"/>
        <v>1.7199998728308012</v>
      </c>
      <c r="F1123" s="35">
        <f t="shared" si="136"/>
        <v>50.303811920812663</v>
      </c>
      <c r="G1123" s="42" cm="1">
        <f t="array" ref="G112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50.034040803372221</v>
      </c>
      <c r="H1123" s="81" cm="1">
        <f t="array" ref="H11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1.7156947995628549</v>
      </c>
      <c r="I1123" s="81" cm="1">
        <f t="array" ref="I11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1.7199998728308012</v>
      </c>
      <c r="J1123" s="81" cm="1">
        <f t="array" ref="J11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1.7234085476368874</v>
      </c>
      <c r="K1123" s="81" cm="1">
        <f t="array" ref="K11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1.7300078276483648</v>
      </c>
      <c r="L1123" s="81" cm="1">
        <f t="array" ref="L112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1.7379321789071607</v>
      </c>
      <c r="M1123" s="37">
        <f t="shared" si="131"/>
        <v>1.4313028085509938E-2</v>
      </c>
      <c r="N1123" s="43">
        <f t="shared" si="132"/>
        <v>4.3050732679463799E-3</v>
      </c>
      <c r="O1123" s="43">
        <f t="shared" si="133"/>
        <v>7.9243512587958698E-3</v>
      </c>
      <c r="P1123" s="43">
        <f t="shared" si="134"/>
        <v>0.30078004753618148</v>
      </c>
      <c r="Q1123" s="37">
        <f t="shared" si="135"/>
        <v>0.5536460357272851</v>
      </c>
      <c r="R1123" s="37">
        <f t="shared" si="137"/>
        <v>-6.4070504305219211E-3</v>
      </c>
      <c r="S1123" s="44" t="s">
        <v>1394</v>
      </c>
      <c r="T1123" s="45">
        <v>2.8960746999999998</v>
      </c>
      <c r="U1123" s="45">
        <v>-1.1713123000000001E-2</v>
      </c>
      <c r="V1123" s="45">
        <v>2.1599253999999998E-2</v>
      </c>
      <c r="W1123" s="45">
        <v>4.3811038000000002E-4</v>
      </c>
      <c r="X1123" s="45">
        <v>5.7529030000000003E-6</v>
      </c>
      <c r="Y1123" s="45">
        <v>-1.7364156999999999E-7</v>
      </c>
      <c r="Z1123" s="36">
        <v>4.08</v>
      </c>
      <c r="AA1123" s="38">
        <v>657</v>
      </c>
      <c r="AB1123" s="38"/>
      <c r="AC1123" s="49" t="s">
        <v>506</v>
      </c>
      <c r="AD1123" s="49" t="s">
        <v>506</v>
      </c>
      <c r="AE1123" s="48"/>
    </row>
    <row r="1124" spans="1:31" ht="15" thickBot="1">
      <c r="A1124" s="34">
        <v>1122</v>
      </c>
      <c r="B1124" s="34" t="s">
        <v>1026</v>
      </c>
      <c r="C1124" s="41" t="s">
        <v>1358</v>
      </c>
      <c r="D1124" s="34" t="s">
        <v>979</v>
      </c>
      <c r="E1124" s="80">
        <f t="shared" si="130"/>
        <v>1.6583016645585869</v>
      </c>
      <c r="F1124" s="35">
        <f t="shared" si="136"/>
        <v>57.28574428294889</v>
      </c>
      <c r="G1124" s="42" cm="1">
        <f t="array" ref="G112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57.020799178724481</v>
      </c>
      <c r="H1124" s="81" cm="1">
        <f t="array" ref="H11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1.6548134097590148</v>
      </c>
      <c r="I1124" s="81" cm="1">
        <f t="array" ref="I11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1.6583016645585869</v>
      </c>
      <c r="J1124" s="81" cm="1">
        <f t="array" ref="J11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1.6610417342276205</v>
      </c>
      <c r="K1124" s="81" cm="1">
        <f t="array" ref="K11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1.6663049539956938</v>
      </c>
      <c r="L1124" s="81" cm="1">
        <f t="array" ref="L112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1.6725686238005606</v>
      </c>
      <c r="M1124" s="37">
        <f t="shared" si="131"/>
        <v>1.1491544236678974E-2</v>
      </c>
      <c r="N1124" s="43">
        <f t="shared" si="132"/>
        <v>3.4882547995720437E-3</v>
      </c>
      <c r="O1124" s="43">
        <f t="shared" si="133"/>
        <v>6.2636698048668116E-3</v>
      </c>
      <c r="P1124" s="43">
        <f t="shared" si="134"/>
        <v>0.30354969947712962</v>
      </c>
      <c r="Q1124" s="37">
        <f t="shared" si="135"/>
        <v>0.54506771899935669</v>
      </c>
      <c r="R1124" s="37">
        <f t="shared" si="137"/>
        <v>-3.6549915806329825E-3</v>
      </c>
      <c r="S1124" s="44" t="s">
        <v>1394</v>
      </c>
      <c r="T1124" s="45">
        <v>2.703071</v>
      </c>
      <c r="U1124" s="45">
        <v>-1.1555097E-2</v>
      </c>
      <c r="V1124" s="45">
        <v>1.6440907000000001E-2</v>
      </c>
      <c r="W1124" s="45">
        <v>4.4044678000000002E-4</v>
      </c>
      <c r="X1124" s="45">
        <v>-2.1866960999999999E-5</v>
      </c>
      <c r="Y1124" s="45">
        <v>1.3531002000000001E-6</v>
      </c>
      <c r="Z1124" s="36">
        <v>3.85</v>
      </c>
      <c r="AA1124" s="38">
        <v>639</v>
      </c>
      <c r="AB1124" s="38"/>
      <c r="AC1124" s="49" t="s">
        <v>506</v>
      </c>
      <c r="AD1124" s="49" t="s">
        <v>506</v>
      </c>
      <c r="AE1124" s="48"/>
    </row>
    <row r="1125" spans="1:31" ht="15" thickBot="1">
      <c r="A1125" s="34">
        <v>1123</v>
      </c>
      <c r="B1125" s="34" t="s">
        <v>1026</v>
      </c>
      <c r="C1125" s="41" t="s">
        <v>1358</v>
      </c>
      <c r="D1125" s="34" t="s">
        <v>980</v>
      </c>
      <c r="E1125" s="80">
        <f t="shared" si="130"/>
        <v>1.6779049986098644</v>
      </c>
      <c r="F1125" s="35">
        <f t="shared" si="136"/>
        <v>55.48041642179458</v>
      </c>
      <c r="G1125" s="42" cm="1">
        <f t="array" ref="G112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55.209888663492158</v>
      </c>
      <c r="H1125" s="81" cm="1">
        <f t="array" ref="H11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1.6742058153428536</v>
      </c>
      <c r="I1125" s="81" cm="1">
        <f t="array" ref="I11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1.6779049986098644</v>
      </c>
      <c r="J1125" s="81" cm="1">
        <f t="array" ref="J11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1.6808170253155017</v>
      </c>
      <c r="K1125" s="81" cm="1">
        <f t="array" ref="K11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1.6864246313202975</v>
      </c>
      <c r="L1125" s="81" cm="1">
        <f t="array" ref="L112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1.6931160792854438</v>
      </c>
      <c r="M1125" s="37">
        <f t="shared" si="131"/>
        <v>1.2218815977443898E-2</v>
      </c>
      <c r="N1125" s="43">
        <f t="shared" si="132"/>
        <v>3.6991832670107971E-3</v>
      </c>
      <c r="O1125" s="43">
        <f t="shared" si="133"/>
        <v>6.6914479651463132E-3</v>
      </c>
      <c r="P1125" s="43">
        <f t="shared" si="134"/>
        <v>0.30274482190742052</v>
      </c>
      <c r="Q1125" s="37">
        <f t="shared" si="135"/>
        <v>0.54763472807011893</v>
      </c>
      <c r="R1125" s="37">
        <f t="shared" si="137"/>
        <v>-4.0176933187158204E-3</v>
      </c>
      <c r="S1125" s="44" t="s">
        <v>1394</v>
      </c>
      <c r="T1125" s="45">
        <v>2.7644388000000002</v>
      </c>
      <c r="U1125" s="45">
        <v>-1.1785176E-2</v>
      </c>
      <c r="V1125" s="45">
        <v>1.7957173E-2</v>
      </c>
      <c r="W1125" s="45">
        <v>3.4733133999999998E-4</v>
      </c>
      <c r="X1125" s="45">
        <v>3.6439617000000002E-6</v>
      </c>
      <c r="Y1125" s="45">
        <v>-3.2863780000000002E-7</v>
      </c>
      <c r="Z1125" s="36">
        <v>3.98</v>
      </c>
      <c r="AA1125" s="38">
        <v>653</v>
      </c>
      <c r="AB1125" s="38"/>
      <c r="AC1125" s="49" t="s">
        <v>506</v>
      </c>
      <c r="AD1125" s="49" t="s">
        <v>506</v>
      </c>
      <c r="AE1125" s="48"/>
    </row>
    <row r="1126" spans="1:31" ht="15" thickBot="1">
      <c r="A1126" s="34">
        <v>1124</v>
      </c>
      <c r="B1126" s="34" t="s">
        <v>1026</v>
      </c>
      <c r="C1126" s="41" t="s">
        <v>1358</v>
      </c>
      <c r="D1126" s="34" t="s">
        <v>981</v>
      </c>
      <c r="E1126" s="80">
        <f t="shared" si="130"/>
        <v>1.6968001909402779</v>
      </c>
      <c r="F1126" s="35">
        <f t="shared" si="136"/>
        <v>55.657732020158562</v>
      </c>
      <c r="G1126" s="42" cm="1">
        <f t="array" ref="G112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55.419836656112615</v>
      </c>
      <c r="H1126" s="81" cm="1">
        <f t="array" ref="H11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1.6929936080006105</v>
      </c>
      <c r="I1126" s="81" cm="1">
        <f t="array" ref="I11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1.6968001909402779</v>
      </c>
      <c r="J1126" s="81" cm="1">
        <f t="array" ref="J11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1.6997856449255182</v>
      </c>
      <c r="K1126" s="81" cm="1">
        <f t="array" ref="K11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1.7055129860932698</v>
      </c>
      <c r="L1126" s="81" cm="1">
        <f t="array" ref="L112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1.712321703771206</v>
      </c>
      <c r="M1126" s="37">
        <f t="shared" si="131"/>
        <v>1.251937809265935E-2</v>
      </c>
      <c r="N1126" s="43">
        <f t="shared" si="132"/>
        <v>3.8065829396674022E-3</v>
      </c>
      <c r="O1126" s="43">
        <f t="shared" si="133"/>
        <v>6.8087176779361158E-3</v>
      </c>
      <c r="P1126" s="43">
        <f t="shared" si="134"/>
        <v>0.304055274271121</v>
      </c>
      <c r="Q1126" s="37">
        <f t="shared" si="135"/>
        <v>0.54385430550486846</v>
      </c>
      <c r="R1126" s="37">
        <f t="shared" si="137"/>
        <v>-7.5103656994809365E-3</v>
      </c>
      <c r="S1126" s="44" t="s">
        <v>1394</v>
      </c>
      <c r="T1126" s="45">
        <v>2.8277206000000001</v>
      </c>
      <c r="U1126" s="45">
        <v>-1.3838479000000001E-2</v>
      </c>
      <c r="V1126" s="45">
        <v>1.7984699999999999E-2</v>
      </c>
      <c r="W1126" s="45">
        <v>5.7777884000000004E-4</v>
      </c>
      <c r="X1126" s="45">
        <v>-3.7712827000000003E-5</v>
      </c>
      <c r="Y1126" s="45">
        <v>2.2935917999999998E-6</v>
      </c>
      <c r="Z1126" s="36">
        <v>3.64</v>
      </c>
      <c r="AA1126" s="38">
        <v>668</v>
      </c>
      <c r="AB1126" s="38"/>
      <c r="AC1126" s="49" t="s">
        <v>506</v>
      </c>
      <c r="AD1126" s="49" t="s">
        <v>506</v>
      </c>
      <c r="AE1126" s="48"/>
    </row>
    <row r="1127" spans="1:31" ht="15" thickBot="1">
      <c r="A1127" s="34">
        <v>1125</v>
      </c>
      <c r="B1127" s="34" t="s">
        <v>1026</v>
      </c>
      <c r="C1127" s="41" t="s">
        <v>1358</v>
      </c>
      <c r="D1127" s="34" t="s">
        <v>982</v>
      </c>
      <c r="E1127" s="80">
        <f t="shared" si="130"/>
        <v>1.7291627391543749</v>
      </c>
      <c r="F1127" s="35">
        <f t="shared" si="136"/>
        <v>54.65939354730142</v>
      </c>
      <c r="G1127" s="42" cm="1">
        <f t="array" ref="G112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54.438462015944332</v>
      </c>
      <c r="H1127" s="81" cm="1">
        <f t="array" ref="H11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1.7251012498897393</v>
      </c>
      <c r="I1127" s="81" cm="1">
        <f t="array" ref="I11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1.7291627391543749</v>
      </c>
      <c r="J1127" s="81" cm="1">
        <f t="array" ref="J11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1.7323436365301252</v>
      </c>
      <c r="K1127" s="81" cm="1">
        <f t="array" ref="K11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1.7384413675133161</v>
      </c>
      <c r="L1127" s="81" cm="1">
        <f t="array" ref="L112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1.7456921468187532</v>
      </c>
      <c r="M1127" s="37">
        <f t="shared" si="131"/>
        <v>1.3340117623576786E-2</v>
      </c>
      <c r="N1127" s="43">
        <f t="shared" si="132"/>
        <v>4.0614892646355649E-3</v>
      </c>
      <c r="O1127" s="43">
        <f t="shared" si="133"/>
        <v>7.2507793054370495E-3</v>
      </c>
      <c r="P1127" s="43">
        <f t="shared" si="134"/>
        <v>0.30445678061019887</v>
      </c>
      <c r="Q1127" s="37">
        <f t="shared" si="135"/>
        <v>0.54353188705190381</v>
      </c>
      <c r="R1127" s="37">
        <f t="shared" si="137"/>
        <v>-9.4529015160281782E-3</v>
      </c>
      <c r="S1127" s="44" t="s">
        <v>1394</v>
      </c>
      <c r="T1127" s="45">
        <v>2.9333795999999999</v>
      </c>
      <c r="U1127" s="45">
        <v>-1.4920134E-2</v>
      </c>
      <c r="V1127" s="45">
        <v>2.0207432000000001E-2</v>
      </c>
      <c r="W1127" s="45">
        <v>4.1238589E-4</v>
      </c>
      <c r="X1127" s="45">
        <v>-1.2303319999999999E-5</v>
      </c>
      <c r="Y1127" s="45">
        <v>1.1436994000000001E-6</v>
      </c>
      <c r="Z1127" s="36">
        <v>4.08</v>
      </c>
      <c r="AA1127" s="38">
        <v>682</v>
      </c>
      <c r="AB1127" s="38"/>
      <c r="AC1127" s="49" t="s">
        <v>506</v>
      </c>
      <c r="AD1127" s="49" t="s">
        <v>506</v>
      </c>
      <c r="AE1127" s="48"/>
    </row>
    <row r="1128" spans="1:31" ht="15" thickBot="1">
      <c r="A1128" s="34">
        <v>1126</v>
      </c>
      <c r="B1128" s="34" t="s">
        <v>1026</v>
      </c>
      <c r="C1128" s="41" t="s">
        <v>1358</v>
      </c>
      <c r="D1128" s="34" t="s">
        <v>983</v>
      </c>
      <c r="E1128" s="80">
        <f t="shared" si="130"/>
        <v>1.6405045374939031</v>
      </c>
      <c r="F1128" s="35">
        <f t="shared" si="136"/>
        <v>60.197886221865318</v>
      </c>
      <c r="G1128" s="42" cm="1">
        <f t="array" ref="G112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59.956727158924245</v>
      </c>
      <c r="H1128" s="81" cm="1">
        <f t="array" ref="H11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1.6372550977617044</v>
      </c>
      <c r="I1128" s="81" cm="1">
        <f t="array" ref="I11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1.6405045374939031</v>
      </c>
      <c r="J1128" s="81" cm="1">
        <f t="array" ref="J11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1.6430417214490713</v>
      </c>
      <c r="K1128" s="81" cm="1">
        <f t="array" ref="K11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1.6478950816165072</v>
      </c>
      <c r="L1128" s="81" cm="1">
        <f t="array" ref="L112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1.6536520126606311</v>
      </c>
      <c r="M1128" s="37">
        <f t="shared" si="131"/>
        <v>1.0639983854802804E-2</v>
      </c>
      <c r="N1128" s="43">
        <f t="shared" si="132"/>
        <v>3.2494397321987112E-3</v>
      </c>
      <c r="O1128" s="43">
        <f t="shared" si="133"/>
        <v>5.7569310441238919E-3</v>
      </c>
      <c r="P1128" s="43">
        <f t="shared" si="134"/>
        <v>0.30539893448540717</v>
      </c>
      <c r="Q1128" s="37">
        <f t="shared" si="135"/>
        <v>0.54106576877231438</v>
      </c>
      <c r="R1128" s="37">
        <f t="shared" si="137"/>
        <v>-2.9310779361236827E-3</v>
      </c>
      <c r="S1128" s="44" t="s">
        <v>1394</v>
      </c>
      <c r="T1128" s="45">
        <v>2.6498455999999999</v>
      </c>
      <c r="U1128" s="45">
        <v>-1.3078948999999999E-2</v>
      </c>
      <c r="V1128" s="45">
        <v>1.4887078999999999E-2</v>
      </c>
      <c r="W1128" s="45">
        <v>3.621869E-4</v>
      </c>
      <c r="X1128" s="45">
        <v>-1.1506273E-5</v>
      </c>
      <c r="Y1128" s="45">
        <v>6.1300944999999997E-7</v>
      </c>
      <c r="Z1128" s="36">
        <v>3.66</v>
      </c>
      <c r="AA1128" s="38">
        <v>639</v>
      </c>
      <c r="AB1128" s="38"/>
      <c r="AC1128" s="49" t="s">
        <v>506</v>
      </c>
      <c r="AD1128" s="49" t="s">
        <v>506</v>
      </c>
      <c r="AE1128" s="48"/>
    </row>
    <row r="1129" spans="1:31" ht="15" thickBot="1">
      <c r="A1129" s="34">
        <v>1127</v>
      </c>
      <c r="B1129" s="34" t="s">
        <v>1026</v>
      </c>
      <c r="C1129" s="41" t="s">
        <v>1358</v>
      </c>
      <c r="D1129" s="34" t="s">
        <v>984</v>
      </c>
      <c r="E1129" s="80">
        <f t="shared" si="130"/>
        <v>1.6699939620151976</v>
      </c>
      <c r="F1129" s="35">
        <f t="shared" si="136"/>
        <v>51.721182574006733</v>
      </c>
      <c r="G1129" s="42" cm="1">
        <f t="array" ref="G112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51.442639560672582</v>
      </c>
      <c r="H1129" s="81" cm="1">
        <f t="array" ref="H11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1.6660942955371199</v>
      </c>
      <c r="I1129" s="81" cm="1">
        <f t="array" ref="I11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1.6699939620151976</v>
      </c>
      <c r="J1129" s="81" cm="1">
        <f t="array" ref="J11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1.6730791457930629</v>
      </c>
      <c r="K1129" s="81" cm="1">
        <f t="array" ref="K11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1.6790482522850445</v>
      </c>
      <c r="L1129" s="81" cm="1">
        <f t="array" ref="L112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1.6862200544313071</v>
      </c>
      <c r="M1129" s="37">
        <f t="shared" si="131"/>
        <v>1.2953956747924655E-2</v>
      </c>
      <c r="N1129" s="43">
        <f t="shared" si="132"/>
        <v>3.8996664780777124E-3</v>
      </c>
      <c r="O1129" s="43">
        <f t="shared" si="133"/>
        <v>7.1718021462625625E-3</v>
      </c>
      <c r="P1129" s="43">
        <f t="shared" si="134"/>
        <v>0.30104056652053246</v>
      </c>
      <c r="Q1129" s="37">
        <f t="shared" si="135"/>
        <v>0.55363795678965444</v>
      </c>
      <c r="R1129" s="37">
        <f t="shared" si="137"/>
        <v>-4.1150008362927926E-3</v>
      </c>
      <c r="S1129" s="44" t="s">
        <v>1394</v>
      </c>
      <c r="T1129" s="45">
        <v>2.735741</v>
      </c>
      <c r="U1129" s="45">
        <v>-1.1476747000000001E-2</v>
      </c>
      <c r="V1129" s="45">
        <v>1.7975035E-2</v>
      </c>
      <c r="W1129" s="45">
        <v>7.2020288000000003E-4</v>
      </c>
      <c r="X1129" s="45">
        <v>-5.1933951E-5</v>
      </c>
      <c r="Y1129" s="45">
        <v>3.5980086999999999E-6</v>
      </c>
      <c r="Z1129" s="36">
        <v>3.78</v>
      </c>
      <c r="AA1129" s="38">
        <v>634</v>
      </c>
      <c r="AB1129" s="38"/>
      <c r="AC1129" s="49" t="s">
        <v>506</v>
      </c>
      <c r="AD1129" s="49" t="s">
        <v>506</v>
      </c>
      <c r="AE1129" s="48"/>
    </row>
    <row r="1130" spans="1:31" ht="15" thickBot="1">
      <c r="A1130" s="34">
        <v>1128</v>
      </c>
      <c r="B1130" s="34" t="s">
        <v>1026</v>
      </c>
      <c r="C1130" s="41" t="s">
        <v>1358</v>
      </c>
      <c r="D1130" s="34" t="s">
        <v>985</v>
      </c>
      <c r="E1130" s="80">
        <f t="shared" si="130"/>
        <v>1.7410005519538303</v>
      </c>
      <c r="F1130" s="35">
        <f t="shared" si="136"/>
        <v>52.67395451095696</v>
      </c>
      <c r="G1130" s="42" cm="1">
        <f t="array" ref="G113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52.444520293403009</v>
      </c>
      <c r="H1130" s="81" cm="1">
        <f t="array" ref="H11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1.7367326789484119</v>
      </c>
      <c r="I1130" s="81" cm="1">
        <f t="array" ref="I11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1.7410005519538303</v>
      </c>
      <c r="J1130" s="81" cm="1">
        <f t="array" ref="J11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1.7443543820159533</v>
      </c>
      <c r="K1130" s="81" cm="1">
        <f t="array" ref="K11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1.7508003630407405</v>
      </c>
      <c r="L1130" s="81" cm="1">
        <f t="array" ref="L113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1.75848210847438</v>
      </c>
      <c r="M1130" s="37">
        <f t="shared" si="131"/>
        <v>1.4067684092328614E-2</v>
      </c>
      <c r="N1130" s="43">
        <f t="shared" si="132"/>
        <v>4.2678730054184211E-3</v>
      </c>
      <c r="O1130" s="43">
        <f t="shared" si="133"/>
        <v>7.6817454336395308E-3</v>
      </c>
      <c r="P1130" s="43">
        <f t="shared" si="134"/>
        <v>0.30338135100330954</v>
      </c>
      <c r="Q1130" s="37">
        <f t="shared" si="135"/>
        <v>0.54605615133400232</v>
      </c>
      <c r="R1130" s="37">
        <f t="shared" si="137"/>
        <v>-1.0150634927668323E-2</v>
      </c>
      <c r="S1130" s="44" t="s">
        <v>1394</v>
      </c>
      <c r="T1130" s="45">
        <v>2.9713549000000001</v>
      </c>
      <c r="U1130" s="45">
        <v>-1.5047148999999999E-2</v>
      </c>
      <c r="V1130" s="45">
        <v>2.0748381E-2</v>
      </c>
      <c r="W1130" s="45">
        <v>6.8239286999999997E-4</v>
      </c>
      <c r="X1130" s="45">
        <v>-4.5897243999999999E-5</v>
      </c>
      <c r="Y1130" s="45">
        <v>3.0151478999999998E-6</v>
      </c>
      <c r="Z1130" s="36">
        <v>4.3099999999999996</v>
      </c>
      <c r="AA1130" s="38">
        <v>680</v>
      </c>
      <c r="AB1130" s="38"/>
      <c r="AC1130" s="49" t="s">
        <v>506</v>
      </c>
      <c r="AD1130" s="49" t="s">
        <v>506</v>
      </c>
      <c r="AE1130" s="48"/>
    </row>
    <row r="1131" spans="1:31" ht="15" thickBot="1">
      <c r="A1131" s="34">
        <v>1129</v>
      </c>
      <c r="B1131" s="34" t="s">
        <v>1026</v>
      </c>
      <c r="C1131" s="41" t="s">
        <v>1358</v>
      </c>
      <c r="D1131" s="34" t="s">
        <v>986</v>
      </c>
      <c r="E1131" s="80">
        <f t="shared" si="130"/>
        <v>1.7440036301791242</v>
      </c>
      <c r="F1131" s="35">
        <f t="shared" si="136"/>
        <v>44.844383937522409</v>
      </c>
      <c r="G1131" s="42" cm="1">
        <f t="array" ref="G113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44.570020351089553</v>
      </c>
      <c r="H1131" s="81" cm="1">
        <f t="array" ref="H11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1.7390567668839918</v>
      </c>
      <c r="I1131" s="81" cm="1">
        <f t="array" ref="I11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1.7440036301791242</v>
      </c>
      <c r="J1131" s="81" cm="1">
        <f t="array" ref="J11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1.7479477389807103</v>
      </c>
      <c r="K1131" s="81" cm="1">
        <f t="array" ref="K11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1.7556475540651844</v>
      </c>
      <c r="L1131" s="81" cm="1">
        <f t="array" ref="L113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1.7650196712149802</v>
      </c>
      <c r="M1131" s="37">
        <f t="shared" si="131"/>
        <v>1.6590787181192557E-2</v>
      </c>
      <c r="N1131" s="43">
        <f t="shared" si="132"/>
        <v>4.9468632951323865E-3</v>
      </c>
      <c r="O1131" s="43">
        <f t="shared" si="133"/>
        <v>9.3721171497958E-3</v>
      </c>
      <c r="P1131" s="43">
        <f t="shared" si="134"/>
        <v>0.29816929366318368</v>
      </c>
      <c r="Q1131" s="37">
        <f t="shared" si="135"/>
        <v>0.56489888318380121</v>
      </c>
      <c r="R1131" s="37">
        <f t="shared" si="137"/>
        <v>-4.0138375683171912E-3</v>
      </c>
      <c r="S1131" s="44" t="s">
        <v>1394</v>
      </c>
      <c r="T1131" s="45">
        <v>2.9692349999999998</v>
      </c>
      <c r="U1131" s="45">
        <v>-1.236657E-2</v>
      </c>
      <c r="V1131" s="45">
        <v>2.4178838000000001E-2</v>
      </c>
      <c r="W1131" s="45">
        <v>8.7063153000000002E-4</v>
      </c>
      <c r="X1131" s="45">
        <v>-4.4196612000000003E-5</v>
      </c>
      <c r="Y1131" s="45">
        <v>4.4742986999999996E-6</v>
      </c>
      <c r="Z1131" s="36">
        <v>4.01</v>
      </c>
      <c r="AA1131" s="38">
        <v>648</v>
      </c>
      <c r="AB1131" s="38"/>
      <c r="AC1131" s="49" t="s">
        <v>506</v>
      </c>
      <c r="AD1131" s="49" t="s">
        <v>506</v>
      </c>
      <c r="AE1131" s="48"/>
    </row>
    <row r="1132" spans="1:31" ht="15" thickBot="1">
      <c r="A1132" s="34">
        <v>1130</v>
      </c>
      <c r="B1132" s="34" t="s">
        <v>1026</v>
      </c>
      <c r="C1132" s="41" t="s">
        <v>1358</v>
      </c>
      <c r="D1132" s="34" t="s">
        <v>987</v>
      </c>
      <c r="E1132" s="80">
        <f t="shared" si="130"/>
        <v>1.7000079004823148</v>
      </c>
      <c r="F1132" s="35">
        <f t="shared" si="136"/>
        <v>48.010881456016072</v>
      </c>
      <c r="G1132" s="42" cm="1">
        <f t="array" ref="G113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47.723707785735606</v>
      </c>
      <c r="H1132" s="81" cm="1">
        <f t="array" ref="H11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1.6956473442040525</v>
      </c>
      <c r="I1132" s="81" cm="1">
        <f t="array" ref="I11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1.7000079004823148</v>
      </c>
      <c r="J1132" s="81" cm="1">
        <f t="array" ref="J11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1.7034773305625832</v>
      </c>
      <c r="K1132" s="81" cm="1">
        <f t="array" ref="K11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1.7102275368448314</v>
      </c>
      <c r="L1132" s="81" cm="1">
        <f t="array" ref="L113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1.7183962693772099</v>
      </c>
      <c r="M1132" s="37">
        <f t="shared" si="131"/>
        <v>1.4580192640778922E-2</v>
      </c>
      <c r="N1132" s="43">
        <f t="shared" si="132"/>
        <v>4.360556278262262E-3</v>
      </c>
      <c r="O1132" s="43">
        <f t="shared" si="133"/>
        <v>8.1687325323784865E-3</v>
      </c>
      <c r="P1132" s="43">
        <f t="shared" si="134"/>
        <v>0.29907398247032396</v>
      </c>
      <c r="Q1132" s="37">
        <f t="shared" si="135"/>
        <v>0.56026231845055274</v>
      </c>
      <c r="R1132" s="37">
        <f t="shared" si="137"/>
        <v>-3.5117667075963421E-3</v>
      </c>
      <c r="S1132" s="44" t="s">
        <v>1394</v>
      </c>
      <c r="T1132" s="45">
        <v>2.8270810000000002</v>
      </c>
      <c r="U1132" s="45">
        <v>-1.0220727000000001E-2</v>
      </c>
      <c r="V1132" s="45">
        <v>2.1224097000000001E-2</v>
      </c>
      <c r="W1132" s="45">
        <v>6.6539560000000004E-4</v>
      </c>
      <c r="X1132" s="45">
        <v>-3.3316538999999999E-5</v>
      </c>
      <c r="Y1132" s="45">
        <v>3.1642900000000001E-6</v>
      </c>
      <c r="Z1132" s="36">
        <v>4.0199999999999996</v>
      </c>
      <c r="AA1132" s="38">
        <v>639</v>
      </c>
      <c r="AB1132" s="38"/>
      <c r="AC1132" s="49" t="s">
        <v>506</v>
      </c>
      <c r="AD1132" s="49" t="s">
        <v>506</v>
      </c>
      <c r="AE1132" s="48"/>
    </row>
    <row r="1133" spans="1:31" ht="15" thickBot="1">
      <c r="A1133" s="34">
        <v>1131</v>
      </c>
      <c r="B1133" s="34" t="s">
        <v>1026</v>
      </c>
      <c r="C1133" s="41" t="s">
        <v>1358</v>
      </c>
      <c r="D1133" s="34" t="s">
        <v>988</v>
      </c>
      <c r="E1133" s="80">
        <f t="shared" si="130"/>
        <v>1.7429959249904807</v>
      </c>
      <c r="F1133" s="35">
        <f t="shared" si="136"/>
        <v>49.230996792145262</v>
      </c>
      <c r="G1133" s="42" cm="1">
        <f t="array" ref="G113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48.981901270147695</v>
      </c>
      <c r="H1133" s="81" cm="1">
        <f t="array" ref="H11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1.7384490367932104</v>
      </c>
      <c r="I1133" s="81" cm="1">
        <f t="array" ref="I11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1.7429959249904807</v>
      </c>
      <c r="J1133" s="81" cm="1">
        <f t="array" ref="J11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1.7465891478708888</v>
      </c>
      <c r="K1133" s="81" cm="1">
        <f t="array" ref="K11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1.7535410717590558</v>
      </c>
      <c r="L1133" s="81" cm="1">
        <f t="array" ref="L113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1.7618929902214149</v>
      </c>
      <c r="M1133" s="37">
        <f t="shared" si="131"/>
        <v>1.5092034965845436E-2</v>
      </c>
      <c r="N1133" s="43">
        <f t="shared" si="132"/>
        <v>4.5468881972703379E-3</v>
      </c>
      <c r="O1133" s="43">
        <f t="shared" si="133"/>
        <v>8.3519184623590537E-3</v>
      </c>
      <c r="P1133" s="43">
        <f t="shared" si="134"/>
        <v>0.30127734315222132</v>
      </c>
      <c r="Q1133" s="37">
        <f t="shared" si="135"/>
        <v>0.55339909304876111</v>
      </c>
      <c r="R1133" s="37">
        <f t="shared" si="137"/>
        <v>-8.3949722109469826E-3</v>
      </c>
      <c r="S1133" s="44" t="s">
        <v>1394</v>
      </c>
      <c r="T1133" s="45">
        <v>2.9746617999999998</v>
      </c>
      <c r="U1133" s="45">
        <v>-1.5490396E-2</v>
      </c>
      <c r="V1133" s="45">
        <v>2.1676376000000001E-2</v>
      </c>
      <c r="W1133" s="45">
        <v>7.9079469999999996E-4</v>
      </c>
      <c r="X1133" s="45">
        <v>-3.5069225999999997E-5</v>
      </c>
      <c r="Y1133" s="45">
        <v>2.1235400999999999E-6</v>
      </c>
      <c r="Z1133" s="36">
        <v>4.05</v>
      </c>
      <c r="AA1133" s="38">
        <v>665</v>
      </c>
      <c r="AB1133" s="38"/>
      <c r="AC1133" s="49" t="s">
        <v>506</v>
      </c>
      <c r="AD1133" s="49" t="s">
        <v>506</v>
      </c>
      <c r="AE1133" s="48"/>
    </row>
    <row r="1134" spans="1:31" ht="15" thickBot="1">
      <c r="A1134" s="34">
        <v>1132</v>
      </c>
      <c r="B1134" s="34" t="s">
        <v>1026</v>
      </c>
      <c r="C1134" s="41" t="s">
        <v>1358</v>
      </c>
      <c r="D1134" s="34" t="s">
        <v>989</v>
      </c>
      <c r="E1134" s="80">
        <f t="shared" si="130"/>
        <v>1.7201381008815657</v>
      </c>
      <c r="F1134" s="35">
        <f t="shared" si="136"/>
        <v>46.021413107207358</v>
      </c>
      <c r="G1134" s="42" cm="1">
        <f t="array" ref="G113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45.74230127297939</v>
      </c>
      <c r="H1134" s="81" cm="1">
        <f t="array" ref="H11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1.7154660961902686</v>
      </c>
      <c r="I1134" s="81" cm="1">
        <f t="array" ref="I11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1.7201381008815657</v>
      </c>
      <c r="J1134" s="81" cm="1">
        <f t="array" ref="J11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1.7238586467174917</v>
      </c>
      <c r="K1134" s="81" cm="1">
        <f t="array" ref="K11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1.7311139881662059</v>
      </c>
      <c r="L1134" s="81" cm="1">
        <f t="array" ref="L113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1.7399346459527745</v>
      </c>
      <c r="M1134" s="37">
        <f t="shared" si="131"/>
        <v>1.56478919759373E-2</v>
      </c>
      <c r="N1134" s="43">
        <f t="shared" si="132"/>
        <v>4.672004691297138E-3</v>
      </c>
      <c r="O1134" s="43">
        <f t="shared" si="133"/>
        <v>8.8206577865685976E-3</v>
      </c>
      <c r="P1134" s="43">
        <f t="shared" si="134"/>
        <v>0.29857086810680694</v>
      </c>
      <c r="Q1134" s="37">
        <f t="shared" si="135"/>
        <v>0.56369623461950347</v>
      </c>
      <c r="R1134" s="37">
        <f t="shared" si="137"/>
        <v>-3.3063870559036923E-3</v>
      </c>
      <c r="S1134" s="44" t="s">
        <v>1394</v>
      </c>
      <c r="T1134" s="45">
        <v>2.8917009</v>
      </c>
      <c r="U1134" s="45">
        <v>-1.1920903E-2</v>
      </c>
      <c r="V1134" s="45">
        <v>2.2558933E-2</v>
      </c>
      <c r="W1134" s="45">
        <v>7.9204231000000003E-4</v>
      </c>
      <c r="X1134" s="45">
        <v>-4.0820425999999997E-5</v>
      </c>
      <c r="Y1134" s="45">
        <v>4.1373045E-6</v>
      </c>
      <c r="Z1134" s="36">
        <v>3.88</v>
      </c>
      <c r="AA1134" s="38">
        <v>648</v>
      </c>
      <c r="AB1134" s="38"/>
      <c r="AC1134" s="49" t="s">
        <v>506</v>
      </c>
      <c r="AD1134" s="49" t="s">
        <v>506</v>
      </c>
      <c r="AE1134" s="48"/>
    </row>
    <row r="1135" spans="1:31" ht="15" thickBot="1">
      <c r="A1135" s="34">
        <v>1133</v>
      </c>
      <c r="B1135" s="34" t="s">
        <v>1026</v>
      </c>
      <c r="C1135" s="41" t="s">
        <v>1358</v>
      </c>
      <c r="D1135" s="34" t="s">
        <v>990</v>
      </c>
      <c r="E1135" s="80">
        <f t="shared" si="130"/>
        <v>1.7550004986022221</v>
      </c>
      <c r="F1135" s="35">
        <f t="shared" si="136"/>
        <v>52.360464312737172</v>
      </c>
      <c r="G1135" s="42" cm="1">
        <f t="array" ref="G113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52.127696786843963</v>
      </c>
      <c r="H1135" s="81" cm="1">
        <f t="array" ref="H11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1.7506286683684227</v>
      </c>
      <c r="I1135" s="81" cm="1">
        <f t="array" ref="I11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1.7550004986022221</v>
      </c>
      <c r="J1135" s="81" cm="1">
        <f t="array" ref="J11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1.7584370395707709</v>
      </c>
      <c r="K1135" s="81" cm="1">
        <f t="array" ref="K11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1.7650479541503969</v>
      </c>
      <c r="L1135" s="81" cm="1">
        <f t="array" ref="L113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1.7729407217639495</v>
      </c>
      <c r="M1135" s="37">
        <f t="shared" si="131"/>
        <v>1.4419285781974267E-2</v>
      </c>
      <c r="N1135" s="43">
        <f t="shared" si="132"/>
        <v>4.3718302337993897E-3</v>
      </c>
      <c r="O1135" s="43">
        <f t="shared" si="133"/>
        <v>7.8927676135525093E-3</v>
      </c>
      <c r="P1135" s="43">
        <f t="shared" si="134"/>
        <v>0.30319325796737245</v>
      </c>
      <c r="Q1135" s="37">
        <f t="shared" si="135"/>
        <v>0.54737576693426515</v>
      </c>
      <c r="R1135" s="37">
        <f t="shared" si="137"/>
        <v>-9.3397555198466709E-3</v>
      </c>
      <c r="S1135" s="44" t="s">
        <v>1394</v>
      </c>
      <c r="T1135" s="45">
        <v>3.0176028000000001</v>
      </c>
      <c r="U1135" s="45">
        <v>-1.5122389999999999E-2</v>
      </c>
      <c r="V1135" s="45">
        <v>2.1959513999999999E-2</v>
      </c>
      <c r="W1135" s="45">
        <v>5.2144528000000001E-4</v>
      </c>
      <c r="X1135" s="45">
        <v>-1.8693935E-5</v>
      </c>
      <c r="Y1135" s="45">
        <v>1.6369365E-6</v>
      </c>
      <c r="Z1135" s="36">
        <v>4.51</v>
      </c>
      <c r="AA1135" s="38">
        <v>693</v>
      </c>
      <c r="AB1135" s="38"/>
      <c r="AC1135" s="49" t="s">
        <v>506</v>
      </c>
      <c r="AD1135" s="49" t="s">
        <v>506</v>
      </c>
      <c r="AE1135" s="48"/>
    </row>
    <row r="1136" spans="1:31" ht="15" thickBot="1">
      <c r="A1136" s="34">
        <v>1134</v>
      </c>
      <c r="B1136" s="34" t="s">
        <v>1026</v>
      </c>
      <c r="C1136" s="41" t="s">
        <v>1358</v>
      </c>
      <c r="D1136" s="34" t="s">
        <v>991</v>
      </c>
      <c r="E1136" s="80">
        <f t="shared" si="130"/>
        <v>1.8061082640504083</v>
      </c>
      <c r="F1136" s="35">
        <f t="shared" si="136"/>
        <v>40.733945015618119</v>
      </c>
      <c r="G1136" s="42" cm="1">
        <f t="array" ref="G113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40.495418251494016</v>
      </c>
      <c r="H1136" s="81" cm="1">
        <f t="array" ref="H11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1.8002179240823997</v>
      </c>
      <c r="I1136" s="81" cm="1">
        <f t="array" ref="I11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1.8061082640504083</v>
      </c>
      <c r="J1136" s="81" cm="1">
        <f t="array" ref="J11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1.810811957226365</v>
      </c>
      <c r="K1136" s="81" cm="1">
        <f t="array" ref="K11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1.8200075188231333</v>
      </c>
      <c r="L1136" s="81" cm="1">
        <f t="array" ref="L113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1.8312293158155921</v>
      </c>
      <c r="M1136" s="37">
        <f t="shared" si="131"/>
        <v>1.9789594740733607E-2</v>
      </c>
      <c r="N1136" s="43">
        <f t="shared" si="132"/>
        <v>5.8903399680085844E-3</v>
      </c>
      <c r="O1136" s="43">
        <f t="shared" si="133"/>
        <v>1.1221796992458843E-2</v>
      </c>
      <c r="P1136" s="43">
        <f t="shared" si="134"/>
        <v>0.29764833717813804</v>
      </c>
      <c r="Q1136" s="37">
        <f t="shared" si="135"/>
        <v>0.56705542177478907</v>
      </c>
      <c r="R1136" s="37">
        <f t="shared" si="137"/>
        <v>-8.5277756246574521E-3</v>
      </c>
      <c r="S1136" s="44" t="s">
        <v>1394</v>
      </c>
      <c r="T1136" s="45">
        <v>3.1704477999999998</v>
      </c>
      <c r="U1136" s="45">
        <v>-1.2872124E-2</v>
      </c>
      <c r="V1136" s="45">
        <v>3.0711328E-2</v>
      </c>
      <c r="W1136" s="45">
        <v>9.1467551999999998E-4</v>
      </c>
      <c r="X1136" s="45">
        <v>-4.2179150999999997E-5</v>
      </c>
      <c r="Y1136" s="45">
        <v>5.8855029999999997E-6</v>
      </c>
      <c r="Z1136" s="36">
        <v>4.17</v>
      </c>
      <c r="AA1136" s="38">
        <v>675</v>
      </c>
      <c r="AB1136" s="38"/>
      <c r="AC1136" s="49" t="s">
        <v>506</v>
      </c>
      <c r="AD1136" s="49" t="s">
        <v>506</v>
      </c>
      <c r="AE1136" s="48"/>
    </row>
    <row r="1137" spans="1:31" ht="15" thickBot="1">
      <c r="A1137" s="34">
        <v>1135</v>
      </c>
      <c r="B1137" s="34" t="s">
        <v>1026</v>
      </c>
      <c r="C1137" s="41" t="s">
        <v>1358</v>
      </c>
      <c r="D1137" s="34" t="s">
        <v>992</v>
      </c>
      <c r="E1137" s="80">
        <f t="shared" si="130"/>
        <v>1.8050069348780189</v>
      </c>
      <c r="F1137" s="35">
        <f t="shared" si="136"/>
        <v>39.593385786636127</v>
      </c>
      <c r="G1137" s="42" cm="1">
        <f t="array" ref="G113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39.349420055596234</v>
      </c>
      <c r="H1137" s="81" cm="1">
        <f t="array" ref="H11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1.7989737466147757</v>
      </c>
      <c r="I1137" s="81" cm="1">
        <f t="array" ref="I11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1.8050069348780189</v>
      </c>
      <c r="J1137" s="81" cm="1">
        <f t="array" ref="J11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1.8098346452137413</v>
      </c>
      <c r="K1137" s="81" cm="1">
        <f t="array" ref="K11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1.8193056005061328</v>
      </c>
      <c r="L1137" s="81" cm="1">
        <f t="array" ref="L113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1.8309212167624209</v>
      </c>
      <c r="M1137" s="37">
        <f t="shared" si="131"/>
        <v>2.0331853891357055E-2</v>
      </c>
      <c r="N1137" s="43">
        <f t="shared" si="132"/>
        <v>6.0331882632431721E-3</v>
      </c>
      <c r="O1137" s="43">
        <f t="shared" si="133"/>
        <v>1.1615616256288153E-2</v>
      </c>
      <c r="P1137" s="43">
        <f t="shared" si="134"/>
        <v>0.29673576720949402</v>
      </c>
      <c r="Q1137" s="37">
        <f t="shared" si="135"/>
        <v>0.57130138345258719</v>
      </c>
      <c r="R1137" s="37">
        <f t="shared" si="137"/>
        <v>-6.1327291036996634E-3</v>
      </c>
      <c r="S1137" s="44" t="s">
        <v>1394</v>
      </c>
      <c r="T1137" s="45">
        <v>3.1666471999999999</v>
      </c>
      <c r="U1137" s="45">
        <v>-1.4823032E-2</v>
      </c>
      <c r="V1137" s="45">
        <v>3.0366122999999998E-2</v>
      </c>
      <c r="W1137" s="45">
        <v>1.0942893999999999E-3</v>
      </c>
      <c r="X1137" s="45">
        <v>-4.2108569000000001E-5</v>
      </c>
      <c r="Y1137" s="45">
        <v>5.7186778999999999E-6</v>
      </c>
      <c r="Z1137" s="36">
        <v>4.13</v>
      </c>
      <c r="AA1137" s="38">
        <v>622</v>
      </c>
      <c r="AB1137" s="38"/>
      <c r="AC1137" s="49" t="s">
        <v>506</v>
      </c>
      <c r="AD1137" s="49" t="s">
        <v>506</v>
      </c>
      <c r="AE1137" s="48"/>
    </row>
    <row r="1138" spans="1:31" ht="15" thickBot="1">
      <c r="A1138" s="34">
        <v>1136</v>
      </c>
      <c r="B1138" s="34" t="s">
        <v>1026</v>
      </c>
      <c r="C1138" s="41" t="s">
        <v>1358</v>
      </c>
      <c r="D1138" s="34" t="s">
        <v>993</v>
      </c>
      <c r="E1138" s="80">
        <f t="shared" si="130"/>
        <v>1.799499267989485</v>
      </c>
      <c r="F1138" s="35">
        <f t="shared" si="136"/>
        <v>42.295460307997352</v>
      </c>
      <c r="G1138" s="42" cm="1">
        <f t="array" ref="G113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42.035588666165893</v>
      </c>
      <c r="H1138" s="81" cm="1">
        <f t="array" ref="H11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1.7938762042922045</v>
      </c>
      <c r="I1138" s="81" cm="1">
        <f t="array" ref="I11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1.799499267989485</v>
      </c>
      <c r="J1138" s="81" cm="1">
        <f t="array" ref="J11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1.8039908121667141</v>
      </c>
      <c r="K1138" s="81" cm="1">
        <f t="array" ref="K11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1.8127789248718482</v>
      </c>
      <c r="L1138" s="81" cm="1">
        <f t="array" ref="L113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1.8235012036416234</v>
      </c>
      <c r="M1138" s="37">
        <f t="shared" si="131"/>
        <v>1.8902720579643706E-2</v>
      </c>
      <c r="N1138" s="43">
        <f t="shared" si="132"/>
        <v>5.6230636972804948E-3</v>
      </c>
      <c r="O1138" s="43">
        <f t="shared" si="133"/>
        <v>1.0722278769775162E-2</v>
      </c>
      <c r="P1138" s="43">
        <f t="shared" si="134"/>
        <v>0.29747377757548604</v>
      </c>
      <c r="Q1138" s="37">
        <f t="shared" si="135"/>
        <v>0.56723468585373671</v>
      </c>
      <c r="R1138" s="37">
        <f t="shared" si="137"/>
        <v>-5.8144631167805771E-3</v>
      </c>
      <c r="S1138" s="44" t="s">
        <v>1394</v>
      </c>
      <c r="T1138" s="45">
        <v>3.1507225999999999</v>
      </c>
      <c r="U1138" s="45">
        <v>-1.2460963E-2</v>
      </c>
      <c r="V1138" s="45">
        <v>2.9910697E-2</v>
      </c>
      <c r="W1138" s="45">
        <v>5.0733105999999995E-4</v>
      </c>
      <c r="X1138" s="45">
        <v>3.6278868000000002E-5</v>
      </c>
      <c r="Y1138" s="45">
        <v>-2.5019766E-8</v>
      </c>
      <c r="Z1138" s="36">
        <v>4.3899999999999997</v>
      </c>
      <c r="AA1138" s="38">
        <v>699</v>
      </c>
      <c r="AB1138" s="38"/>
      <c r="AC1138" s="49" t="s">
        <v>506</v>
      </c>
      <c r="AD1138" s="49" t="s">
        <v>506</v>
      </c>
      <c r="AE1138" s="48"/>
    </row>
    <row r="1139" spans="1:31" ht="15" thickBot="1">
      <c r="A1139" s="34">
        <v>1137</v>
      </c>
      <c r="B1139" s="34" t="s">
        <v>1026</v>
      </c>
      <c r="C1139" s="41" t="s">
        <v>1358</v>
      </c>
      <c r="D1139" s="34" t="s">
        <v>994</v>
      </c>
      <c r="E1139" s="80">
        <f t="shared" si="130"/>
        <v>1.7849908308200448</v>
      </c>
      <c r="F1139" s="35">
        <f t="shared" si="136"/>
        <v>43.654848696763679</v>
      </c>
      <c r="G1139" s="42" cm="1">
        <f t="array" ref="G113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43.401531966478153</v>
      </c>
      <c r="H1139" s="81" cm="1">
        <f t="array" ref="H11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1.7796231411714249</v>
      </c>
      <c r="I1139" s="81" cm="1">
        <f t="array" ref="I11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1.7849908308200448</v>
      </c>
      <c r="J1139" s="81" cm="1">
        <f t="array" ref="J11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1.7892666377328355</v>
      </c>
      <c r="K1139" s="81" cm="1">
        <f t="array" ref="K11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1.797604897018817</v>
      </c>
      <c r="L1139" s="81" cm="1">
        <f t="array" ref="L113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1.8077343614421191</v>
      </c>
      <c r="M1139" s="37">
        <f t="shared" si="131"/>
        <v>1.7981755847392034E-2</v>
      </c>
      <c r="N1139" s="43">
        <f t="shared" si="132"/>
        <v>5.3676896486198888E-3</v>
      </c>
      <c r="O1139" s="43">
        <f t="shared" si="133"/>
        <v>1.0129464423302093E-2</v>
      </c>
      <c r="P1139" s="43">
        <f t="shared" si="134"/>
        <v>0.29850753698217886</v>
      </c>
      <c r="Q1139" s="37">
        <f t="shared" si="135"/>
        <v>0.56331898337787789</v>
      </c>
      <c r="R1139" s="37">
        <f t="shared" si="137"/>
        <v>-7.5241314745813082E-3</v>
      </c>
      <c r="S1139" s="44" t="s">
        <v>1394</v>
      </c>
      <c r="T1139" s="45">
        <v>3.1049983999999999</v>
      </c>
      <c r="U1139" s="45">
        <v>-1.3342479000000001E-2</v>
      </c>
      <c r="V1139" s="45">
        <v>2.7506526E-2</v>
      </c>
      <c r="W1139" s="45">
        <v>7.5451621000000003E-4</v>
      </c>
      <c r="X1139" s="45">
        <v>-1.6565687000000001E-5</v>
      </c>
      <c r="Y1139" s="45">
        <v>2.780481E-6</v>
      </c>
      <c r="Z1139" s="36">
        <v>4.12</v>
      </c>
      <c r="AA1139" s="38">
        <v>675</v>
      </c>
      <c r="AB1139" s="38"/>
      <c r="AC1139" s="49" t="s">
        <v>506</v>
      </c>
      <c r="AD1139" s="49" t="s">
        <v>506</v>
      </c>
      <c r="AE1139" s="48"/>
    </row>
    <row r="1140" spans="1:31" ht="15" thickBot="1">
      <c r="A1140" s="34">
        <v>1138</v>
      </c>
      <c r="B1140" s="34" t="s">
        <v>1026</v>
      </c>
      <c r="C1140" s="41" t="s">
        <v>1358</v>
      </c>
      <c r="D1140" s="34" t="s">
        <v>995</v>
      </c>
      <c r="E1140" s="80">
        <f t="shared" si="130"/>
        <v>1.8040051445360787</v>
      </c>
      <c r="F1140" s="35">
        <f t="shared" ref="F1140:F1171" si="138">(I1140-1)/M1140</f>
        <v>46.595453578337541</v>
      </c>
      <c r="G1140" s="42" cm="1">
        <f t="array" ref="G114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46.352371284253451</v>
      </c>
      <c r="H1140" s="81" cm="1">
        <f t="array" ref="H11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1.7988215495127027</v>
      </c>
      <c r="I1140" s="81" cm="1">
        <f t="array" ref="I11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1.8040051445360787</v>
      </c>
      <c r="J1140" s="81" cm="1">
        <f t="array" ref="J11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1.8081123430291011</v>
      </c>
      <c r="K1140" s="81" cm="1">
        <f t="array" ref="K11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1.8160765622401647</v>
      </c>
      <c r="L1140" s="81" cm="1">
        <f t="array" ref="L114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1.8256795488020456</v>
      </c>
      <c r="M1140" s="37">
        <f t="shared" si="131"/>
        <v>1.7255012727461994E-2</v>
      </c>
      <c r="N1140" s="43">
        <f t="shared" si="132"/>
        <v>5.1835950233760641E-3</v>
      </c>
      <c r="O1140" s="43">
        <f t="shared" si="133"/>
        <v>9.6029865618809662E-3</v>
      </c>
      <c r="P1140" s="43">
        <f t="shared" si="134"/>
        <v>0.30041096493230518</v>
      </c>
      <c r="Q1140" s="37">
        <f t="shared" si="135"/>
        <v>0.55653314857296254</v>
      </c>
      <c r="R1140" s="37">
        <f t="shared" ref="R1140:R1171" si="139">_xlfn.LET(
  _xlpm.vd_K7,  $F$1187,
  _xlpm.PgF_K7, $Q$1187,
  _xlpm.vd_F2,  $F$1188,
  _xlpm.PgF_F2, $Q$1188,
  _xlpm.NormalLine, _xlpm.PgF_K7 + ((_xlpm.PgF_F2 - _xlpm.PgF_K7) / (_xlpm.vd_F2 - _xlpm.vd_K7)) * (F1140 - _xlpm.vd_K7),
  O1140/M1140 - _xlpm.NormalLine
)</f>
        <v>-9.5379123542992383E-3</v>
      </c>
      <c r="S1140" s="44" t="s">
        <v>1394</v>
      </c>
      <c r="T1140" s="45">
        <v>3.1766024000000002</v>
      </c>
      <c r="U1140" s="45">
        <v>-1.5214563E-2</v>
      </c>
      <c r="V1140" s="45">
        <v>2.6674405000000002E-2</v>
      </c>
      <c r="W1140" s="45">
        <v>7.4674512999999996E-4</v>
      </c>
      <c r="X1140" s="45">
        <v>-2.6350799999999998E-5</v>
      </c>
      <c r="Y1140" s="45">
        <v>2.7514981000000001E-6</v>
      </c>
      <c r="Z1140" s="36">
        <v>4.72</v>
      </c>
      <c r="AA1140" s="38">
        <v>686</v>
      </c>
      <c r="AB1140" s="38"/>
      <c r="AC1140" s="49" t="s">
        <v>506</v>
      </c>
      <c r="AD1140" s="49" t="s">
        <v>506</v>
      </c>
      <c r="AE1140" s="48"/>
    </row>
    <row r="1141" spans="1:31" ht="15" thickBot="1">
      <c r="A1141" s="34">
        <v>1139</v>
      </c>
      <c r="B1141" s="34" t="s">
        <v>1026</v>
      </c>
      <c r="C1141" s="41" t="s">
        <v>1358</v>
      </c>
      <c r="D1141" s="34" t="s">
        <v>996</v>
      </c>
      <c r="E1141" s="80">
        <f t="shared" si="130"/>
        <v>1.7724928327089504</v>
      </c>
      <c r="F1141" s="35">
        <f t="shared" si="138"/>
        <v>49.590153197417891</v>
      </c>
      <c r="G1141" s="42" cm="1">
        <f t="array" ref="G114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49.344658023720875</v>
      </c>
      <c r="H1141" s="81" cm="1">
        <f t="array" ref="H11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1.7677944983136331</v>
      </c>
      <c r="I1141" s="81" cm="1">
        <f t="array" ref="I11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1.7724928327089504</v>
      </c>
      <c r="J1141" s="81" cm="1">
        <f t="array" ref="J11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1.7762024405211285</v>
      </c>
      <c r="K1141" s="81" cm="1">
        <f t="array" ref="K11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1.7833720431063194</v>
      </c>
      <c r="L1141" s="81" cm="1">
        <f t="array" ref="L114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1.7919790653076788</v>
      </c>
      <c r="M1141" s="37">
        <f t="shared" si="131"/>
        <v>1.5577544792686249E-2</v>
      </c>
      <c r="N1141" s="43">
        <f t="shared" si="132"/>
        <v>4.6983343953173051E-3</v>
      </c>
      <c r="O1141" s="43">
        <f t="shared" si="133"/>
        <v>8.6070222013594488E-3</v>
      </c>
      <c r="P1141" s="43">
        <f t="shared" si="134"/>
        <v>0.30160942933209867</v>
      </c>
      <c r="Q1141" s="37">
        <f t="shared" si="135"/>
        <v>0.55252752060135291</v>
      </c>
      <c r="R1141" s="37">
        <f t="shared" si="139"/>
        <v>-8.6837007189056736E-3</v>
      </c>
      <c r="S1141" s="44" t="s">
        <v>1394</v>
      </c>
      <c r="T1141" s="45">
        <v>3.0728806</v>
      </c>
      <c r="U1141" s="45">
        <v>-1.4815338000000001E-2</v>
      </c>
      <c r="V1141" s="45">
        <v>2.4064142E-2</v>
      </c>
      <c r="W1141" s="45">
        <v>4.9961497000000003E-4</v>
      </c>
      <c r="X1141" s="45">
        <v>1.2852807000000001E-6</v>
      </c>
      <c r="Y1141" s="45">
        <v>5.2262074000000004E-7</v>
      </c>
      <c r="Z1141" s="36">
        <v>4.4400000000000004</v>
      </c>
      <c r="AA1141" s="38">
        <v>673</v>
      </c>
      <c r="AB1141" s="38"/>
      <c r="AC1141" s="49" t="s">
        <v>506</v>
      </c>
      <c r="AD1141" s="49" t="s">
        <v>506</v>
      </c>
      <c r="AE1141" s="48"/>
    </row>
    <row r="1142" spans="1:31" ht="15" thickBot="1">
      <c r="A1142" s="34">
        <v>1140</v>
      </c>
      <c r="B1142" s="34" t="s">
        <v>1026</v>
      </c>
      <c r="C1142" s="41" t="s">
        <v>1358</v>
      </c>
      <c r="D1142" s="34" t="s">
        <v>997</v>
      </c>
      <c r="E1142" s="80">
        <f t="shared" si="130"/>
        <v>1.8350012554617647</v>
      </c>
      <c r="F1142" s="35">
        <f t="shared" si="138"/>
        <v>42.742397633553942</v>
      </c>
      <c r="G1142" s="42" cm="1">
        <f t="array" ref="G114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42.497724784796077</v>
      </c>
      <c r="H1142" s="81" cm="1">
        <f t="array" ref="H11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1.8291710150514939</v>
      </c>
      <c r="I1142" s="81" cm="1">
        <f t="array" ref="I11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1.8350012554617647</v>
      </c>
      <c r="J1142" s="81" cm="1">
        <f t="array" ref="J11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1.8396459093367072</v>
      </c>
      <c r="K1142" s="81" cm="1">
        <f t="array" ref="K11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1.8487066822506186</v>
      </c>
      <c r="L1142" s="81" cm="1">
        <f t="array" ref="L114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1.8597182238944696</v>
      </c>
      <c r="M1142" s="37">
        <f t="shared" si="131"/>
        <v>1.9535667199124696E-2</v>
      </c>
      <c r="N1142" s="43">
        <f t="shared" si="132"/>
        <v>5.8302404102708039E-3</v>
      </c>
      <c r="O1142" s="43">
        <f t="shared" si="133"/>
        <v>1.1011541643850986E-2</v>
      </c>
      <c r="P1142" s="43">
        <f t="shared" si="134"/>
        <v>0.29844081345386714</v>
      </c>
      <c r="Q1142" s="37">
        <f t="shared" si="135"/>
        <v>0.56366345370299731</v>
      </c>
      <c r="R1142" s="37">
        <f t="shared" si="139"/>
        <v>-8.6603992469277413E-3</v>
      </c>
      <c r="S1142" s="44" t="s">
        <v>1394</v>
      </c>
      <c r="T1142" s="45">
        <v>3.2767320999999998</v>
      </c>
      <c r="U1142" s="45">
        <v>-1.5115573E-2</v>
      </c>
      <c r="V1142" s="45">
        <v>3.0753445000000001E-2</v>
      </c>
      <c r="W1142" s="45">
        <v>7.8350578000000001E-4</v>
      </c>
      <c r="X1142" s="45">
        <v>-3.4594494999999999E-6</v>
      </c>
      <c r="Y1142" s="45">
        <v>2.0542573000000001E-6</v>
      </c>
      <c r="Z1142" s="36">
        <v>4.9000000000000004</v>
      </c>
      <c r="AA1142" s="38">
        <v>687</v>
      </c>
      <c r="AB1142" s="38"/>
      <c r="AC1142" s="49" t="s">
        <v>506</v>
      </c>
      <c r="AD1142" s="49" t="s">
        <v>506</v>
      </c>
      <c r="AE1142" s="48"/>
    </row>
    <row r="1143" spans="1:31" ht="15" thickBot="1">
      <c r="A1143" s="34">
        <v>1141</v>
      </c>
      <c r="B1143" s="34" t="s">
        <v>1026</v>
      </c>
      <c r="C1143" s="41" t="s">
        <v>1358</v>
      </c>
      <c r="D1143" s="34" t="s">
        <v>1022</v>
      </c>
      <c r="E1143" s="80">
        <f t="shared" si="130"/>
        <v>1.8348971461910601</v>
      </c>
      <c r="F1143" s="35">
        <f t="shared" si="138"/>
        <v>42.688871707332567</v>
      </c>
      <c r="G1143" s="42" cm="1">
        <f t="array" ref="G114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42.443668375943155</v>
      </c>
      <c r="H1143" s="81" cm="1">
        <f t="array" ref="H11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1.829062031923796</v>
      </c>
      <c r="I1143" s="81" cm="1">
        <f t="array" ref="I11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1.8348971461910601</v>
      </c>
      <c r="J1143" s="81" cm="1">
        <f t="array" ref="J11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1.8395471617983687</v>
      </c>
      <c r="K1143" s="81" cm="1">
        <f t="array" ref="K11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1.8486197553491179</v>
      </c>
      <c r="L1143" s="81" cm="1">
        <f t="array" ref="L114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1.8596403597115359</v>
      </c>
      <c r="M1143" s="37">
        <f t="shared" si="131"/>
        <v>1.9557723425321916E-2</v>
      </c>
      <c r="N1143" s="43">
        <f t="shared" si="132"/>
        <v>5.8351142672641299E-3</v>
      </c>
      <c r="O1143" s="43">
        <f t="shared" si="133"/>
        <v>1.1020604362417918E-2</v>
      </c>
      <c r="P1143" s="43">
        <f t="shared" si="134"/>
        <v>0.29835345046904843</v>
      </c>
      <c r="Q1143" s="37">
        <f t="shared" si="135"/>
        <v>0.5634911652421285</v>
      </c>
      <c r="R1143" s="37">
        <f t="shared" si="139"/>
        <v>-8.919550314848923E-3</v>
      </c>
      <c r="S1143" s="44" t="s">
        <v>1394</v>
      </c>
      <c r="T1143" s="45">
        <v>3.2764440000000001</v>
      </c>
      <c r="U1143" s="45">
        <v>-1.5177935E-2</v>
      </c>
      <c r="V1143" s="45">
        <v>3.0678303000000001E-2</v>
      </c>
      <c r="W1143" s="45">
        <v>7.9395959999999999E-4</v>
      </c>
      <c r="X1143" s="45">
        <v>8.2678978999999999E-7</v>
      </c>
      <c r="Y1143" s="45">
        <v>1.3913562000000001E-6</v>
      </c>
      <c r="Z1143" s="36">
        <v>4.88</v>
      </c>
      <c r="AA1143" s="38">
        <v>673</v>
      </c>
      <c r="AB1143" s="38"/>
      <c r="AC1143" s="49" t="s">
        <v>506</v>
      </c>
      <c r="AD1143" s="49" t="s">
        <v>506</v>
      </c>
      <c r="AE1143" s="46" t="s">
        <v>770</v>
      </c>
    </row>
    <row r="1144" spans="1:31" ht="15" thickBot="1">
      <c r="A1144" s="34">
        <v>1142</v>
      </c>
      <c r="B1144" s="34" t="s">
        <v>1026</v>
      </c>
      <c r="C1144" s="41" t="s">
        <v>1358</v>
      </c>
      <c r="D1144" s="34" t="s">
        <v>998</v>
      </c>
      <c r="E1144" s="80">
        <f t="shared" si="130"/>
        <v>1.8160036495113587</v>
      </c>
      <c r="F1144" s="35">
        <f t="shared" si="138"/>
        <v>46.669543498793381</v>
      </c>
      <c r="G1144" s="42" cm="1">
        <f t="array" ref="G114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46.419964875310377</v>
      </c>
      <c r="H1144" s="81" cm="1">
        <f t="array" ref="H11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1.8107569855943766</v>
      </c>
      <c r="I1144" s="81" cm="1">
        <f t="array" ref="I11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1.8160036495113587</v>
      </c>
      <c r="J1144" s="81" cm="1">
        <f t="array" ref="J11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1.8201662028494736</v>
      </c>
      <c r="K1144" s="81" cm="1">
        <f t="array" ref="K11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1.8282417002141469</v>
      </c>
      <c r="L1144" s="81" cm="1">
        <f t="array" ref="L114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1.8379717872662957</v>
      </c>
      <c r="M1144" s="37">
        <f t="shared" si="131"/>
        <v>1.7484714619770303E-2</v>
      </c>
      <c r="N1144" s="43">
        <f t="shared" si="132"/>
        <v>5.2466639169821416E-3</v>
      </c>
      <c r="O1144" s="43">
        <f t="shared" si="133"/>
        <v>9.7300870521488392E-3</v>
      </c>
      <c r="P1144" s="43">
        <f t="shared" si="134"/>
        <v>0.30007146419476804</v>
      </c>
      <c r="Q1144" s="37">
        <f t="shared" si="135"/>
        <v>0.55649104167515795</v>
      </c>
      <c r="R1144" s="37">
        <f t="shared" si="139"/>
        <v>-9.4597851132216526E-3</v>
      </c>
      <c r="S1144" s="44" t="s">
        <v>1394</v>
      </c>
      <c r="T1144" s="45">
        <v>3.2184433000000001</v>
      </c>
      <c r="U1144" s="45">
        <v>-1.4906368999999999E-2</v>
      </c>
      <c r="V1144" s="45">
        <v>2.6926189999999999E-2</v>
      </c>
      <c r="W1144" s="45">
        <v>8.7409748000000004E-4</v>
      </c>
      <c r="X1144" s="45">
        <v>-4.0331280999999999E-5</v>
      </c>
      <c r="Y1144" s="45">
        <v>3.1677744999999998E-6</v>
      </c>
      <c r="Z1144" s="36">
        <v>4.96</v>
      </c>
      <c r="AA1144" s="38">
        <v>693</v>
      </c>
      <c r="AB1144" s="38"/>
      <c r="AC1144" s="49" t="s">
        <v>506</v>
      </c>
      <c r="AD1144" s="49" t="s">
        <v>506</v>
      </c>
      <c r="AE1144" s="48"/>
    </row>
    <row r="1145" spans="1:31" ht="15" thickBot="1">
      <c r="A1145" s="34">
        <v>1143</v>
      </c>
      <c r="B1145" s="34" t="s">
        <v>1026</v>
      </c>
      <c r="C1145" s="41" t="s">
        <v>1358</v>
      </c>
      <c r="D1145" s="34" t="s">
        <v>999</v>
      </c>
      <c r="E1145" s="80">
        <f t="shared" si="130"/>
        <v>1.815492875749174</v>
      </c>
      <c r="F1145" s="35">
        <f t="shared" si="138"/>
        <v>44.404555366607759</v>
      </c>
      <c r="G1145" s="42" cm="1">
        <f t="array" ref="G114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44.164951783110268</v>
      </c>
      <c r="H1145" s="81" cm="1">
        <f t="array" ref="H11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1.809992310933207</v>
      </c>
      <c r="I1145" s="81" cm="1">
        <f t="array" ref="I11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1.815492875749174</v>
      </c>
      <c r="J1145" s="81" cm="1">
        <f t="array" ref="J11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1.819862261591056</v>
      </c>
      <c r="K1145" s="81" cm="1">
        <f t="array" ref="K11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1.8283573833681497</v>
      </c>
      <c r="L1145" s="81" cm="1">
        <f t="array" ref="L114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1.8386326782578855</v>
      </c>
      <c r="M1145" s="37">
        <f t="shared" si="131"/>
        <v>1.8365072434942675E-2</v>
      </c>
      <c r="N1145" s="43">
        <f t="shared" si="132"/>
        <v>5.5005648159669462E-3</v>
      </c>
      <c r="O1145" s="43">
        <f t="shared" si="133"/>
        <v>1.0275294889735775E-2</v>
      </c>
      <c r="P1145" s="43">
        <f t="shared" si="134"/>
        <v>0.29951228536954672</v>
      </c>
      <c r="Q1145" s="37">
        <f t="shared" si="135"/>
        <v>0.55950200720065113</v>
      </c>
      <c r="R1145" s="37">
        <f t="shared" si="139"/>
        <v>-1.0124473387546962E-2</v>
      </c>
      <c r="S1145" s="44" t="s">
        <v>1394</v>
      </c>
      <c r="T1145" s="45">
        <v>3.2128136999999999</v>
      </c>
      <c r="U1145" s="45">
        <v>-1.5587464000000001E-2</v>
      </c>
      <c r="V1145" s="45">
        <v>2.8249298999999999E-2</v>
      </c>
      <c r="W1145" s="45">
        <v>8.6439606999999996E-4</v>
      </c>
      <c r="X1145" s="45">
        <v>-2.9175496000000001E-5</v>
      </c>
      <c r="Y1145" s="45">
        <v>2.9912534999999999E-6</v>
      </c>
      <c r="Z1145" s="36">
        <v>4.8</v>
      </c>
      <c r="AA1145" s="38">
        <v>683</v>
      </c>
      <c r="AB1145" s="38"/>
      <c r="AC1145" s="49" t="s">
        <v>506</v>
      </c>
      <c r="AD1145" s="49" t="s">
        <v>506</v>
      </c>
      <c r="AE1145" s="48"/>
    </row>
    <row r="1146" spans="1:31" ht="15" thickBot="1">
      <c r="A1146" s="34">
        <v>1144</v>
      </c>
      <c r="B1146" s="34" t="s">
        <v>1026</v>
      </c>
      <c r="C1146" s="41" t="s">
        <v>1358</v>
      </c>
      <c r="D1146" s="34" t="s">
        <v>1000</v>
      </c>
      <c r="E1146" s="80">
        <f t="shared" si="130"/>
        <v>1.8339941692353283</v>
      </c>
      <c r="F1146" s="35">
        <f t="shared" si="138"/>
        <v>37.360803892158394</v>
      </c>
      <c r="G1146" s="42" cm="1">
        <f t="array" ref="G114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37.100286674284945</v>
      </c>
      <c r="H1146" s="81" cm="1">
        <f t="array" ref="H11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1.8274244362368579</v>
      </c>
      <c r="I1146" s="81" cm="1">
        <f t="array" ref="I11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1.8339941692353283</v>
      </c>
      <c r="J1146" s="81" cm="1">
        <f t="array" ref="J11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1.8392863645131869</v>
      </c>
      <c r="K1146" s="81" cm="1">
        <f t="array" ref="K11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1.8497471403104278</v>
      </c>
      <c r="L1146" s="81" cm="1">
        <f t="array" ref="L114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1.8626874986405575</v>
      </c>
      <c r="M1146" s="37">
        <f t="shared" si="131"/>
        <v>2.2322704073569843E-2</v>
      </c>
      <c r="N1146" s="43">
        <f t="shared" si="132"/>
        <v>6.5697329984704123E-3</v>
      </c>
      <c r="O1146" s="43">
        <f t="shared" si="133"/>
        <v>1.2940358330129742E-2</v>
      </c>
      <c r="P1146" s="43">
        <f t="shared" si="134"/>
        <v>0.29430722088230332</v>
      </c>
      <c r="Q1146" s="37">
        <f t="shared" si="135"/>
        <v>0.57969492797475064</v>
      </c>
      <c r="R1146" s="37">
        <f t="shared" si="139"/>
        <v>-1.3622490944281695E-3</v>
      </c>
      <c r="S1146" s="44" t="s">
        <v>1394</v>
      </c>
      <c r="T1146" s="45">
        <v>3.2643190999999998</v>
      </c>
      <c r="U1146" s="45">
        <v>-1.6265121E-2</v>
      </c>
      <c r="V1146" s="45">
        <v>3.2028380000000002E-2</v>
      </c>
      <c r="W1146" s="45">
        <v>1.5271854000000001E-3</v>
      </c>
      <c r="X1146" s="45">
        <v>-4.7775543999999997E-5</v>
      </c>
      <c r="Y1146" s="45">
        <v>5.7345906999999998E-6</v>
      </c>
      <c r="Z1146" s="36">
        <v>4.18</v>
      </c>
      <c r="AA1146" s="38">
        <v>648</v>
      </c>
      <c r="AB1146" s="38"/>
      <c r="AC1146" s="49" t="s">
        <v>506</v>
      </c>
      <c r="AD1146" s="49" t="s">
        <v>506</v>
      </c>
      <c r="AE1146" s="48"/>
    </row>
    <row r="1147" spans="1:31" ht="15" thickBot="1">
      <c r="A1147" s="34">
        <v>1145</v>
      </c>
      <c r="B1147" s="34" t="s">
        <v>1026</v>
      </c>
      <c r="C1147" s="41" t="s">
        <v>1358</v>
      </c>
      <c r="D1147" s="34" t="s">
        <v>1001</v>
      </c>
      <c r="E1147" s="80">
        <f t="shared" si="130"/>
        <v>1.7883006139890345</v>
      </c>
      <c r="F1147" s="35">
        <f t="shared" si="138"/>
        <v>47.416559893800382</v>
      </c>
      <c r="G1147" s="42" cm="1">
        <f t="array" ref="G114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47.171581074955718</v>
      </c>
      <c r="H1147" s="81" cm="1">
        <f t="array" ref="H11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1.7833027439762059</v>
      </c>
      <c r="I1147" s="81" cm="1">
        <f t="array" ref="I11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1.7883006139890345</v>
      </c>
      <c r="J1147" s="81" cm="1">
        <f t="array" ref="J11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1.7922595428334551</v>
      </c>
      <c r="K1147" s="81" cm="1">
        <f t="array" ref="K11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1.7999277504244722</v>
      </c>
      <c r="L1147" s="81" cm="1">
        <f t="array" ref="L114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1.809152158972555</v>
      </c>
      <c r="M1147" s="37">
        <f t="shared" si="131"/>
        <v>1.6625006448266255E-2</v>
      </c>
      <c r="N1147" s="43">
        <f t="shared" si="132"/>
        <v>4.9978700128285869E-3</v>
      </c>
      <c r="O1147" s="43">
        <f t="shared" si="133"/>
        <v>9.2244085480828186E-3</v>
      </c>
      <c r="P1147" s="43">
        <f t="shared" si="134"/>
        <v>0.30062364356855881</v>
      </c>
      <c r="Q1147" s="37">
        <f t="shared" si="135"/>
        <v>0.5548514267821405</v>
      </c>
      <c r="R1147" s="37">
        <f t="shared" si="139"/>
        <v>-9.8871315568742624E-3</v>
      </c>
      <c r="S1147" s="44" t="s">
        <v>1394</v>
      </c>
      <c r="T1147" s="45">
        <v>3.1245349999999998</v>
      </c>
      <c r="U1147" s="45">
        <v>-1.4985014E-2</v>
      </c>
      <c r="V1147" s="45">
        <v>2.4795878E-2</v>
      </c>
      <c r="W1147" s="45">
        <v>9.6271555999999999E-4</v>
      </c>
      <c r="X1147" s="45">
        <v>-6.4587037999999994E-5</v>
      </c>
      <c r="Y1147" s="45">
        <v>4.6162436999999997E-6</v>
      </c>
      <c r="Z1147" s="36">
        <v>4.76</v>
      </c>
      <c r="AA1147" s="38">
        <v>693</v>
      </c>
      <c r="AB1147" s="38"/>
      <c r="AC1147" s="49" t="s">
        <v>506</v>
      </c>
      <c r="AD1147" s="49" t="s">
        <v>506</v>
      </c>
      <c r="AE1147" s="48"/>
    </row>
    <row r="1148" spans="1:31" ht="15" thickBot="1">
      <c r="A1148" s="34">
        <v>1146</v>
      </c>
      <c r="B1148" s="34" t="s">
        <v>1026</v>
      </c>
      <c r="C1148" s="41" t="s">
        <v>1358</v>
      </c>
      <c r="D1148" s="34" t="s">
        <v>1002</v>
      </c>
      <c r="E1148" s="80">
        <f t="shared" si="130"/>
        <v>1.8829888281588874</v>
      </c>
      <c r="F1148" s="35">
        <f t="shared" si="138"/>
        <v>40.785723889403847</v>
      </c>
      <c r="G1148" s="42" cm="1">
        <f t="array" ref="G114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40.538586551301364</v>
      </c>
      <c r="H1148" s="81" cm="1">
        <f t="array" ref="H11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1.8765578385673671</v>
      </c>
      <c r="I1148" s="81" cm="1">
        <f t="array" ref="I11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1.8829888281588874</v>
      </c>
      <c r="J1148" s="81" cm="1">
        <f t="array" ref="J11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1.8881350952977707</v>
      </c>
      <c r="K1148" s="81" cm="1">
        <f t="array" ref="K11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1.8982072968570676</v>
      </c>
      <c r="L1148" s="81" cm="1">
        <f t="array" ref="L114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1.9104699558308167</v>
      </c>
      <c r="M1148" s="37">
        <f t="shared" si="131"/>
        <v>2.1649458289700441E-2</v>
      </c>
      <c r="N1148" s="43">
        <f t="shared" si="132"/>
        <v>6.4309895915202198E-3</v>
      </c>
      <c r="O1148" s="43">
        <f t="shared" si="133"/>
        <v>1.2262658973749119E-2</v>
      </c>
      <c r="P1148" s="43">
        <f t="shared" si="134"/>
        <v>0.29705083173280655</v>
      </c>
      <c r="Q1148" s="37">
        <f t="shared" si="135"/>
        <v>0.56641874404695758</v>
      </c>
      <c r="R1148" s="37">
        <f t="shared" si="139"/>
        <v>-9.0804258860858189E-3</v>
      </c>
      <c r="S1148" s="44" t="s">
        <v>1394</v>
      </c>
      <c r="T1148" s="45">
        <v>3.4434117</v>
      </c>
      <c r="U1148" s="45">
        <v>-1.5474742999999999E-2</v>
      </c>
      <c r="V1148" s="45">
        <v>3.3695975000000003E-2</v>
      </c>
      <c r="W1148" s="45">
        <v>1.2878574E-3</v>
      </c>
      <c r="X1148" s="45">
        <v>-4.5474230000000001E-5</v>
      </c>
      <c r="Y1148" s="45">
        <v>3.8679590000000004E-6</v>
      </c>
      <c r="Z1148" s="36">
        <v>5.54</v>
      </c>
      <c r="AA1148" s="38">
        <v>703</v>
      </c>
      <c r="AB1148" s="38"/>
      <c r="AC1148" s="49" t="s">
        <v>506</v>
      </c>
      <c r="AD1148" s="49" t="s">
        <v>506</v>
      </c>
      <c r="AE1148" s="48"/>
    </row>
    <row r="1149" spans="1:31" ht="15" thickBot="1">
      <c r="A1149" s="34">
        <v>1147</v>
      </c>
      <c r="B1149" s="34" t="s">
        <v>1026</v>
      </c>
      <c r="C1149" s="41" t="s">
        <v>1358</v>
      </c>
      <c r="D1149" s="34" t="s">
        <v>1003</v>
      </c>
      <c r="E1149" s="80">
        <f t="shared" si="130"/>
        <v>1.8500214357782399</v>
      </c>
      <c r="F1149" s="35">
        <f t="shared" si="138"/>
        <v>32.506780992293336</v>
      </c>
      <c r="G1149" s="42" cm="1">
        <f t="array" ref="G114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32.262679060640885</v>
      </c>
      <c r="H1149" s="81" cm="1">
        <f t="array" ref="H11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1.8423862449992559</v>
      </c>
      <c r="I1149" s="81" cm="1">
        <f t="array" ref="I11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1.8500214357782399</v>
      </c>
      <c r="J1149" s="81" cm="1">
        <f t="array" ref="J11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1.8562007077524607</v>
      </c>
      <c r="K1149" s="81" cm="1">
        <f t="array" ref="K11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1.8685352948230376</v>
      </c>
      <c r="L1149" s="81" cm="1">
        <f t="array" ref="L114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1.8841888268022091</v>
      </c>
      <c r="M1149" s="37">
        <f t="shared" si="131"/>
        <v>2.6149049823781745E-2</v>
      </c>
      <c r="N1149" s="43">
        <f t="shared" si="132"/>
        <v>7.6351907789840023E-3</v>
      </c>
      <c r="O1149" s="43">
        <f t="shared" si="133"/>
        <v>1.565353197917152E-2</v>
      </c>
      <c r="P1149" s="43">
        <f t="shared" si="134"/>
        <v>0.29198731236651032</v>
      </c>
      <c r="Q1149" s="37">
        <f t="shared" si="135"/>
        <v>0.59862718089798894</v>
      </c>
      <c r="R1149" s="37">
        <f t="shared" si="139"/>
        <v>9.692828905567219E-3</v>
      </c>
      <c r="S1149" s="44" t="s">
        <v>1394</v>
      </c>
      <c r="T1149" s="45">
        <v>3.3040338</v>
      </c>
      <c r="U1149" s="45">
        <v>-1.6019748E-2</v>
      </c>
      <c r="V1149" s="45">
        <v>3.7645988999999998E-2</v>
      </c>
      <c r="W1149" s="45">
        <v>2.1532463999999999E-3</v>
      </c>
      <c r="X1149" s="45">
        <v>-2.0498123E-4</v>
      </c>
      <c r="Y1149" s="45">
        <v>2.7623217E-5</v>
      </c>
      <c r="Z1149" s="36">
        <v>3.99</v>
      </c>
      <c r="AA1149" s="38">
        <v>628</v>
      </c>
      <c r="AB1149" s="38"/>
      <c r="AC1149" s="49" t="s">
        <v>506</v>
      </c>
      <c r="AD1149" s="49" t="s">
        <v>506</v>
      </c>
      <c r="AE1149" s="48"/>
    </row>
    <row r="1150" spans="1:31" ht="15" thickBot="1">
      <c r="A1150" s="34">
        <v>1148</v>
      </c>
      <c r="B1150" s="34" t="s">
        <v>1026</v>
      </c>
      <c r="C1150" s="41" t="s">
        <v>1358</v>
      </c>
      <c r="D1150" s="34" t="s">
        <v>1004</v>
      </c>
      <c r="E1150" s="80">
        <f t="shared" si="130"/>
        <v>1.8979961427764258</v>
      </c>
      <c r="F1150" s="35">
        <f t="shared" si="138"/>
        <v>34.002602713869194</v>
      </c>
      <c r="G1150" s="42" cm="1">
        <f t="array" ref="G115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33.761843695039992</v>
      </c>
      <c r="H1150" s="81" cm="1">
        <f t="array" ref="H11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1.8902582815404108</v>
      </c>
      <c r="I1150" s="81" cm="1">
        <f t="array" ref="I11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1.8979961427764258</v>
      </c>
      <c r="J1150" s="81" cm="1">
        <f t="array" ref="J11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1.9042512197009911</v>
      </c>
      <c r="K1150" s="81" cm="1">
        <f t="array" ref="K11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1.9166679111306228</v>
      </c>
      <c r="L1150" s="81" cm="1">
        <f t="array" ref="L115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1.9321716567891505</v>
      </c>
      <c r="M1150" s="37">
        <f t="shared" si="131"/>
        <v>2.6409629590212091E-2</v>
      </c>
      <c r="N1150" s="43">
        <f t="shared" si="132"/>
        <v>7.7378612360150534E-3</v>
      </c>
      <c r="O1150" s="43">
        <f t="shared" si="133"/>
        <v>1.5503745658527635E-2</v>
      </c>
      <c r="P1150" s="43">
        <f t="shared" si="134"/>
        <v>0.29299393274651803</v>
      </c>
      <c r="Q1150" s="37">
        <f t="shared" si="135"/>
        <v>0.58704896278718033</v>
      </c>
      <c r="R1150" s="37">
        <f t="shared" si="139"/>
        <v>5.4205079615765595E-4</v>
      </c>
      <c r="S1150" s="44" t="s">
        <v>1394</v>
      </c>
      <c r="T1150" s="45">
        <v>3.4771030000000001</v>
      </c>
      <c r="U1150" s="45">
        <v>-1.493764E-2</v>
      </c>
      <c r="V1150" s="45">
        <v>4.0192698999999998E-2</v>
      </c>
      <c r="W1150" s="45">
        <v>1.8404932E-3</v>
      </c>
      <c r="X1150" s="45">
        <v>-1.0009344E-4</v>
      </c>
      <c r="Y1150" s="45">
        <v>1.4346776000000001E-5</v>
      </c>
      <c r="Z1150" s="36">
        <v>4.92</v>
      </c>
      <c r="AA1150" s="38">
        <v>655</v>
      </c>
      <c r="AB1150" s="38"/>
      <c r="AC1150" s="49" t="s">
        <v>506</v>
      </c>
      <c r="AD1150" s="49" t="s">
        <v>506</v>
      </c>
      <c r="AE1150" s="48"/>
    </row>
    <row r="1151" spans="1:31" ht="15" thickBot="1">
      <c r="A1151" s="34">
        <v>1149</v>
      </c>
      <c r="B1151" s="34" t="s">
        <v>1026</v>
      </c>
      <c r="C1151" s="41" t="s">
        <v>1358</v>
      </c>
      <c r="D1151" s="34" t="s">
        <v>1005</v>
      </c>
      <c r="E1151" s="80">
        <f t="shared" si="130"/>
        <v>1.9110003564690377</v>
      </c>
      <c r="F1151" s="35">
        <f t="shared" si="138"/>
        <v>35.219482068203391</v>
      </c>
      <c r="G1151" s="42" cm="1">
        <f t="array" ref="G115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34.971892339844437</v>
      </c>
      <c r="H1151" s="81" cm="1">
        <f t="array" ref="H11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1.9034090965964967</v>
      </c>
      <c r="I1151" s="81" cm="1">
        <f t="array" ref="I11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1.9110003564690377</v>
      </c>
      <c r="J1151" s="81" cm="1">
        <f t="array" ref="J11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1.917130325019788</v>
      </c>
      <c r="K1151" s="81" cm="1">
        <f t="array" ref="K11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1.9292754723343586</v>
      </c>
      <c r="L1151" s="81" cm="1">
        <f t="array" ref="L115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1.9443715223809281</v>
      </c>
      <c r="M1151" s="37">
        <f t="shared" si="131"/>
        <v>2.586637573786188E-2</v>
      </c>
      <c r="N1151" s="43">
        <f t="shared" si="132"/>
        <v>7.5912598725409453E-3</v>
      </c>
      <c r="O1151" s="43">
        <f t="shared" si="133"/>
        <v>1.5096050046569554E-2</v>
      </c>
      <c r="P1151" s="43">
        <f t="shared" si="134"/>
        <v>0.29347984230466606</v>
      </c>
      <c r="Q1151" s="37">
        <f t="shared" si="135"/>
        <v>0.5836167462947941</v>
      </c>
      <c r="R1151" s="37">
        <f t="shared" si="139"/>
        <v>-9.1539719341826586E-4</v>
      </c>
      <c r="S1151" s="44" t="s">
        <v>1394</v>
      </c>
      <c r="T1151" s="45">
        <v>3.5274271000000001</v>
      </c>
      <c r="U1151" s="45">
        <v>-1.4636659999999999E-2</v>
      </c>
      <c r="V1151" s="45">
        <v>4.0395739E-2</v>
      </c>
      <c r="W1151" s="45">
        <v>1.5517485000000001E-3</v>
      </c>
      <c r="X1151" s="45">
        <v>-4.6386508999999998E-5</v>
      </c>
      <c r="Y1151" s="45">
        <v>9.1517458000000001E-6</v>
      </c>
      <c r="Z1151" s="36">
        <v>4.9000000000000004</v>
      </c>
      <c r="AA1151" s="38">
        <v>714</v>
      </c>
      <c r="AB1151" s="38"/>
      <c r="AC1151" s="49" t="s">
        <v>506</v>
      </c>
      <c r="AD1151" s="49" t="s">
        <v>506</v>
      </c>
      <c r="AE1151" s="48"/>
    </row>
    <row r="1152" spans="1:31" ht="15" thickBot="1">
      <c r="A1152" s="34">
        <v>1150</v>
      </c>
      <c r="B1152" s="34" t="s">
        <v>1026</v>
      </c>
      <c r="C1152" s="41" t="s">
        <v>1356</v>
      </c>
      <c r="D1152" s="34" t="s">
        <v>1006</v>
      </c>
      <c r="E1152" s="80">
        <f t="shared" si="130"/>
        <v>1.7173608672409797</v>
      </c>
      <c r="F1152" s="35">
        <f t="shared" si="138"/>
        <v>29.503538375647715</v>
      </c>
      <c r="G1152" s="42" cm="1">
        <f t="array" ref="G115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29.277050266767166</v>
      </c>
      <c r="H1152" s="81" cm="1">
        <f t="array" ref="H11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1.7103112069170874</v>
      </c>
      <c r="I1152" s="81" cm="1">
        <f t="array" ref="I11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1.7173608672409797</v>
      </c>
      <c r="J1152" s="81" cm="1">
        <f t="array" ref="J11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1.7231015973490067</v>
      </c>
      <c r="K1152" s="81" cm="1">
        <f t="array" ref="K11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1.7346256080613613</v>
      </c>
      <c r="L1152" s="81" cm="1">
        <f t="array" ref="L115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1.7492827458111848</v>
      </c>
      <c r="M1152" s="37">
        <f t="shared" si="131"/>
        <v>2.4314401144273967E-2</v>
      </c>
      <c r="N1152" s="43">
        <f t="shared" si="132"/>
        <v>7.049660323892315E-3</v>
      </c>
      <c r="O1152" s="43">
        <f t="shared" si="133"/>
        <v>1.4657137749823468E-2</v>
      </c>
      <c r="P1152" s="43">
        <f t="shared" si="134"/>
        <v>0.28993764979288861</v>
      </c>
      <c r="Q1152" s="37">
        <f t="shared" si="135"/>
        <v>0.60281713963887684</v>
      </c>
      <c r="R1152" s="37">
        <f t="shared" si="139"/>
        <v>9.0090843458562331E-3</v>
      </c>
      <c r="S1152" s="44" t="s">
        <v>1394</v>
      </c>
      <c r="T1152" s="45">
        <v>2.8465679000000002</v>
      </c>
      <c r="U1152" s="45">
        <v>-1.179579E-2</v>
      </c>
      <c r="V1152" s="45">
        <v>3.2766630999999997E-2</v>
      </c>
      <c r="W1152" s="45">
        <v>1.4514223000000001E-3</v>
      </c>
      <c r="X1152" s="45">
        <v>-4.8225154999999997E-5</v>
      </c>
      <c r="Y1152" s="45">
        <v>1.2981324E-5</v>
      </c>
      <c r="Z1152" s="36">
        <v>3.03</v>
      </c>
      <c r="AA1152" s="38">
        <v>618</v>
      </c>
      <c r="AB1152" s="38"/>
      <c r="AC1152" s="49" t="s">
        <v>506</v>
      </c>
      <c r="AD1152" s="49" t="s">
        <v>506</v>
      </c>
      <c r="AE1152" s="48"/>
    </row>
    <row r="1153" spans="1:31" ht="15" thickBot="1">
      <c r="A1153" s="34">
        <v>1151</v>
      </c>
      <c r="B1153" s="34" t="s">
        <v>1026</v>
      </c>
      <c r="C1153" s="41" t="s">
        <v>1356</v>
      </c>
      <c r="D1153" s="34" t="s">
        <v>1007</v>
      </c>
      <c r="E1153" s="80">
        <f t="shared" si="130"/>
        <v>1.7551992044635027</v>
      </c>
      <c r="F1153" s="35">
        <f t="shared" si="138"/>
        <v>27.497363469824094</v>
      </c>
      <c r="G1153" s="42" cm="1">
        <f t="array" ref="G115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27.273685185658859</v>
      </c>
      <c r="H1153" s="81" cm="1">
        <f t="array" ref="H11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1.7472915948634045</v>
      </c>
      <c r="I1153" s="81" cm="1">
        <f t="array" ref="I11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1.7551992044635027</v>
      </c>
      <c r="J1153" s="81" cm="1">
        <f t="array" ref="J11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1.7616727727210362</v>
      </c>
      <c r="K1153" s="81" cm="1">
        <f t="array" ref="K11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1.7747560172358354</v>
      </c>
      <c r="L1153" s="81" cm="1">
        <f t="array" ref="L115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1.7915547150099853</v>
      </c>
      <c r="M1153" s="37">
        <f t="shared" si="131"/>
        <v>2.7464422372430963E-2</v>
      </c>
      <c r="N1153" s="43">
        <f t="shared" si="132"/>
        <v>7.9076096000982865E-3</v>
      </c>
      <c r="O1153" s="43">
        <f t="shared" si="133"/>
        <v>1.6798697774149884E-2</v>
      </c>
      <c r="P1153" s="43">
        <f t="shared" si="134"/>
        <v>0.28792193379737768</v>
      </c>
      <c r="Q1153" s="37">
        <f t="shared" si="135"/>
        <v>0.61165305231442146</v>
      </c>
      <c r="R1153" s="37">
        <f t="shared" si="139"/>
        <v>1.4589348874328389E-2</v>
      </c>
      <c r="S1153" s="44" t="s">
        <v>1394</v>
      </c>
      <c r="T1153" s="45">
        <v>2.9621759000000001</v>
      </c>
      <c r="U1153" s="45">
        <v>-1.1836005E-2</v>
      </c>
      <c r="V1153" s="45">
        <v>3.7648353000000002E-2</v>
      </c>
      <c r="W1153" s="45">
        <v>1.5341600999999999E-3</v>
      </c>
      <c r="X1153" s="45">
        <v>-1.0776303E-5</v>
      </c>
      <c r="Y1153" s="45">
        <v>1.3789239999999999E-5</v>
      </c>
      <c r="Z1153" s="36">
        <v>3.19</v>
      </c>
      <c r="AA1153" s="38">
        <v>613</v>
      </c>
      <c r="AB1153" s="38"/>
      <c r="AC1153" s="49" t="s">
        <v>506</v>
      </c>
      <c r="AD1153" s="49" t="s">
        <v>506</v>
      </c>
      <c r="AE1153" s="48"/>
    </row>
    <row r="1154" spans="1:31" ht="15" thickBot="1">
      <c r="A1154" s="34">
        <v>1152</v>
      </c>
      <c r="B1154" s="34" t="s">
        <v>1026</v>
      </c>
      <c r="C1154" s="41" t="s">
        <v>1356</v>
      </c>
      <c r="D1154" s="34" t="s">
        <v>1008</v>
      </c>
      <c r="E1154" s="80">
        <f t="shared" si="130"/>
        <v>1.8051888838330825</v>
      </c>
      <c r="F1154" s="35">
        <f t="shared" si="138"/>
        <v>25.405269899067459</v>
      </c>
      <c r="G1154" s="42" cm="1">
        <f t="array" ref="G115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25.201340054267622</v>
      </c>
      <c r="H1154" s="81" cm="1">
        <f t="array" ref="H11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1.7961025528934085</v>
      </c>
      <c r="I1154" s="81" cm="1">
        <f t="array" ref="I11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1.8051888838330825</v>
      </c>
      <c r="J1154" s="81" cm="1">
        <f t="array" ref="J11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1.812653843127578</v>
      </c>
      <c r="K1154" s="81" cm="1">
        <f t="array" ref="K11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1.8277963269423367</v>
      </c>
      <c r="L1154" s="81" cm="1">
        <f t="array" ref="L115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1.847310087383959</v>
      </c>
      <c r="M1154" s="37">
        <f t="shared" si="131"/>
        <v>3.1693774048928258E-2</v>
      </c>
      <c r="N1154" s="43">
        <f t="shared" si="132"/>
        <v>9.0863309396740366E-3</v>
      </c>
      <c r="O1154" s="43">
        <f t="shared" si="133"/>
        <v>1.951376044162223E-2</v>
      </c>
      <c r="P1154" s="43">
        <f t="shared" si="134"/>
        <v>0.28669135223992975</v>
      </c>
      <c r="Q1154" s="37">
        <f t="shared" si="135"/>
        <v>0.61569696343191094</v>
      </c>
      <c r="R1154" s="37">
        <f t="shared" si="139"/>
        <v>1.5238181857122557E-2</v>
      </c>
      <c r="S1154" s="44" t="s">
        <v>1394</v>
      </c>
      <c r="T1154" s="45">
        <v>3.1176008999999998</v>
      </c>
      <c r="U1154" s="45">
        <v>-1.2108189E-2</v>
      </c>
      <c r="V1154" s="45">
        <v>4.4689742999999997E-2</v>
      </c>
      <c r="W1154" s="45">
        <v>1.6574764999999999E-3</v>
      </c>
      <c r="X1154" s="45">
        <v>4.1984441999999999E-5</v>
      </c>
      <c r="Y1154" s="45">
        <v>1.2913499999999999E-5</v>
      </c>
      <c r="Z1154" s="36">
        <v>3.4</v>
      </c>
      <c r="AA1154" s="38">
        <v>609</v>
      </c>
      <c r="AB1154" s="38"/>
      <c r="AC1154" s="49" t="s">
        <v>506</v>
      </c>
      <c r="AD1154" s="49" t="s">
        <v>506</v>
      </c>
      <c r="AE1154" s="48"/>
    </row>
    <row r="1155" spans="1:31" ht="15" thickBot="1">
      <c r="A1155" s="34">
        <v>1153</v>
      </c>
      <c r="B1155" s="34" t="s">
        <v>1026</v>
      </c>
      <c r="C1155" s="41" t="s">
        <v>1356</v>
      </c>
      <c r="D1155" s="34" t="s">
        <v>1009</v>
      </c>
      <c r="E1155" s="80">
        <f t="shared" ref="E1155:E1196" si="140">I1155</f>
        <v>1.6889299738724119</v>
      </c>
      <c r="F1155" s="35">
        <f t="shared" si="138"/>
        <v>31.121790452233022</v>
      </c>
      <c r="G1155" s="42" cm="1">
        <f t="array" ref="G115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30.883408884134468</v>
      </c>
      <c r="H1155" s="81" cm="1">
        <f t="array" ref="H11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1.6824943001903327</v>
      </c>
      <c r="I1155" s="81" cm="1">
        <f t="array" ref="I11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1.6889299738724119</v>
      </c>
      <c r="J1155" s="81" cm="1">
        <f t="array" ref="J11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1.6941601666130075</v>
      </c>
      <c r="K1155" s="81" cm="1">
        <f t="array" ref="K11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1.7046308792194156</v>
      </c>
      <c r="L1155" s="81" cm="1">
        <f t="array" ref="L115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1.7178826184480853</v>
      </c>
      <c r="M1155" s="37">
        <f t="shared" ref="M1155:M1196" si="141">K1155-H1155</f>
        <v>2.2136579029082837E-2</v>
      </c>
      <c r="N1155" s="43">
        <f t="shared" ref="N1155:N1196" si="142">I1155-H1155</f>
        <v>6.4356736820792015E-3</v>
      </c>
      <c r="O1155" s="43">
        <f t="shared" ref="O1155:O1196" si="143">L1155-K1155</f>
        <v>1.3251739228669734E-2</v>
      </c>
      <c r="P1155" s="43">
        <f t="shared" ref="P1155:P1196" si="144">(I1155-H1155)/M1155</f>
        <v>0.29072575638828707</v>
      </c>
      <c r="Q1155" s="37">
        <f t="shared" ref="Q1155:Q1196" si="145">(L1155-K1155)/M1155</f>
        <v>0.59863537230661157</v>
      </c>
      <c r="R1155" s="37">
        <f t="shared" si="139"/>
        <v>7.4534386739394387E-3</v>
      </c>
      <c r="S1155" s="44" t="s">
        <v>1394</v>
      </c>
      <c r="T1155" s="45">
        <v>2.7609221000000002</v>
      </c>
      <c r="U1155" s="45">
        <v>-1.1601353999999999E-2</v>
      </c>
      <c r="V1155" s="45">
        <v>2.9309701000000001E-2</v>
      </c>
      <c r="W1155" s="45">
        <v>1.2957191999999999E-3</v>
      </c>
      <c r="X1155" s="45">
        <v>-3.6971080999999997E-5</v>
      </c>
      <c r="Y1155" s="45">
        <v>9.8723480999999999E-6</v>
      </c>
      <c r="Z1155" s="36">
        <v>2.94</v>
      </c>
      <c r="AA1155" s="38">
        <v>618</v>
      </c>
      <c r="AB1155" s="38"/>
      <c r="AC1155" s="49" t="s">
        <v>506</v>
      </c>
      <c r="AD1155" s="49" t="s">
        <v>506</v>
      </c>
      <c r="AE1155" s="48"/>
    </row>
    <row r="1156" spans="1:31" ht="15" thickBot="1">
      <c r="A1156" s="34">
        <v>1154</v>
      </c>
      <c r="B1156" s="34" t="s">
        <v>1026</v>
      </c>
      <c r="C1156" s="41" t="s">
        <v>1356</v>
      </c>
      <c r="D1156" s="34" t="s">
        <v>1023</v>
      </c>
      <c r="E1156" s="80">
        <f t="shared" si="140"/>
        <v>1.6890978788944928</v>
      </c>
      <c r="F1156" s="35">
        <f t="shared" si="138"/>
        <v>31.169584847313246</v>
      </c>
      <c r="G1156" s="42" cm="1">
        <f t="array" ref="G115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30.931231106004468</v>
      </c>
      <c r="H1156" s="81" cm="1">
        <f t="array" ref="H11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1.68266911687736</v>
      </c>
      <c r="I1156" s="81" cm="1">
        <f t="array" ref="I11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1.6890978788944928</v>
      </c>
      <c r="J1156" s="81" cm="1">
        <f t="array" ref="J11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1.694321408894506</v>
      </c>
      <c r="K1156" s="81" cm="1">
        <f t="array" ref="K11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1.704777139241793</v>
      </c>
      <c r="L1156" s="81" cm="1">
        <f t="array" ref="L115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1.718011352170929</v>
      </c>
      <c r="M1156" s="37">
        <f t="shared" si="141"/>
        <v>2.2108022364432989E-2</v>
      </c>
      <c r="N1156" s="43">
        <f t="shared" si="142"/>
        <v>6.4287620171328275E-3</v>
      </c>
      <c r="O1156" s="43">
        <f t="shared" si="143"/>
        <v>1.3234212929136069E-2</v>
      </c>
      <c r="P1156" s="43">
        <f t="shared" si="144"/>
        <v>0.29078865179163699</v>
      </c>
      <c r="Q1156" s="37">
        <f t="shared" si="145"/>
        <v>0.59861586491006291</v>
      </c>
      <c r="R1156" s="37">
        <f t="shared" si="139"/>
        <v>7.5114926771130408E-3</v>
      </c>
      <c r="S1156" s="44" t="s">
        <v>1394</v>
      </c>
      <c r="T1156" s="45">
        <v>2.7616037000000002</v>
      </c>
      <c r="U1156" s="45">
        <v>-1.1625188E-2</v>
      </c>
      <c r="V1156" s="45">
        <v>2.9251663000000001E-2</v>
      </c>
      <c r="W1156" s="45">
        <v>1.3183689E-3</v>
      </c>
      <c r="X1156" s="45">
        <v>-4.4020904000000002E-5</v>
      </c>
      <c r="Y1156" s="45">
        <v>1.0486389999999999E-5</v>
      </c>
      <c r="Z1156" s="36">
        <v>2.94</v>
      </c>
      <c r="AA1156" s="38">
        <v>611</v>
      </c>
      <c r="AB1156" s="38"/>
      <c r="AC1156" s="49" t="s">
        <v>506</v>
      </c>
      <c r="AD1156" s="49" t="s">
        <v>506</v>
      </c>
      <c r="AE1156" s="46" t="s">
        <v>770</v>
      </c>
    </row>
    <row r="1157" spans="1:31" ht="15" thickBot="1">
      <c r="A1157" s="34">
        <v>1155</v>
      </c>
      <c r="B1157" s="34" t="s">
        <v>1026</v>
      </c>
      <c r="C1157" s="41" t="s">
        <v>1356</v>
      </c>
      <c r="D1157" s="34" t="s">
        <v>1010</v>
      </c>
      <c r="E1157" s="80">
        <f t="shared" si="140"/>
        <v>1.7847347611759827</v>
      </c>
      <c r="F1157" s="35">
        <f t="shared" si="138"/>
        <v>25.912019491789454</v>
      </c>
      <c r="G1157" s="42" cm="1">
        <f t="array" ref="G115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25.703126980374368</v>
      </c>
      <c r="H1157" s="81" cm="1">
        <f t="array" ref="H11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1.7760424756392623</v>
      </c>
      <c r="I1157" s="81" cm="1">
        <f t="array" ref="I11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1.7847347611759827</v>
      </c>
      <c r="J1157" s="81" cm="1">
        <f t="array" ref="J11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1.7918691328680947</v>
      </c>
      <c r="K1157" s="81" cm="1">
        <f t="array" ref="K11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1.8063270608073398</v>
      </c>
      <c r="L1157" s="81" cm="1">
        <f t="array" ref="L115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1.8249552745643207</v>
      </c>
      <c r="M1157" s="37">
        <f t="shared" si="141"/>
        <v>3.0284585168077527E-2</v>
      </c>
      <c r="N1157" s="43">
        <f t="shared" si="142"/>
        <v>8.6922855367204122E-3</v>
      </c>
      <c r="O1157" s="43">
        <f t="shared" si="143"/>
        <v>1.8628213756980871E-2</v>
      </c>
      <c r="P1157" s="43">
        <f t="shared" si="144"/>
        <v>0.28702012883712219</v>
      </c>
      <c r="Q1157" s="37">
        <f t="shared" si="145"/>
        <v>0.61510546218795692</v>
      </c>
      <c r="R1157" s="37">
        <f t="shared" si="139"/>
        <v>1.5469040801099343E-2</v>
      </c>
      <c r="S1157" s="44" t="s">
        <v>1394</v>
      </c>
      <c r="T1157" s="45">
        <v>3.0529130000000002</v>
      </c>
      <c r="U1157" s="45">
        <v>-1.2276955000000001E-2</v>
      </c>
      <c r="V1157" s="45">
        <v>4.1487837E-2</v>
      </c>
      <c r="W1157" s="45">
        <v>1.9043764000000001E-3</v>
      </c>
      <c r="X1157" s="45">
        <v>-3.1653156999999999E-5</v>
      </c>
      <c r="Y1157" s="45">
        <v>1.7320424999999999E-5</v>
      </c>
      <c r="Z1157" s="36">
        <v>3.3</v>
      </c>
      <c r="AA1157" s="38">
        <v>609</v>
      </c>
      <c r="AB1157" s="38"/>
      <c r="AC1157" s="49" t="s">
        <v>506</v>
      </c>
      <c r="AD1157" s="49" t="s">
        <v>506</v>
      </c>
      <c r="AE1157" s="48"/>
    </row>
    <row r="1158" spans="1:31" ht="15" thickBot="1">
      <c r="A1158" s="34">
        <v>1156</v>
      </c>
      <c r="B1158" s="34" t="s">
        <v>1026</v>
      </c>
      <c r="C1158" s="41" t="s">
        <v>1356</v>
      </c>
      <c r="D1158" s="34" t="s">
        <v>1011</v>
      </c>
      <c r="E1158" s="80">
        <f t="shared" si="140"/>
        <v>1.7618213998235277</v>
      </c>
      <c r="F1158" s="35">
        <f t="shared" si="138"/>
        <v>26.512944333543491</v>
      </c>
      <c r="G1158" s="42" cm="1">
        <f t="array" ref="G115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26.296918860541354</v>
      </c>
      <c r="H1158" s="81" cm="1">
        <f t="array" ref="H11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1.753566675357485</v>
      </c>
      <c r="I1158" s="81" cm="1">
        <f t="array" ref="I11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1.7618213998235277</v>
      </c>
      <c r="J1158" s="81" cm="1">
        <f t="array" ref="J11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1.768589646878816</v>
      </c>
      <c r="K1158" s="81" cm="1">
        <f t="array" ref="K11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1.7823006171724531</v>
      </c>
      <c r="L1158" s="81" cm="1">
        <f t="array" ref="L115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1.7999509140550054</v>
      </c>
      <c r="M1158" s="37">
        <f t="shared" si="141"/>
        <v>2.8733941814968134E-2</v>
      </c>
      <c r="N1158" s="43">
        <f t="shared" si="142"/>
        <v>8.2547244660426955E-3</v>
      </c>
      <c r="O1158" s="43">
        <f t="shared" si="143"/>
        <v>1.7650296882552263E-2</v>
      </c>
      <c r="P1158" s="43">
        <f t="shared" si="144"/>
        <v>0.28728131069516644</v>
      </c>
      <c r="Q1158" s="37">
        <f t="shared" si="145"/>
        <v>0.61426646563883003</v>
      </c>
      <c r="R1158" s="37">
        <f t="shared" si="139"/>
        <v>1.5605233325421297E-2</v>
      </c>
      <c r="S1158" s="44" t="s">
        <v>1394</v>
      </c>
      <c r="T1158" s="45">
        <v>2.9787433000000001</v>
      </c>
      <c r="U1158" s="45">
        <v>-1.1798697E-2</v>
      </c>
      <c r="V1158" s="45">
        <v>4.0432992000000001E-2</v>
      </c>
      <c r="W1158" s="45">
        <v>1.1404668E-3</v>
      </c>
      <c r="X1158" s="45">
        <v>8.4929619000000006E-5</v>
      </c>
      <c r="Y1158" s="45">
        <v>8.4096470000000002E-6</v>
      </c>
      <c r="Z1158" s="36">
        <v>3.15</v>
      </c>
      <c r="AA1158" s="38">
        <v>602</v>
      </c>
      <c r="AB1158" s="38"/>
      <c r="AC1158" s="49" t="s">
        <v>506</v>
      </c>
      <c r="AD1158" s="49" t="s">
        <v>506</v>
      </c>
      <c r="AE1158" s="48"/>
    </row>
    <row r="1159" spans="1:31" ht="15" thickBot="1">
      <c r="A1159" s="34">
        <v>1157</v>
      </c>
      <c r="B1159" s="34" t="s">
        <v>1026</v>
      </c>
      <c r="C1159" s="41" t="s">
        <v>1356</v>
      </c>
      <c r="D1159" s="34" t="s">
        <v>1012</v>
      </c>
      <c r="E1159" s="80">
        <f t="shared" si="140"/>
        <v>1.8466986966628094</v>
      </c>
      <c r="F1159" s="35">
        <f t="shared" si="138"/>
        <v>23.832407991003492</v>
      </c>
      <c r="G1159" s="42" cm="1">
        <f t="array" ref="G115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23.645521339914009</v>
      </c>
      <c r="H1159" s="81" cm="1">
        <f t="array" ref="H11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1.8365411634639528</v>
      </c>
      <c r="I1159" s="81" cm="1">
        <f t="array" ref="I11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1.8466986966628094</v>
      </c>
      <c r="J1159" s="81" cm="1">
        <f t="array" ref="J11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1.8550627924892014</v>
      </c>
      <c r="K1159" s="81" cm="1">
        <f t="array" ref="K11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1.8720683622674656</v>
      </c>
      <c r="L1159" s="81" cm="1">
        <f t="array" ref="L115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1.8940917137089706</v>
      </c>
      <c r="M1159" s="37">
        <f t="shared" si="141"/>
        <v>3.5527198803512849E-2</v>
      </c>
      <c r="N1159" s="43">
        <f t="shared" si="142"/>
        <v>1.0157533198856594E-2</v>
      </c>
      <c r="O1159" s="43">
        <f t="shared" si="143"/>
        <v>2.2023351441504913E-2</v>
      </c>
      <c r="P1159" s="43">
        <f t="shared" si="144"/>
        <v>0.28590864298178892</v>
      </c>
      <c r="Q1159" s="37">
        <f t="shared" si="145"/>
        <v>0.61990115132092238</v>
      </c>
      <c r="R1159" s="37">
        <f t="shared" si="139"/>
        <v>1.6889907873679832E-2</v>
      </c>
      <c r="S1159" s="44" t="s">
        <v>1394</v>
      </c>
      <c r="T1159" s="45">
        <v>3.2514481000000002</v>
      </c>
      <c r="U1159" s="45">
        <v>-1.3518435000000001E-2</v>
      </c>
      <c r="V1159" s="45">
        <v>4.8164105999999998E-2</v>
      </c>
      <c r="W1159" s="45">
        <v>3.0770868E-3</v>
      </c>
      <c r="X1159" s="45">
        <v>-1.6501402E-4</v>
      </c>
      <c r="Y1159" s="45">
        <v>3.1160759999999999E-5</v>
      </c>
      <c r="Z1159" s="36">
        <v>3.49</v>
      </c>
      <c r="AA1159" s="38">
        <v>604</v>
      </c>
      <c r="AB1159" s="38"/>
      <c r="AC1159" s="49" t="s">
        <v>506</v>
      </c>
      <c r="AD1159" s="49" t="s">
        <v>506</v>
      </c>
      <c r="AE1159" s="48"/>
    </row>
    <row r="1160" spans="1:31" ht="15" thickBot="1">
      <c r="A1160" s="34">
        <v>1158</v>
      </c>
      <c r="B1160" s="34" t="s">
        <v>1026</v>
      </c>
      <c r="C1160" s="41" t="s">
        <v>1356</v>
      </c>
      <c r="D1160" s="34" t="s">
        <v>1024</v>
      </c>
      <c r="E1160" s="80">
        <f t="shared" si="140"/>
        <v>1.8467013380903541</v>
      </c>
      <c r="F1160" s="35">
        <f t="shared" si="138"/>
        <v>23.836731251015294</v>
      </c>
      <c r="G1160" s="42" cm="1">
        <f t="array" ref="G116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23.646363395736422</v>
      </c>
      <c r="H1160" s="81" cm="1">
        <f t="array" ref="H11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1.8365563985264335</v>
      </c>
      <c r="I1160" s="81" cm="1">
        <f t="array" ref="I11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1.8467013380903541</v>
      </c>
      <c r="J1160" s="81" cm="1">
        <f t="array" ref="J11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1.8550603716158549</v>
      </c>
      <c r="K1160" s="81" cm="1">
        <f t="array" ref="K11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1.8720772645870554</v>
      </c>
      <c r="L1160" s="81" cm="1">
        <f t="array" ref="L116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1.8941215046067061</v>
      </c>
      <c r="M1160" s="37">
        <f t="shared" si="141"/>
        <v>3.5520866060621881E-2</v>
      </c>
      <c r="N1160" s="43">
        <f t="shared" si="142"/>
        <v>1.0144939563920596E-2</v>
      </c>
      <c r="O1160" s="43">
        <f t="shared" si="143"/>
        <v>2.2044240019650774E-2</v>
      </c>
      <c r="P1160" s="43">
        <f t="shared" si="144"/>
        <v>0.28560507355329345</v>
      </c>
      <c r="Q1160" s="37">
        <f t="shared" si="145"/>
        <v>0.62059973374604238</v>
      </c>
      <c r="R1160" s="37">
        <f t="shared" si="139"/>
        <v>1.7595506144430173E-2</v>
      </c>
      <c r="S1160" s="44" t="s">
        <v>1394</v>
      </c>
      <c r="T1160" s="45">
        <v>3.2497343000000001</v>
      </c>
      <c r="U1160" s="45">
        <v>-1.306627E-2</v>
      </c>
      <c r="V1160" s="45">
        <v>5.0214783999999998E-2</v>
      </c>
      <c r="W1160" s="45">
        <v>2.1132827E-3</v>
      </c>
      <c r="X1160" s="45">
        <v>2.6714561999999999E-5</v>
      </c>
      <c r="Y1160" s="45">
        <v>1.7728631E-5</v>
      </c>
      <c r="Z1160" s="36">
        <v>3.49</v>
      </c>
      <c r="AA1160" s="38">
        <v>605</v>
      </c>
      <c r="AB1160" s="38"/>
      <c r="AC1160" s="49" t="s">
        <v>506</v>
      </c>
      <c r="AD1160" s="49" t="s">
        <v>506</v>
      </c>
      <c r="AE1160" s="46" t="s">
        <v>770</v>
      </c>
    </row>
    <row r="1161" spans="1:31" ht="15" thickBot="1">
      <c r="A1161" s="34">
        <v>1159</v>
      </c>
      <c r="B1161" s="34" t="s">
        <v>1026</v>
      </c>
      <c r="C1161" s="41" t="s">
        <v>1358</v>
      </c>
      <c r="D1161" s="34" t="s">
        <v>1013</v>
      </c>
      <c r="E1161" s="80">
        <f t="shared" si="140"/>
        <v>2.0068044681766217</v>
      </c>
      <c r="F1161" s="35">
        <f t="shared" si="138"/>
        <v>26.186964324635262</v>
      </c>
      <c r="G1161" s="42" cm="1">
        <f t="array" ref="G116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25.982218964469897</v>
      </c>
      <c r="H1161" s="81" cm="1">
        <f t="array" ref="H11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1.9957504375572797</v>
      </c>
      <c r="I1161" s="81" cm="1">
        <f t="array" ref="I11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2.0068044681766217</v>
      </c>
      <c r="J1161" s="81" cm="1">
        <f t="array" ref="J11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2.0158713397631081</v>
      </c>
      <c r="K1161" s="81" cm="1">
        <f t="array" ref="K11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2.0341972180124497</v>
      </c>
      <c r="L1161" s="81" cm="1">
        <f t="array" ref="L116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2.0576634494486274</v>
      </c>
      <c r="M1161" s="37">
        <f t="shared" si="141"/>
        <v>3.8446780455170027E-2</v>
      </c>
      <c r="N1161" s="43">
        <f t="shared" si="142"/>
        <v>1.105403061934207E-2</v>
      </c>
      <c r="O1161" s="43">
        <f t="shared" si="143"/>
        <v>2.3466231436177765E-2</v>
      </c>
      <c r="P1161" s="43">
        <f t="shared" si="144"/>
        <v>0.28751511800139845</v>
      </c>
      <c r="Q1161" s="37">
        <f t="shared" si="145"/>
        <v>0.61035621600461498</v>
      </c>
      <c r="R1161" s="37">
        <f t="shared" si="139"/>
        <v>1.1165978862711978E-2</v>
      </c>
      <c r="S1161" s="44" t="s">
        <v>1394</v>
      </c>
      <c r="T1161" s="45">
        <v>3.8356956000000002</v>
      </c>
      <c r="U1161" s="45">
        <v>-1.5106203E-2</v>
      </c>
      <c r="V1161" s="45">
        <v>6.0037569999999998E-2</v>
      </c>
      <c r="W1161" s="45">
        <v>2.6135256E-3</v>
      </c>
      <c r="X1161" s="45">
        <v>-1.9280272999999998E-5</v>
      </c>
      <c r="Y1161" s="45">
        <v>2.0127922000000001E-5</v>
      </c>
      <c r="Z1161" s="36">
        <v>4.8</v>
      </c>
      <c r="AA1161" s="38">
        <v>733</v>
      </c>
      <c r="AB1161" s="38"/>
      <c r="AC1161" s="49" t="s">
        <v>506</v>
      </c>
      <c r="AD1161" s="49" t="s">
        <v>506</v>
      </c>
      <c r="AE1161" s="48"/>
    </row>
    <row r="1162" spans="1:31" ht="15" thickBot="1">
      <c r="A1162" s="34">
        <v>1160</v>
      </c>
      <c r="B1162" s="34" t="s">
        <v>1026</v>
      </c>
      <c r="C1162" s="41" t="s">
        <v>1358</v>
      </c>
      <c r="D1162" s="34" t="s">
        <v>1025</v>
      </c>
      <c r="E1162" s="80">
        <f t="shared" si="140"/>
        <v>1.8591979852857061</v>
      </c>
      <c r="F1162" s="35">
        <f t="shared" si="138"/>
        <v>33.025056794493985</v>
      </c>
      <c r="G1162" s="42" cm="1">
        <f t="array" ref="G116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32.783267544134063</v>
      </c>
      <c r="H1162" s="81" cm="1">
        <f t="array" ref="H11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1.8516060847956726</v>
      </c>
      <c r="I1162" s="81" cm="1">
        <f t="array" ref="I11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1.8591979852857061</v>
      </c>
      <c r="J1162" s="81" cm="1">
        <f t="array" ref="J11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1.8653624367860431</v>
      </c>
      <c r="K1162" s="81" cm="1">
        <f t="array" ref="K11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1.8776226330981407</v>
      </c>
      <c r="L1162" s="81" cm="1">
        <f t="array" ref="L116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1.892898023199423</v>
      </c>
      <c r="M1162" s="37">
        <f t="shared" si="141"/>
        <v>2.6016548302468134E-2</v>
      </c>
      <c r="N1162" s="43">
        <f t="shared" si="142"/>
        <v>7.591900490033554E-3</v>
      </c>
      <c r="O1162" s="43">
        <f t="shared" si="143"/>
        <v>1.5275390101282316E-2</v>
      </c>
      <c r="P1162" s="43">
        <f t="shared" si="144"/>
        <v>0.29181044317525112</v>
      </c>
      <c r="Q1162" s="37">
        <f t="shared" si="145"/>
        <v>0.58714130420725996</v>
      </c>
      <c r="R1162" s="37">
        <f t="shared" si="139"/>
        <v>-9.5198270643459537E-4</v>
      </c>
      <c r="S1162" s="44" t="s">
        <v>1394</v>
      </c>
      <c r="T1162" s="45">
        <v>3.3309552</v>
      </c>
      <c r="U1162" s="45">
        <v>-8.5102024999999994E-3</v>
      </c>
      <c r="V1162" s="45">
        <v>4.0332166000000003E-2</v>
      </c>
      <c r="W1162" s="45">
        <v>1.4009819E-3</v>
      </c>
      <c r="X1162" s="45">
        <v>-1.9888107999999999E-5</v>
      </c>
      <c r="Y1162" s="45">
        <v>7.1174529999999998E-6</v>
      </c>
      <c r="Z1162" s="36">
        <v>5.17</v>
      </c>
      <c r="AA1162" s="38">
        <v>649</v>
      </c>
      <c r="AB1162" s="38"/>
      <c r="AC1162" s="49" t="s">
        <v>506</v>
      </c>
      <c r="AD1162" s="49" t="s">
        <v>506</v>
      </c>
      <c r="AE1162" s="48"/>
    </row>
    <row r="1163" spans="1:31" ht="15" thickBot="1">
      <c r="A1163" s="34">
        <v>1161</v>
      </c>
      <c r="B1163" s="34" t="s">
        <v>1026</v>
      </c>
      <c r="C1163" s="41" t="s">
        <v>1358</v>
      </c>
      <c r="D1163" s="34" t="s">
        <v>1014</v>
      </c>
      <c r="E1163" s="80">
        <f t="shared" si="140"/>
        <v>1.7510636264928912</v>
      </c>
      <c r="F1163" s="35">
        <f t="shared" si="138"/>
        <v>43.079827992157483</v>
      </c>
      <c r="G1163" s="42" cm="1">
        <f t="array" ref="G116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42.78200132114128</v>
      </c>
      <c r="H1163" s="81" cm="1">
        <f t="array" ref="H11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1.7459074382527964</v>
      </c>
      <c r="I1163" s="81" cm="1">
        <f t="array" ref="I11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1.7510636264928912</v>
      </c>
      <c r="J1163" s="81" cm="1">
        <f t="array" ref="J11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1.7552093907629336</v>
      </c>
      <c r="K1163" s="81" cm="1">
        <f t="array" ref="K11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1.7633416681812357</v>
      </c>
      <c r="L1163" s="81" cm="1">
        <f t="array" ref="L116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1.7732503334811114</v>
      </c>
      <c r="M1163" s="37">
        <f t="shared" si="141"/>
        <v>1.7434229928439349E-2</v>
      </c>
      <c r="N1163" s="43">
        <f t="shared" si="142"/>
        <v>5.1561882400947834E-3</v>
      </c>
      <c r="O1163" s="43">
        <f t="shared" si="143"/>
        <v>9.908665299875663E-3</v>
      </c>
      <c r="P1163" s="43">
        <f t="shared" si="144"/>
        <v>0.2957508453920194</v>
      </c>
      <c r="Q1163" s="37">
        <f t="shared" si="145"/>
        <v>0.56834545262663361</v>
      </c>
      <c r="R1163" s="37">
        <f t="shared" si="139"/>
        <v>-3.430813710297409E-3</v>
      </c>
      <c r="S1163" s="44" t="s">
        <v>1394</v>
      </c>
      <c r="T1163" s="45">
        <v>2.9854628000000001</v>
      </c>
      <c r="U1163" s="45">
        <v>-6.5859031999999998E-3</v>
      </c>
      <c r="V1163" s="45">
        <v>2.6407910999999999E-2</v>
      </c>
      <c r="W1163" s="45">
        <v>8.4695422999999997E-4</v>
      </c>
      <c r="X1163" s="45">
        <v>-3.2505558000000001E-5</v>
      </c>
      <c r="Y1163" s="45">
        <v>3.1878545000000001E-6</v>
      </c>
      <c r="Z1163" s="36">
        <v>5.24</v>
      </c>
      <c r="AA1163" s="38">
        <v>599</v>
      </c>
      <c r="AB1163" s="38"/>
      <c r="AC1163" s="49" t="s">
        <v>506</v>
      </c>
      <c r="AD1163" s="49" t="s">
        <v>506</v>
      </c>
      <c r="AE1163" s="48"/>
    </row>
    <row r="1164" spans="1:31" ht="15" thickBot="1">
      <c r="A1164" s="34">
        <v>1162</v>
      </c>
      <c r="B1164" s="34" t="s">
        <v>1026</v>
      </c>
      <c r="C1164" s="41" t="s">
        <v>1365</v>
      </c>
      <c r="D1164" s="34" t="s">
        <v>1015</v>
      </c>
      <c r="E1164" s="80">
        <f t="shared" si="140"/>
        <v>1.425369948100448</v>
      </c>
      <c r="F1164" s="35">
        <f t="shared" si="138"/>
        <v>97.752914177040921</v>
      </c>
      <c r="G1164" s="42" cm="1">
        <f t="array" ref="G116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97.274819926558663</v>
      </c>
      <c r="H1164" s="81" cm="1">
        <f t="array" ref="H11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1.4240360720177292</v>
      </c>
      <c r="I1164" s="81" cm="1">
        <f t="array" ref="I11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1.425369948100448</v>
      </c>
      <c r="J1164" s="81" cm="1">
        <f t="array" ref="J11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1.4264094495892321</v>
      </c>
      <c r="K1164" s="81" cm="1">
        <f t="array" ref="K11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1.4283875530112273</v>
      </c>
      <c r="L1164" s="81" cm="1">
        <f t="array" ref="L116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1.4307127784736995</v>
      </c>
      <c r="M1164" s="37">
        <f t="shared" si="141"/>
        <v>4.3514809934981358E-3</v>
      </c>
      <c r="N1164" s="43">
        <f t="shared" si="142"/>
        <v>1.3338760827188434E-3</v>
      </c>
      <c r="O1164" s="43">
        <f t="shared" si="143"/>
        <v>2.325225462472158E-3</v>
      </c>
      <c r="P1164" s="43">
        <f t="shared" si="144"/>
        <v>0.30653381796034146</v>
      </c>
      <c r="Q1164" s="37">
        <f t="shared" si="145"/>
        <v>0.53435266428750272</v>
      </c>
      <c r="R1164" s="37">
        <f t="shared" si="139"/>
        <v>5.1300631922321593E-2</v>
      </c>
      <c r="S1164" s="44" t="s">
        <v>1394</v>
      </c>
      <c r="T1164" s="45">
        <v>2.0158016000000001</v>
      </c>
      <c r="U1164" s="45">
        <v>-3.8179075999999999E-3</v>
      </c>
      <c r="V1164" s="45">
        <v>5.8067887E-3</v>
      </c>
      <c r="W1164" s="45">
        <v>4.2558748000000001E-5</v>
      </c>
      <c r="X1164" s="45">
        <v>7.6622454999999998E-7</v>
      </c>
      <c r="Y1164" s="45">
        <v>1.6716816000000001E-9</v>
      </c>
      <c r="Z1164" s="36">
        <v>3.75</v>
      </c>
      <c r="AA1164" s="38">
        <v>427</v>
      </c>
      <c r="AB1164" s="38"/>
      <c r="AC1164" s="39" t="s">
        <v>508</v>
      </c>
      <c r="AD1164" s="49" t="s">
        <v>506</v>
      </c>
      <c r="AE1164" s="48"/>
    </row>
    <row r="1165" spans="1:31" ht="15" thickBot="1">
      <c r="A1165" s="34">
        <v>1163</v>
      </c>
      <c r="B1165" s="34" t="s">
        <v>1026</v>
      </c>
      <c r="C1165" s="41" t="s">
        <v>1365</v>
      </c>
      <c r="D1165" s="34" t="s">
        <v>1016</v>
      </c>
      <c r="E1165" s="80">
        <f t="shared" si="140"/>
        <v>1.4138965548064915</v>
      </c>
      <c r="F1165" s="35">
        <f t="shared" si="138"/>
        <v>100.82502453911427</v>
      </c>
      <c r="G1165" s="42" cm="1">
        <f t="array" ref="G116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100.34050327635008</v>
      </c>
      <c r="H1165" s="81" cm="1">
        <f t="array" ref="H11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1.4126366951595459</v>
      </c>
      <c r="I1165" s="81" cm="1">
        <f t="array" ref="I11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1.4138965548064915</v>
      </c>
      <c r="J1165" s="81" cm="1">
        <f t="array" ref="J11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1.4148770942143001</v>
      </c>
      <c r="K1165" s="81" cm="1">
        <f t="array" ref="K11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1.4167417926459931</v>
      </c>
      <c r="L1165" s="81" cm="1">
        <f t="array" ref="L116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1.4189328665013412</v>
      </c>
      <c r="M1165" s="37">
        <f t="shared" si="141"/>
        <v>4.1050974864471623E-3</v>
      </c>
      <c r="N1165" s="43">
        <f t="shared" si="142"/>
        <v>1.259859646945527E-3</v>
      </c>
      <c r="O1165" s="43">
        <f t="shared" si="143"/>
        <v>2.1910738553481135E-3</v>
      </c>
      <c r="P1165" s="43">
        <f t="shared" si="144"/>
        <v>0.30690127362502601</v>
      </c>
      <c r="Q1165" s="37">
        <f t="shared" si="145"/>
        <v>0.5337446583380463</v>
      </c>
      <c r="R1165" s="37">
        <f t="shared" si="139"/>
        <v>5.5678088795101055E-2</v>
      </c>
      <c r="S1165" s="44" t="s">
        <v>1394</v>
      </c>
      <c r="T1165" s="45">
        <v>1.9845467000000001</v>
      </c>
      <c r="U1165" s="45">
        <v>-3.9034210999999998E-3</v>
      </c>
      <c r="V1165" s="45">
        <v>5.3331804E-3</v>
      </c>
      <c r="W1165" s="45">
        <v>5.5561154E-5</v>
      </c>
      <c r="X1165" s="45">
        <v>-4.9201282999999997E-7</v>
      </c>
      <c r="Y1165" s="45">
        <v>2.6560522999999999E-8</v>
      </c>
      <c r="Z1165" s="36">
        <v>3.64</v>
      </c>
      <c r="AA1165" s="38">
        <v>427</v>
      </c>
      <c r="AB1165" s="38"/>
      <c r="AC1165" s="39" t="s">
        <v>508</v>
      </c>
      <c r="AD1165" s="49" t="s">
        <v>506</v>
      </c>
      <c r="AE1165" s="48"/>
    </row>
    <row r="1166" spans="1:31" ht="15" thickBot="1">
      <c r="A1166" s="34">
        <v>1164</v>
      </c>
      <c r="B1166" s="34" t="s">
        <v>1345</v>
      </c>
      <c r="C1166" s="41" t="s">
        <v>1354</v>
      </c>
      <c r="D1166" s="34" t="s">
        <v>1346</v>
      </c>
      <c r="E1166" s="80">
        <f t="shared" si="140"/>
        <v>1.5445016002842791</v>
      </c>
      <c r="F1166" s="35">
        <f t="shared" si="138"/>
        <v>55.987668972431152</v>
      </c>
      <c r="G1166" s="42" cm="1">
        <f t="array" ref="G116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55.567434377606368</v>
      </c>
      <c r="H1166" s="81" cm="1">
        <f t="array" ref="H11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1.5416136986134366</v>
      </c>
      <c r="I1166" s="81" cm="1">
        <f t="array" ref="I11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1.5445016002842791</v>
      </c>
      <c r="J1166" s="81" cm="1">
        <f t="array" ref="J11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1.5468189765472262</v>
      </c>
      <c r="K1166" s="81" cm="1">
        <f t="array" ref="K11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1.5513390829753466</v>
      </c>
      <c r="L1166" s="81" cm="1">
        <f t="array" ref="L116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1.5567948763720052</v>
      </c>
      <c r="M1166" s="37">
        <f t="shared" si="141"/>
        <v>9.7253843619100611E-3</v>
      </c>
      <c r="N1166" s="43">
        <f t="shared" si="142"/>
        <v>2.8879016708425187E-3</v>
      </c>
      <c r="O1166" s="43">
        <f t="shared" si="143"/>
        <v>5.4557933966585814E-3</v>
      </c>
      <c r="P1166" s="43">
        <f t="shared" si="144"/>
        <v>0.29694473384035347</v>
      </c>
      <c r="Q1166" s="37">
        <f t="shared" si="145"/>
        <v>0.56098486122836033</v>
      </c>
      <c r="R1166" s="37">
        <f t="shared" si="139"/>
        <v>1.0155616234456932E-2</v>
      </c>
      <c r="S1166" s="44" t="s">
        <v>1394</v>
      </c>
      <c r="T1166" s="45">
        <v>2.34232979</v>
      </c>
      <c r="U1166" s="45">
        <v>-7.0597112900000003E-4</v>
      </c>
      <c r="V1166" s="45">
        <v>1.44801133E-2</v>
      </c>
      <c r="W1166" s="45">
        <v>1.7213005100000001E-4</v>
      </c>
      <c r="X1166" s="45">
        <v>-2.42252894E-6</v>
      </c>
      <c r="Y1166" s="45">
        <v>9.9764053499999996E-7</v>
      </c>
      <c r="Z1166" s="36">
        <v>1.0488999999999999</v>
      </c>
      <c r="AA1166" s="38">
        <v>147</v>
      </c>
      <c r="AB1166" s="38"/>
      <c r="AC1166" s="39" t="s">
        <v>508</v>
      </c>
      <c r="AD1166" s="49" t="s">
        <v>506</v>
      </c>
      <c r="AE1166" s="48" t="s">
        <v>1343</v>
      </c>
    </row>
    <row r="1167" spans="1:31" ht="15" thickBot="1">
      <c r="A1167" s="34">
        <v>1165</v>
      </c>
      <c r="B1167" s="34" t="s">
        <v>1345</v>
      </c>
      <c r="C1167" s="41" t="s">
        <v>1354</v>
      </c>
      <c r="D1167" s="34" t="s">
        <v>1347</v>
      </c>
      <c r="E1167" s="80">
        <f t="shared" si="140"/>
        <v>1.5445140715295009</v>
      </c>
      <c r="F1167" s="35">
        <f t="shared" si="138"/>
        <v>56.003956199488144</v>
      </c>
      <c r="G1167" s="42" cm="1">
        <f t="array" ref="G116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55.58110684852042</v>
      </c>
      <c r="H1167" s="81" cm="1">
        <f t="array" ref="H11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1.5416283074976431</v>
      </c>
      <c r="I1167" s="81" cm="1">
        <f t="array" ref="I11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1.5445140715295009</v>
      </c>
      <c r="J1167" s="81" cm="1">
        <f t="array" ref="J11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1.546830966343048</v>
      </c>
      <c r="K1167" s="81" cm="1">
        <f t="array" ref="K11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1.551351086181169</v>
      </c>
      <c r="L1167" s="81" cm="1">
        <f t="array" ref="L116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1.5568037604282479</v>
      </c>
      <c r="M1167" s="37">
        <f t="shared" si="141"/>
        <v>9.72277868352589E-3</v>
      </c>
      <c r="N1167" s="43">
        <f t="shared" si="142"/>
        <v>2.8857640318578071E-3</v>
      </c>
      <c r="O1167" s="43">
        <f t="shared" si="143"/>
        <v>5.4526742470788481E-3</v>
      </c>
      <c r="P1167" s="43">
        <f t="shared" si="144"/>
        <v>0.29680445537111694</v>
      </c>
      <c r="Q1167" s="37">
        <f t="shared" si="145"/>
        <v>0.56081439520142184</v>
      </c>
      <c r="R1167" s="37">
        <f t="shared" si="139"/>
        <v>1.0011581342927012E-2</v>
      </c>
      <c r="S1167" s="44" t="s">
        <v>1394</v>
      </c>
      <c r="T1167" s="45">
        <v>2.3428162000000001</v>
      </c>
      <c r="U1167" s="45">
        <v>-9.0946933599999995E-4</v>
      </c>
      <c r="V1167" s="45">
        <v>1.4189249899999999E-2</v>
      </c>
      <c r="W1167" s="45">
        <v>2.5108609399999998E-4</v>
      </c>
      <c r="X1167" s="45">
        <v>-1.14668198E-5</v>
      </c>
      <c r="Y1167" s="45">
        <v>1.3133528699999999E-6</v>
      </c>
      <c r="Z1167" s="36">
        <v>1.0502</v>
      </c>
      <c r="AA1167" s="38">
        <v>155</v>
      </c>
      <c r="AB1167" s="38"/>
      <c r="AC1167" s="39" t="s">
        <v>508</v>
      </c>
      <c r="AD1167" s="49" t="s">
        <v>506</v>
      </c>
      <c r="AE1167" s="48" t="s">
        <v>1343</v>
      </c>
    </row>
    <row r="1168" spans="1:31" ht="15" thickBot="1">
      <c r="A1168" s="34">
        <v>1166</v>
      </c>
      <c r="B1168" s="34" t="s">
        <v>1345</v>
      </c>
      <c r="C1168" s="41" t="s">
        <v>1354</v>
      </c>
      <c r="D1168" s="34" t="s">
        <v>1348</v>
      </c>
      <c r="E1168" s="80">
        <f t="shared" si="140"/>
        <v>1.5449189011609292</v>
      </c>
      <c r="F1168" s="35">
        <f t="shared" si="138"/>
        <v>55.93061811597169</v>
      </c>
      <c r="G1168" s="42" cm="1">
        <f t="array" ref="G116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55.486474380433698</v>
      </c>
      <c r="H1168" s="81" cm="1">
        <f t="array" ref="H11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1.5420368360704573</v>
      </c>
      <c r="I1168" s="81" cm="1">
        <f t="array" ref="I11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1.5449189011609292</v>
      </c>
      <c r="J1168" s="81" cm="1">
        <f t="array" ref="J11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1.5472397017939314</v>
      </c>
      <c r="K1168" s="81" cm="1">
        <f t="array" ref="K11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1.551779601652469</v>
      </c>
      <c r="L1168" s="81" cm="1">
        <f t="array" ref="L116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1.5572545371252171</v>
      </c>
      <c r="M1168" s="37">
        <f t="shared" si="141"/>
        <v>9.7427655820117032E-3</v>
      </c>
      <c r="N1168" s="43">
        <f t="shared" si="142"/>
        <v>2.8820650904719525E-3</v>
      </c>
      <c r="O1168" s="43">
        <f t="shared" si="143"/>
        <v>5.4749354727481325E-3</v>
      </c>
      <c r="P1168" s="43">
        <f t="shared" si="144"/>
        <v>0.29581591245438327</v>
      </c>
      <c r="Q1168" s="37">
        <f t="shared" si="145"/>
        <v>0.56194880464502139</v>
      </c>
      <c r="R1168" s="37">
        <f t="shared" si="139"/>
        <v>1.1026976738939265E-2</v>
      </c>
      <c r="S1168" s="44" t="s">
        <v>1394</v>
      </c>
      <c r="T1168" s="45">
        <v>2.3452947499999999</v>
      </c>
      <c r="U1168" s="45">
        <v>-1.5702814600000001E-3</v>
      </c>
      <c r="V1168" s="45">
        <v>1.35359873E-2</v>
      </c>
      <c r="W1168" s="45">
        <v>3.5677065100000002E-4</v>
      </c>
      <c r="X1168" s="45">
        <v>-7.25432149E-6</v>
      </c>
      <c r="Y1168" s="45">
        <v>-5.8638448000000003E-8</v>
      </c>
      <c r="Z1168" s="36">
        <v>1.04</v>
      </c>
      <c r="AA1168" s="38">
        <v>135</v>
      </c>
      <c r="AB1168" s="38"/>
      <c r="AC1168" s="39" t="s">
        <v>508</v>
      </c>
      <c r="AD1168" s="49" t="s">
        <v>506</v>
      </c>
      <c r="AE1168" s="48" t="s">
        <v>1343</v>
      </c>
    </row>
    <row r="1169" spans="1:31" ht="15" thickBot="1">
      <c r="A1169" s="34">
        <v>1167</v>
      </c>
      <c r="B1169" s="34" t="s">
        <v>1345</v>
      </c>
      <c r="C1169" s="41" t="s">
        <v>1354</v>
      </c>
      <c r="D1169" s="34" t="s">
        <v>1349</v>
      </c>
      <c r="E1169" s="80">
        <f t="shared" si="140"/>
        <v>1.5449189011609292</v>
      </c>
      <c r="F1169" s="35">
        <f t="shared" si="138"/>
        <v>55.93061811597169</v>
      </c>
      <c r="G1169" s="42" cm="1">
        <f t="array" ref="G116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55.486474380433698</v>
      </c>
      <c r="H1169" s="81" cm="1">
        <f t="array" ref="H11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1.5420368360704573</v>
      </c>
      <c r="I1169" s="81" cm="1">
        <f t="array" ref="I11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1.5449189011609292</v>
      </c>
      <c r="J1169" s="81" cm="1">
        <f t="array" ref="J11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1.5472397017939314</v>
      </c>
      <c r="K1169" s="81" cm="1">
        <f t="array" ref="K11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1.551779601652469</v>
      </c>
      <c r="L1169" s="81" cm="1">
        <f t="array" ref="L116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1.5572545371252171</v>
      </c>
      <c r="M1169" s="37">
        <f t="shared" si="141"/>
        <v>9.7427655820117032E-3</v>
      </c>
      <c r="N1169" s="43">
        <f t="shared" si="142"/>
        <v>2.8820650904719525E-3</v>
      </c>
      <c r="O1169" s="43">
        <f t="shared" si="143"/>
        <v>5.4749354727481325E-3</v>
      </c>
      <c r="P1169" s="43">
        <f t="shared" si="144"/>
        <v>0.29581591245438327</v>
      </c>
      <c r="Q1169" s="37">
        <f t="shared" si="145"/>
        <v>0.56194880464502139</v>
      </c>
      <c r="R1169" s="37">
        <f t="shared" si="139"/>
        <v>1.1026976738939265E-2</v>
      </c>
      <c r="S1169" s="44" t="s">
        <v>1394</v>
      </c>
      <c r="T1169" s="45">
        <v>2.3452947499999999</v>
      </c>
      <c r="U1169" s="45">
        <v>-1.5702814600000001E-3</v>
      </c>
      <c r="V1169" s="45">
        <v>1.35359873E-2</v>
      </c>
      <c r="W1169" s="45">
        <v>3.5677065100000002E-4</v>
      </c>
      <c r="X1169" s="45">
        <v>-7.25432149E-6</v>
      </c>
      <c r="Y1169" s="45">
        <v>-5.8638448000000003E-8</v>
      </c>
      <c r="Z1169" s="36">
        <v>1.04</v>
      </c>
      <c r="AA1169" s="38">
        <v>147</v>
      </c>
      <c r="AB1169" s="38"/>
      <c r="AC1169" s="39" t="s">
        <v>508</v>
      </c>
      <c r="AD1169" s="49" t="s">
        <v>506</v>
      </c>
      <c r="AE1169" s="48" t="s">
        <v>1343</v>
      </c>
    </row>
    <row r="1170" spans="1:31" ht="15" thickBot="1">
      <c r="A1170" s="34">
        <v>1168</v>
      </c>
      <c r="B1170" s="34" t="s">
        <v>1342</v>
      </c>
      <c r="C1170" s="41" t="s">
        <v>1354</v>
      </c>
      <c r="D1170" s="34" t="s">
        <v>1336</v>
      </c>
      <c r="E1170" s="80">
        <f t="shared" si="140"/>
        <v>1.6328014333137917</v>
      </c>
      <c r="F1170" s="35">
        <f t="shared" si="138"/>
        <v>23.330159534617806</v>
      </c>
      <c r="G1170" s="42" cm="1">
        <f t="array" ref="G117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23.080360991764426</v>
      </c>
      <c r="H1170" s="81" cm="1">
        <f t="array" ref="H11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1.6252064851195642</v>
      </c>
      <c r="I1170" s="81" cm="1">
        <f t="array" ref="I11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1.6328014333137917</v>
      </c>
      <c r="J1170" s="81" cm="1">
        <f t="array" ref="J11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1.6391551638904529</v>
      </c>
      <c r="K1170" s="81" cm="1">
        <f t="array" ref="K11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1.6523302359183887</v>
      </c>
      <c r="L1170" s="81" cm="1">
        <f t="array" ref="L117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1.6698882584721702</v>
      </c>
      <c r="M1170" s="37">
        <f t="shared" si="141"/>
        <v>2.7123750798824453E-2</v>
      </c>
      <c r="N1170" s="43">
        <f t="shared" si="142"/>
        <v>7.5949481942274577E-3</v>
      </c>
      <c r="O1170" s="43">
        <f t="shared" si="143"/>
        <v>1.7558022553781472E-2</v>
      </c>
      <c r="P1170" s="43">
        <f t="shared" si="144"/>
        <v>0.28001098559556975</v>
      </c>
      <c r="Q1170" s="37">
        <f t="shared" si="145"/>
        <v>0.64733018246659446</v>
      </c>
      <c r="R1170" s="37">
        <f t="shared" si="139"/>
        <v>4.3503883337190019E-2</v>
      </c>
      <c r="S1170" s="44" t="s">
        <v>1394</v>
      </c>
      <c r="T1170" s="45">
        <v>2.5531555610000001</v>
      </c>
      <c r="U1170" s="45">
        <v>-3.7343979189999999E-4</v>
      </c>
      <c r="V1170" s="45">
        <v>3.5025252450000002E-2</v>
      </c>
      <c r="W1170" s="45">
        <v>1.076483836E-3</v>
      </c>
      <c r="X1170" s="45">
        <v>5.325339504E-5</v>
      </c>
      <c r="Y1170" s="45">
        <v>1.7503550130000001E-5</v>
      </c>
      <c r="Z1170" s="36">
        <v>1.26</v>
      </c>
      <c r="AA1170" s="38">
        <v>142</v>
      </c>
      <c r="AB1170" s="38"/>
      <c r="AC1170" s="39" t="s">
        <v>508</v>
      </c>
      <c r="AD1170" s="49" t="s">
        <v>506</v>
      </c>
      <c r="AE1170" s="48" t="s">
        <v>1343</v>
      </c>
    </row>
    <row r="1171" spans="1:31" ht="15" thickBot="1">
      <c r="A1171" s="34">
        <v>1169</v>
      </c>
      <c r="B1171" s="34" t="s">
        <v>1342</v>
      </c>
      <c r="C1171" s="41" t="s">
        <v>1354</v>
      </c>
      <c r="D1171" s="34" t="s">
        <v>1337</v>
      </c>
      <c r="E1171" s="80">
        <f t="shared" si="140"/>
        <v>1.6605896896739287</v>
      </c>
      <c r="F1171" s="35">
        <f t="shared" si="138"/>
        <v>20.401500451475538</v>
      </c>
      <c r="G1171" s="42" cm="1">
        <f t="array" ref="G117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20.175934214708494</v>
      </c>
      <c r="H1171" s="81" cm="1">
        <f t="array" ref="H11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1.6516271001595262</v>
      </c>
      <c r="I1171" s="81" cm="1">
        <f t="array" ref="I11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1.6605896896739287</v>
      </c>
      <c r="J1171" s="81" cm="1">
        <f t="array" ref="J11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1.6681483569684887</v>
      </c>
      <c r="K1171" s="81" cm="1">
        <f t="array" ref="K11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1.6840065661328807</v>
      </c>
      <c r="L1171" s="81" cm="1">
        <f t="array" ref="L117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1.7055488682615974</v>
      </c>
      <c r="M1171" s="37">
        <f t="shared" si="141"/>
        <v>3.2379465973354504E-2</v>
      </c>
      <c r="N1171" s="43">
        <f t="shared" si="142"/>
        <v>8.9625895144025414E-3</v>
      </c>
      <c r="O1171" s="43">
        <f t="shared" si="143"/>
        <v>2.1542302128716662E-2</v>
      </c>
      <c r="P1171" s="43">
        <f t="shared" si="144"/>
        <v>0.27679855874639736</v>
      </c>
      <c r="Q1171" s="37">
        <f t="shared" si="145"/>
        <v>0.66530751762379625</v>
      </c>
      <c r="R1171" s="37">
        <f t="shared" si="139"/>
        <v>5.6728550374697373E-2</v>
      </c>
      <c r="S1171" s="44" t="s">
        <v>1394</v>
      </c>
      <c r="T1171" s="45">
        <v>2.6253565490000002</v>
      </c>
      <c r="U1171" s="45">
        <v>-8.4136434320000004E-4</v>
      </c>
      <c r="V1171" s="45">
        <v>3.9504651469999999E-2</v>
      </c>
      <c r="W1171" s="45">
        <v>1.9592289270000001E-3</v>
      </c>
      <c r="X1171" s="45">
        <v>-3.1175035789999998E-5</v>
      </c>
      <c r="Y1171" s="45">
        <v>3.3814776069999997E-5</v>
      </c>
      <c r="Z1171" s="36">
        <v>1.21</v>
      </c>
      <c r="AA1171" s="38"/>
      <c r="AB1171" s="38"/>
      <c r="AC1171" s="39" t="s">
        <v>508</v>
      </c>
      <c r="AD1171" s="49" t="s">
        <v>506</v>
      </c>
      <c r="AE1171" s="48" t="s">
        <v>1343</v>
      </c>
    </row>
    <row r="1172" spans="1:31" ht="15" thickBot="1">
      <c r="A1172" s="34">
        <v>1170</v>
      </c>
      <c r="B1172" s="34" t="s">
        <v>1342</v>
      </c>
      <c r="C1172" s="41" t="s">
        <v>1354</v>
      </c>
      <c r="D1172" s="34" t="s">
        <v>1338</v>
      </c>
      <c r="E1172" s="80">
        <f t="shared" si="140"/>
        <v>1.6327001407134833</v>
      </c>
      <c r="F1172" s="35">
        <f t="shared" ref="F1172:F1191" si="146">(I1172-1)/M1172</f>
        <v>23.255488206461205</v>
      </c>
      <c r="G1172" s="42" cm="1">
        <f t="array" ref="G117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23.003127662160111</v>
      </c>
      <c r="H1172" s="81" cm="1">
        <f t="array" ref="H11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1.6251102163762716</v>
      </c>
      <c r="I1172" s="81" cm="1">
        <f t="array" ref="I11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1.6327001407134833</v>
      </c>
      <c r="J1172" s="81" cm="1">
        <f t="array" ref="J11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1.639082009323624</v>
      </c>
      <c r="K1172" s="81" cm="1">
        <f t="array" ref="K11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1.6523167035115405</v>
      </c>
      <c r="L1172" s="81" cm="1">
        <f t="array" ref="L117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1.6697932307431218</v>
      </c>
      <c r="M1172" s="37">
        <f t="shared" si="141"/>
        <v>2.7206487135268853E-2</v>
      </c>
      <c r="N1172" s="43">
        <f t="shared" si="142"/>
        <v>7.5899243372117287E-3</v>
      </c>
      <c r="O1172" s="43">
        <f t="shared" si="143"/>
        <v>1.7476527231581329E-2</v>
      </c>
      <c r="P1172" s="43">
        <f t="shared" si="144"/>
        <v>0.27897480110074951</v>
      </c>
      <c r="Q1172" s="37">
        <f t="shared" si="145"/>
        <v>0.64236618070863738</v>
      </c>
      <c r="R1172" s="37">
        <f t="shared" ref="R1172:R1188" si="147">_xlfn.LET(
  _xlpm.vd_K7,  $F$1187,
  _xlpm.PgF_K7, $Q$1187,
  _xlpm.vd_F2,  $F$1188,
  _xlpm.PgF_F2, $Q$1188,
  _xlpm.NormalLine, _xlpm.PgF_K7 + ((_xlpm.PgF_F2 - _xlpm.PgF_K7) / (_xlpm.vd_F2 - _xlpm.vd_K7)) * (F1172 - _xlpm.vd_K7),
  O1172/M1172 - _xlpm.NormalLine
)</f>
        <v>3.8418703923961295E-2</v>
      </c>
      <c r="S1172" s="44" t="s">
        <v>1394</v>
      </c>
      <c r="T1172" s="45">
        <v>2.5672099269999999</v>
      </c>
      <c r="U1172" s="45">
        <v>-7.4326585749999998E-3</v>
      </c>
      <c r="V1172" s="45">
        <v>2.5285227090000001E-2</v>
      </c>
      <c r="W1172" s="45">
        <v>3.8762781059999999E-3</v>
      </c>
      <c r="X1172" s="45">
        <v>-2.7788527490000002E-4</v>
      </c>
      <c r="Y1172" s="45">
        <v>2.9174016999999999E-5</v>
      </c>
      <c r="Z1172" s="36">
        <v>1.26</v>
      </c>
      <c r="AA1172" s="38"/>
      <c r="AB1172" s="38"/>
      <c r="AC1172" s="39" t="s">
        <v>508</v>
      </c>
      <c r="AD1172" s="49" t="s">
        <v>506</v>
      </c>
      <c r="AE1172" s="48" t="s">
        <v>1343</v>
      </c>
    </row>
    <row r="1173" spans="1:31" ht="15" thickBot="1">
      <c r="A1173" s="34">
        <v>1171</v>
      </c>
      <c r="B1173" s="34" t="s">
        <v>1342</v>
      </c>
      <c r="C1173" s="41" t="s">
        <v>1354</v>
      </c>
      <c r="D1173" s="34" t="s">
        <v>1339</v>
      </c>
      <c r="E1173" s="80">
        <f t="shared" si="140"/>
        <v>1.6497475653147411</v>
      </c>
      <c r="F1173" s="35">
        <f t="shared" si="146"/>
        <v>21.45118408528915</v>
      </c>
      <c r="G1173" s="42" cm="1">
        <f t="array" ref="G117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21.193703536154093</v>
      </c>
      <c r="H1173" s="81" cm="1">
        <f t="array" ref="H11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1.6414586827373747</v>
      </c>
      <c r="I1173" s="81" cm="1">
        <f t="array" ref="I11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1.6497475653147411</v>
      </c>
      <c r="J1173" s="81" cm="1">
        <f t="array" ref="J11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1.6568782991065898</v>
      </c>
      <c r="K1173" s="81" cm="1">
        <f t="array" ref="K11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1.6717482724743034</v>
      </c>
      <c r="L1173" s="81" cm="1">
        <f t="array" ref="L117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1.6914760931615505</v>
      </c>
      <c r="M1173" s="37">
        <f t="shared" si="141"/>
        <v>3.0289589736928635E-2</v>
      </c>
      <c r="N1173" s="43">
        <f t="shared" si="142"/>
        <v>8.2888825773663743E-3</v>
      </c>
      <c r="O1173" s="43">
        <f t="shared" si="143"/>
        <v>1.97278206872471E-2</v>
      </c>
      <c r="P1173" s="43">
        <f t="shared" si="144"/>
        <v>0.27365450140979253</v>
      </c>
      <c r="Q1173" s="37">
        <f t="shared" si="145"/>
        <v>0.65130696251046349</v>
      </c>
      <c r="R1173" s="37">
        <f t="shared" si="147"/>
        <v>4.44314362562237E-2</v>
      </c>
      <c r="S1173" s="44" t="s">
        <v>1394</v>
      </c>
      <c r="T1173" s="45">
        <v>2.6880358769999999</v>
      </c>
      <c r="U1173" s="45">
        <v>-3.7758991909999998E-2</v>
      </c>
      <c r="V1173" s="45">
        <v>-3.2017578890000002E-2</v>
      </c>
      <c r="W1173" s="45">
        <v>2.506905207E-2</v>
      </c>
      <c r="X1173" s="45">
        <v>-3.5877042290000001E-3</v>
      </c>
      <c r="Y1173" s="45">
        <v>2.3103126510000001E-4</v>
      </c>
      <c r="Z1173" s="36">
        <v>1.21</v>
      </c>
      <c r="AA1173" s="38"/>
      <c r="AB1173" s="38"/>
      <c r="AC1173" s="39" t="s">
        <v>508</v>
      </c>
      <c r="AD1173" s="49" t="s">
        <v>506</v>
      </c>
      <c r="AE1173" s="48" t="s">
        <v>1343</v>
      </c>
    </row>
    <row r="1174" spans="1:31" ht="15" thickBot="1">
      <c r="A1174" s="34">
        <v>1172</v>
      </c>
      <c r="B1174" s="34" t="s">
        <v>1342</v>
      </c>
      <c r="C1174" s="41" t="s">
        <v>1354</v>
      </c>
      <c r="D1174" s="34" t="s">
        <v>1340</v>
      </c>
      <c r="E1174" s="80">
        <f t="shared" si="140"/>
        <v>1.6079211702687797</v>
      </c>
      <c r="F1174" s="35">
        <f t="shared" si="146"/>
        <v>26.904497383096992</v>
      </c>
      <c r="G1174" s="42" cm="1">
        <f t="array" ref="G117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26.612031063430411</v>
      </c>
      <c r="H1174" s="81" cm="1">
        <f t="array" ref="H11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1.6015641011763651</v>
      </c>
      <c r="I1174" s="81" cm="1">
        <f t="array" ref="I11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1.6079211702687797</v>
      </c>
      <c r="J1174" s="81" cm="1">
        <f t="array" ref="J11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1.6132312487381109</v>
      </c>
      <c r="K1174" s="81" cm="1">
        <f t="array" ref="K11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1.6241596234644236</v>
      </c>
      <c r="L1174" s="81" cm="1">
        <f t="array" ref="L117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1.6383202637390173</v>
      </c>
      <c r="M1174" s="37">
        <f t="shared" si="141"/>
        <v>2.25955222880585E-2</v>
      </c>
      <c r="N1174" s="43">
        <f t="shared" si="142"/>
        <v>6.3570690924146245E-3</v>
      </c>
      <c r="O1174" s="43">
        <f t="shared" si="143"/>
        <v>1.4160640274593739E-2</v>
      </c>
      <c r="P1174" s="43">
        <f t="shared" si="144"/>
        <v>0.28134198499028584</v>
      </c>
      <c r="Q1174" s="37">
        <f t="shared" si="145"/>
        <v>0.62670117088098864</v>
      </c>
      <c r="R1174" s="37">
        <f t="shared" si="147"/>
        <v>2.8675356225611015E-2</v>
      </c>
      <c r="S1174" s="44" t="s">
        <v>1394</v>
      </c>
      <c r="T1174" s="45">
        <v>2.4922992399999999</v>
      </c>
      <c r="U1174" s="45">
        <v>-1.46713148E-3</v>
      </c>
      <c r="V1174" s="45">
        <v>3.04059117E-2</v>
      </c>
      <c r="W1174" s="45">
        <v>-2.31959706E-4</v>
      </c>
      <c r="X1174" s="45">
        <v>3.6292832999999997E-4</v>
      </c>
      <c r="Y1174" s="45">
        <v>-1.89103319E-5</v>
      </c>
      <c r="Z1174" s="36">
        <v>1.22</v>
      </c>
      <c r="AA1174" s="38">
        <v>121</v>
      </c>
      <c r="AB1174" s="38"/>
      <c r="AC1174" s="39" t="s">
        <v>508</v>
      </c>
      <c r="AD1174" s="49" t="s">
        <v>506</v>
      </c>
      <c r="AE1174" s="48" t="s">
        <v>1343</v>
      </c>
    </row>
    <row r="1175" spans="1:31" ht="15" thickBot="1">
      <c r="A1175" s="34">
        <v>1173</v>
      </c>
      <c r="B1175" s="34" t="s">
        <v>1342</v>
      </c>
      <c r="C1175" s="41" t="s">
        <v>1354</v>
      </c>
      <c r="D1175" s="34" t="s">
        <v>1341</v>
      </c>
      <c r="E1175" s="80">
        <f t="shared" si="140"/>
        <v>1.6421987193329921</v>
      </c>
      <c r="F1175" s="35">
        <f t="shared" si="146"/>
        <v>22.409143214922349</v>
      </c>
      <c r="G1175" s="42" cm="1">
        <f t="array" ref="G117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22.171320198855792</v>
      </c>
      <c r="H1175" s="81" cm="1">
        <f t="array" ref="H11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1.6342076600260544</v>
      </c>
      <c r="I1175" s="81" cm="1">
        <f t="array" ref="I11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1.6421987193329921</v>
      </c>
      <c r="J1175" s="81" cm="1">
        <f t="array" ref="J11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1.6489289662448052</v>
      </c>
      <c r="K1175" s="81" cm="1">
        <f t="array" ref="K11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1.6628655481556349</v>
      </c>
      <c r="L1175" s="81" cm="1">
        <f t="array" ref="L117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1.6814186168547438</v>
      </c>
      <c r="M1175" s="37">
        <f t="shared" si="141"/>
        <v>2.8657888129580478E-2</v>
      </c>
      <c r="N1175" s="43">
        <f t="shared" si="142"/>
        <v>7.9910593069376645E-3</v>
      </c>
      <c r="O1175" s="43">
        <f t="shared" si="143"/>
        <v>1.8553068699108888E-2</v>
      </c>
      <c r="P1175" s="43">
        <f t="shared" si="144"/>
        <v>0.27884327242834572</v>
      </c>
      <c r="Q1175" s="37">
        <f t="shared" si="145"/>
        <v>0.64739832241715456</v>
      </c>
      <c r="R1175" s="37">
        <f t="shared" si="147"/>
        <v>4.2077385374607146E-2</v>
      </c>
      <c r="S1175" s="44" t="s">
        <v>1394</v>
      </c>
      <c r="T1175" s="45">
        <v>2.6106143899999998</v>
      </c>
      <c r="U1175" s="45">
        <v>-1.42308621E-2</v>
      </c>
      <c r="V1175" s="45">
        <v>1.06221882E-2</v>
      </c>
      <c r="W1175" s="45">
        <v>1.0476329E-2</v>
      </c>
      <c r="X1175" s="45">
        <v>-1.45572568E-3</v>
      </c>
      <c r="Y1175" s="45">
        <v>1.11156779E-4</v>
      </c>
      <c r="Z1175" s="36">
        <v>1.22</v>
      </c>
      <c r="AA1175" s="38">
        <v>133</v>
      </c>
      <c r="AB1175" s="38"/>
      <c r="AC1175" s="39" t="s">
        <v>508</v>
      </c>
      <c r="AD1175" s="49" t="s">
        <v>506</v>
      </c>
      <c r="AE1175" s="48" t="s">
        <v>1343</v>
      </c>
    </row>
    <row r="1176" spans="1:31" ht="15" thickBot="1">
      <c r="A1176" s="34">
        <v>1174</v>
      </c>
      <c r="B1176" s="34" t="s">
        <v>1344</v>
      </c>
      <c r="C1176" s="41" t="s">
        <v>1354</v>
      </c>
      <c r="D1176" s="34" t="s">
        <v>1350</v>
      </c>
      <c r="E1176" s="80">
        <f t="shared" si="140"/>
        <v>1.533201789446103</v>
      </c>
      <c r="F1176" s="35">
        <f t="shared" si="146"/>
        <v>56.151173782756551</v>
      </c>
      <c r="G1176" s="42" cm="1">
        <f t="array" ref="G117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55.617145409980679</v>
      </c>
      <c r="H1176" s="81" cm="1">
        <f t="array" ref="H11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1.5304009679183161</v>
      </c>
      <c r="I1176" s="81" cm="1">
        <f t="array" ref="I11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1.533201789446103</v>
      </c>
      <c r="J1176" s="81" cm="1">
        <f t="array" ref="J11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1.5354015965661736</v>
      </c>
      <c r="K1176" s="81" cm="1">
        <f t="array" ref="K11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1.5398967941589039</v>
      </c>
      <c r="L1176" s="81" cm="1">
        <f t="array" ref="L117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1.5450965681176874</v>
      </c>
      <c r="M1176" s="37">
        <f t="shared" si="141"/>
        <v>9.4958262405877569E-3</v>
      </c>
      <c r="N1176" s="43">
        <f t="shared" si="142"/>
        <v>2.8008215277868231E-3</v>
      </c>
      <c r="O1176" s="43">
        <f t="shared" si="143"/>
        <v>5.1997739587834602E-3</v>
      </c>
      <c r="P1176" s="43">
        <f t="shared" si="144"/>
        <v>0.29495290423653148</v>
      </c>
      <c r="Q1176" s="37">
        <f t="shared" si="145"/>
        <v>0.54758520501967534</v>
      </c>
      <c r="R1176" s="37">
        <f t="shared" si="147"/>
        <v>-2.9787021259536361E-3</v>
      </c>
      <c r="S1176" s="44" t="s">
        <v>1394</v>
      </c>
      <c r="T1176" s="45">
        <v>2.1278583100000001</v>
      </c>
      <c r="U1176" s="45">
        <v>9.4547937999999998E-2</v>
      </c>
      <c r="V1176" s="45">
        <v>0.14488717000000001</v>
      </c>
      <c r="W1176" s="45">
        <v>-4.4888007000000001E-2</v>
      </c>
      <c r="X1176" s="45">
        <v>7.4013380000000004E-3</v>
      </c>
      <c r="Y1176" s="45">
        <v>-4.6487500000000001E-4</v>
      </c>
      <c r="Z1176" s="36">
        <v>1.02</v>
      </c>
      <c r="AA1176" s="38">
        <v>134</v>
      </c>
      <c r="AB1176" s="38"/>
      <c r="AC1176" s="39" t="s">
        <v>508</v>
      </c>
      <c r="AD1176" s="49" t="s">
        <v>506</v>
      </c>
      <c r="AE1176" s="48" t="s">
        <v>1343</v>
      </c>
    </row>
    <row r="1177" spans="1:31" ht="15" thickBot="1">
      <c r="A1177" s="34">
        <v>1175</v>
      </c>
      <c r="B1177" s="34" t="s">
        <v>1344</v>
      </c>
      <c r="C1177" s="41" t="s">
        <v>1354</v>
      </c>
      <c r="D1177" s="34" t="s">
        <v>1351</v>
      </c>
      <c r="E1177" s="80">
        <f t="shared" si="140"/>
        <v>1.5331017243486673</v>
      </c>
      <c r="F1177" s="35">
        <f t="shared" si="146"/>
        <v>56.142226458214303</v>
      </c>
      <c r="G1177" s="42" cm="1">
        <f t="array" ref="G117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55.431243917392763</v>
      </c>
      <c r="H1177" s="81" cm="1">
        <f t="array" ref="H11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1.5303010147196134</v>
      </c>
      <c r="I1177" s="81" cm="1">
        <f t="array" ref="I11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1.5331017243486673</v>
      </c>
      <c r="J1177" s="81" cm="1">
        <f t="array" ref="J11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1.5352015464589699</v>
      </c>
      <c r="K1177" s="81" cm="1">
        <f t="array" ref="K11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1.5397965719495257</v>
      </c>
      <c r="L1177" s="81" cm="1">
        <f t="array" ref="L117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1.5449975878207096</v>
      </c>
      <c r="M1177" s="37">
        <f t="shared" si="141"/>
        <v>9.4955572299122437E-3</v>
      </c>
      <c r="N1177" s="43">
        <f t="shared" si="142"/>
        <v>2.8007096290538769E-3</v>
      </c>
      <c r="O1177" s="43">
        <f t="shared" si="143"/>
        <v>5.2010158711839338E-3</v>
      </c>
      <c r="P1177" s="43">
        <f t="shared" si="144"/>
        <v>0.29494947597506721</v>
      </c>
      <c r="Q1177" s="37">
        <f t="shared" si="145"/>
        <v>0.54773150698308215</v>
      </c>
      <c r="R1177" s="37">
        <f t="shared" si="147"/>
        <v>-2.8469200035051712E-3</v>
      </c>
      <c r="S1177" s="44" t="s">
        <v>1394</v>
      </c>
      <c r="T1177" s="45">
        <v>1.7607056999999999</v>
      </c>
      <c r="U1177" s="45">
        <v>0.30033236099999999</v>
      </c>
      <c r="V1177" s="45">
        <v>0.39639353700000002</v>
      </c>
      <c r="W1177" s="45">
        <v>-0.127731385</v>
      </c>
      <c r="X1177" s="45">
        <v>2.0506199999999999E-2</v>
      </c>
      <c r="Y1177" s="45">
        <v>-1.262104E-3</v>
      </c>
      <c r="Z1177" s="36">
        <v>1.02</v>
      </c>
      <c r="AA1177" s="38">
        <v>134</v>
      </c>
      <c r="AB1177" s="38"/>
      <c r="AC1177" s="39" t="s">
        <v>508</v>
      </c>
      <c r="AD1177" s="49" t="s">
        <v>506</v>
      </c>
      <c r="AE1177" s="48" t="s">
        <v>1343</v>
      </c>
    </row>
    <row r="1178" spans="1:31" ht="15" thickBot="1">
      <c r="A1178" s="34">
        <v>1176</v>
      </c>
      <c r="B1178" s="34" t="s">
        <v>1344</v>
      </c>
      <c r="C1178" s="41" t="s">
        <v>1354</v>
      </c>
      <c r="D1178" s="34" t="s">
        <v>1352</v>
      </c>
      <c r="E1178" s="80">
        <f t="shared" si="140"/>
        <v>1.5330017334381338</v>
      </c>
      <c r="F1178" s="35">
        <f t="shared" si="146"/>
        <v>54.976202558715215</v>
      </c>
      <c r="G1178" s="42" cm="1">
        <f t="array" ref="G117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54.465811153978194</v>
      </c>
      <c r="H1178" s="81" cm="1">
        <f t="array" ref="H11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1.5299012035937012</v>
      </c>
      <c r="I1178" s="81" cm="1">
        <f t="array" ref="I11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1.5330017334381338</v>
      </c>
      <c r="J1178" s="81" cm="1">
        <f t="array" ref="J11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1.5350014470541831</v>
      </c>
      <c r="K1178" s="81" cm="1">
        <f t="array" ref="K11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1.5395963391001757</v>
      </c>
      <c r="L1178" s="81" cm="1">
        <f t="array" ref="L117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1.544699259017124</v>
      </c>
      <c r="M1178" s="37">
        <f t="shared" si="141"/>
        <v>9.6951355064744948E-3</v>
      </c>
      <c r="N1178" s="43">
        <f t="shared" si="142"/>
        <v>3.1005298444326534E-3</v>
      </c>
      <c r="O1178" s="43">
        <f t="shared" si="143"/>
        <v>5.1029199169483341E-3</v>
      </c>
      <c r="P1178" s="43">
        <f t="shared" si="144"/>
        <v>0.31980263116096652</v>
      </c>
      <c r="Q1178" s="37">
        <f t="shared" si="145"/>
        <v>0.52633817377184267</v>
      </c>
      <c r="R1178" s="37">
        <f t="shared" si="147"/>
        <v>-2.613249278808738E-2</v>
      </c>
      <c r="S1178" s="44" t="s">
        <v>1394</v>
      </c>
      <c r="T1178" s="45">
        <v>0.91824813199999999</v>
      </c>
      <c r="U1178" s="45">
        <v>0.79083987</v>
      </c>
      <c r="V1178" s="45">
        <v>0.94868280400000005</v>
      </c>
      <c r="W1178" s="45">
        <v>-0.30171083300000001</v>
      </c>
      <c r="X1178" s="45">
        <v>4.6922024E-2</v>
      </c>
      <c r="Y1178" s="45">
        <v>-2.8133500000000001E-3</v>
      </c>
      <c r="Z1178" s="36">
        <v>1.02</v>
      </c>
      <c r="AA1178" s="38">
        <v>158</v>
      </c>
      <c r="AB1178" s="38"/>
      <c r="AC1178" s="39" t="s">
        <v>508</v>
      </c>
      <c r="AD1178" s="49" t="s">
        <v>506</v>
      </c>
      <c r="AE1178" s="48" t="s">
        <v>1343</v>
      </c>
    </row>
    <row r="1179" spans="1:31" ht="15" thickBot="1">
      <c r="A1179" s="34">
        <v>1177</v>
      </c>
      <c r="B1179" s="34" t="s">
        <v>1029</v>
      </c>
      <c r="C1179" s="41" t="s">
        <v>1354</v>
      </c>
      <c r="D1179" s="34" t="s">
        <v>1030</v>
      </c>
      <c r="E1179" s="80">
        <f t="shared" si="140"/>
        <v>1.5093975980208036</v>
      </c>
      <c r="F1179" s="35">
        <f t="shared" si="146"/>
        <v>56.475152318505231</v>
      </c>
      <c r="G1179" s="42" cm="1">
        <f t="array" ref="G117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56.046097514544996</v>
      </c>
      <c r="H1179" s="81" cm="1">
        <f t="array" ref="H11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1.50672063456992</v>
      </c>
      <c r="I1179" s="81" cm="1">
        <f t="array" ref="I11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1.5093975980208036</v>
      </c>
      <c r="J1179" s="81" cm="1">
        <f t="array" ref="J11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1.5115463473020097</v>
      </c>
      <c r="K1179" s="81" cm="1">
        <f t="array" ref="K11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1.5157404880295076</v>
      </c>
      <c r="L1179" s="81" cm="1">
        <f t="array" ref="L117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1.5207982937868361</v>
      </c>
      <c r="M1179" s="37">
        <f t="shared" si="141"/>
        <v>9.0198534595875568E-3</v>
      </c>
      <c r="N1179" s="43">
        <f t="shared" si="142"/>
        <v>2.6769634508836404E-3</v>
      </c>
      <c r="O1179" s="43">
        <f t="shared" si="143"/>
        <v>5.057805757328504E-3</v>
      </c>
      <c r="P1179" s="43">
        <f t="shared" si="144"/>
        <v>0.29678569201567134</v>
      </c>
      <c r="Q1179" s="37">
        <f t="shared" si="145"/>
        <v>0.56074145550029564</v>
      </c>
      <c r="R1179" s="37">
        <f t="shared" si="147"/>
        <v>1.070330516507223E-2</v>
      </c>
      <c r="S1179" s="44" t="s">
        <v>1394</v>
      </c>
      <c r="T1179" s="45">
        <v>2.2391817500000002</v>
      </c>
      <c r="U1179" s="45">
        <v>-8.2463861699999996E-4</v>
      </c>
      <c r="V1179" s="45">
        <v>1.3323601500000001E-2</v>
      </c>
      <c r="W1179" s="45">
        <v>2.5965171499999999E-5</v>
      </c>
      <c r="X1179" s="45">
        <v>2.7735712599999999E-5</v>
      </c>
      <c r="Y1179" s="45">
        <v>-1.44083134E-6</v>
      </c>
      <c r="Z1179" s="36">
        <v>0.95</v>
      </c>
      <c r="AA1179" s="38">
        <v>123</v>
      </c>
      <c r="AB1179" s="38"/>
      <c r="AC1179" s="39" t="s">
        <v>508</v>
      </c>
      <c r="AD1179" s="49" t="s">
        <v>506</v>
      </c>
      <c r="AE1179" s="48" t="s">
        <v>1038</v>
      </c>
    </row>
    <row r="1180" spans="1:31" ht="15" thickBot="1">
      <c r="A1180" s="34">
        <v>1178</v>
      </c>
      <c r="B1180" s="34" t="s">
        <v>1029</v>
      </c>
      <c r="C1180" s="41" t="s">
        <v>1354</v>
      </c>
      <c r="D1180" s="34" t="s">
        <v>1031</v>
      </c>
      <c r="E1180" s="80">
        <f t="shared" si="140"/>
        <v>1.509186100736811</v>
      </c>
      <c r="F1180" s="35">
        <f t="shared" si="146"/>
        <v>56.318023504023962</v>
      </c>
      <c r="G1180" s="42" cm="1">
        <f t="array" ref="G118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55.902807652775337</v>
      </c>
      <c r="H1180" s="81" cm="1">
        <f t="array" ref="H11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1.5065004396985957</v>
      </c>
      <c r="I1180" s="81" cm="1">
        <f t="array" ref="I11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1.509186100736811</v>
      </c>
      <c r="J1180" s="81" cm="1">
        <f t="array" ref="J11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1.5113425394673801</v>
      </c>
      <c r="K1180" s="81" cm="1">
        <f t="array" ref="K11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1.5155417033839313</v>
      </c>
      <c r="L1180" s="81" cm="1">
        <f t="array" ref="L118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1.5205854562462837</v>
      </c>
      <c r="M1180" s="37">
        <f t="shared" si="141"/>
        <v>9.0412636853356432E-3</v>
      </c>
      <c r="N1180" s="43">
        <f t="shared" si="142"/>
        <v>2.6856610382153256E-3</v>
      </c>
      <c r="O1180" s="43">
        <f t="shared" si="143"/>
        <v>5.0437528623523686E-3</v>
      </c>
      <c r="P1180" s="43">
        <f t="shared" si="144"/>
        <v>0.29704487466406909</v>
      </c>
      <c r="Q1180" s="37">
        <f t="shared" si="145"/>
        <v>0.55785928138928365</v>
      </c>
      <c r="R1180" s="37">
        <f t="shared" si="147"/>
        <v>7.5661402592732685E-3</v>
      </c>
      <c r="S1180" s="44" t="s">
        <v>1394</v>
      </c>
      <c r="T1180" s="45">
        <v>2.2405445500000001</v>
      </c>
      <c r="U1180" s="45">
        <v>-1.6918387799999999E-3</v>
      </c>
      <c r="V1180" s="45">
        <v>1.1621239E-2</v>
      </c>
      <c r="W1180" s="45">
        <v>6.6345469200000001E-4</v>
      </c>
      <c r="X1180" s="45">
        <v>-7.7694242499999998E-5</v>
      </c>
      <c r="Y1180" s="45">
        <v>4.8492077600000003E-6</v>
      </c>
      <c r="Z1180" s="36">
        <v>0.95</v>
      </c>
      <c r="AA1180" s="38">
        <v>123</v>
      </c>
      <c r="AB1180" s="38"/>
      <c r="AC1180" s="39" t="s">
        <v>508</v>
      </c>
      <c r="AD1180" s="49" t="s">
        <v>506</v>
      </c>
      <c r="AE1180" s="48" t="s">
        <v>1038</v>
      </c>
    </row>
    <row r="1181" spans="1:31" ht="15" thickBot="1">
      <c r="A1181" s="34">
        <v>1179</v>
      </c>
      <c r="B1181" s="34" t="s">
        <v>1029</v>
      </c>
      <c r="C1181" s="41" t="s">
        <v>1354</v>
      </c>
      <c r="D1181" s="34" t="s">
        <v>1032</v>
      </c>
      <c r="E1181" s="80">
        <f t="shared" si="140"/>
        <v>1.5251198422658674</v>
      </c>
      <c r="F1181" s="35">
        <f t="shared" si="146"/>
        <v>56.282246160454903</v>
      </c>
      <c r="G1181" s="42" cm="1">
        <f t="array" ref="G118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55.842691380822622</v>
      </c>
      <c r="H1181" s="81" cm="1">
        <f t="array" ref="H11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1.5223553777421974</v>
      </c>
      <c r="I1181" s="81" cm="1">
        <f t="array" ref="I11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1.5251198422658674</v>
      </c>
      <c r="J1181" s="81" cm="1">
        <f t="array" ref="J11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1.5273419331729672</v>
      </c>
      <c r="K1181" s="81" cm="1">
        <f t="array" ref="K11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1.5316854929754951</v>
      </c>
      <c r="L1181" s="81" cm="1">
        <f t="array" ref="L118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1.5369304380485749</v>
      </c>
      <c r="M1181" s="37">
        <f t="shared" si="141"/>
        <v>9.3301152332976311E-3</v>
      </c>
      <c r="N1181" s="43">
        <f t="shared" si="142"/>
        <v>2.7644645236699628E-3</v>
      </c>
      <c r="O1181" s="43">
        <f t="shared" si="143"/>
        <v>5.2449450730798208E-3</v>
      </c>
      <c r="P1181" s="43">
        <f t="shared" si="144"/>
        <v>0.29629478892222555</v>
      </c>
      <c r="Q1181" s="37">
        <f t="shared" si="145"/>
        <v>0.56215222877006743</v>
      </c>
      <c r="R1181" s="37">
        <f t="shared" si="147"/>
        <v>1.1801027676312192E-2</v>
      </c>
      <c r="S1181" s="44" t="s">
        <v>1394</v>
      </c>
      <c r="T1181" s="45">
        <v>2.2851394599999999</v>
      </c>
      <c r="U1181" s="45">
        <v>-7.1316635499999999E-4</v>
      </c>
      <c r="V1181" s="45">
        <v>1.38969692E-2</v>
      </c>
      <c r="W1181" s="45">
        <v>1.79078997E-5</v>
      </c>
      <c r="X1181" s="45">
        <v>3.4071608800000002E-5</v>
      </c>
      <c r="Y1181" s="45">
        <v>-1.9235938599999998E-6</v>
      </c>
      <c r="Z1181" s="36">
        <v>1.01</v>
      </c>
      <c r="AA1181" s="38">
        <v>138</v>
      </c>
      <c r="AB1181" s="38"/>
      <c r="AC1181" s="39" t="s">
        <v>508</v>
      </c>
      <c r="AD1181" s="49" t="s">
        <v>506</v>
      </c>
      <c r="AE1181" s="48" t="s">
        <v>1038</v>
      </c>
    </row>
    <row r="1182" spans="1:31" ht="15" thickBot="1">
      <c r="A1182" s="34">
        <v>1180</v>
      </c>
      <c r="B1182" s="34" t="s">
        <v>1029</v>
      </c>
      <c r="C1182" s="41" t="s">
        <v>1354</v>
      </c>
      <c r="D1182" s="34" t="s">
        <v>1033</v>
      </c>
      <c r="E1182" s="80">
        <f t="shared" si="140"/>
        <v>1.531131124692608</v>
      </c>
      <c r="F1182" s="35">
        <f t="shared" si="146"/>
        <v>55.754534215180797</v>
      </c>
      <c r="G1182" s="42" cm="1">
        <f t="array" ref="G1182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55.327211313860943</v>
      </c>
      <c r="H1182" s="81" cm="1">
        <f t="array" ref="H11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1.5283050325801433</v>
      </c>
      <c r="I1182" s="81" cm="1">
        <f t="array" ref="I11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1.531131124692608</v>
      </c>
      <c r="J1182" s="81" cm="1">
        <f t="array" ref="J11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1.5333991941164016</v>
      </c>
      <c r="K1182" s="81" cm="1">
        <f t="array" ref="K11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1.5378312734889588</v>
      </c>
      <c r="L1182" s="81" cm="1">
        <f t="array" ref="L1182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1.5431918721711941</v>
      </c>
      <c r="M1182" s="37">
        <f t="shared" si="141"/>
        <v>9.5262409088154865E-3</v>
      </c>
      <c r="N1182" s="43">
        <f t="shared" si="142"/>
        <v>2.826092112464762E-3</v>
      </c>
      <c r="O1182" s="43">
        <f t="shared" si="143"/>
        <v>5.3605986822353735E-3</v>
      </c>
      <c r="P1182" s="43">
        <f t="shared" si="144"/>
        <v>0.29666393486328119</v>
      </c>
      <c r="Q1182" s="37">
        <f t="shared" si="145"/>
        <v>0.56271920199653258</v>
      </c>
      <c r="R1182" s="37">
        <f t="shared" si="147"/>
        <v>1.1511622721676384E-2</v>
      </c>
      <c r="S1182" s="44" t="s">
        <v>1394</v>
      </c>
      <c r="T1182" s="45">
        <v>2.3010607799999998</v>
      </c>
      <c r="U1182" s="45">
        <v>-1.28756306E-4</v>
      </c>
      <c r="V1182" s="45">
        <v>1.5277046900000001E-2</v>
      </c>
      <c r="W1182" s="45">
        <v>-3.0203875599999999E-4</v>
      </c>
      <c r="X1182" s="45">
        <v>7.89711444E-5</v>
      </c>
      <c r="Y1182" s="45">
        <v>-4.1310096E-6</v>
      </c>
      <c r="Z1182" s="36">
        <v>1.01</v>
      </c>
      <c r="AA1182" s="38">
        <v>139</v>
      </c>
      <c r="AB1182" s="38"/>
      <c r="AC1182" s="39" t="s">
        <v>508</v>
      </c>
      <c r="AD1182" s="49" t="s">
        <v>506</v>
      </c>
      <c r="AE1182" s="48" t="s">
        <v>1038</v>
      </c>
    </row>
    <row r="1183" spans="1:31" ht="15" thickBot="1">
      <c r="A1183" s="34">
        <v>1181</v>
      </c>
      <c r="B1183" s="34" t="s">
        <v>1029</v>
      </c>
      <c r="C1183" s="41" t="s">
        <v>1354</v>
      </c>
      <c r="D1183" s="34" t="s">
        <v>1034</v>
      </c>
      <c r="E1183" s="80">
        <f t="shared" si="140"/>
        <v>1.5346110043380112</v>
      </c>
      <c r="F1183" s="35">
        <f t="shared" si="146"/>
        <v>56.072822758737104</v>
      </c>
      <c r="G1183" s="42" cm="1">
        <f t="array" ref="G1183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55.640641076339257</v>
      </c>
      <c r="H1183" s="81" cm="1">
        <f t="array" ref="H11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1.5317818751613681</v>
      </c>
      <c r="I1183" s="81" cm="1">
        <f t="array" ref="I11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1.5346110043380112</v>
      </c>
      <c r="J1183" s="81" cm="1">
        <f t="array" ref="J11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1.5368797330847384</v>
      </c>
      <c r="K1183" s="81" cm="1">
        <f t="array" ref="K11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1.5413161018693451</v>
      </c>
      <c r="L1183" s="81" cm="1">
        <f t="array" ref="L1183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1.5466932667187689</v>
      </c>
      <c r="M1183" s="37">
        <f t="shared" si="141"/>
        <v>9.5342267079769893E-3</v>
      </c>
      <c r="N1183" s="43">
        <f t="shared" si="142"/>
        <v>2.8291291766431304E-3</v>
      </c>
      <c r="O1183" s="43">
        <f t="shared" si="143"/>
        <v>5.3771648494238544E-3</v>
      </c>
      <c r="P1183" s="43">
        <f t="shared" si="144"/>
        <v>0.29673399461710792</v>
      </c>
      <c r="Q1183" s="37">
        <f t="shared" si="145"/>
        <v>0.56398541949133107</v>
      </c>
      <c r="R1183" s="37">
        <f t="shared" si="147"/>
        <v>1.3294363229526041E-2</v>
      </c>
      <c r="S1183" s="44" t="s">
        <v>1394</v>
      </c>
      <c r="T1183" s="45">
        <v>2.3115288000000001</v>
      </c>
      <c r="U1183" s="45">
        <v>-4.2264186E-4</v>
      </c>
      <c r="V1183" s="45">
        <v>1.56229604E-2</v>
      </c>
      <c r="W1183" s="45">
        <v>-4.4671491000000002E-4</v>
      </c>
      <c r="X1183" s="45">
        <v>1.0421006800000001E-4</v>
      </c>
      <c r="Y1183" s="45">
        <v>-5.5463581199999997E-6</v>
      </c>
      <c r="Z1183" s="36">
        <v>1.02</v>
      </c>
      <c r="AA1183" s="38">
        <v>156</v>
      </c>
      <c r="AB1183" s="38"/>
      <c r="AC1183" s="39" t="s">
        <v>508</v>
      </c>
      <c r="AD1183" s="49" t="s">
        <v>506</v>
      </c>
      <c r="AE1183" s="48" t="s">
        <v>1038</v>
      </c>
    </row>
    <row r="1184" spans="1:31" ht="15" thickBot="1">
      <c r="A1184" s="34">
        <v>1182</v>
      </c>
      <c r="B1184" s="34" t="s">
        <v>1029</v>
      </c>
      <c r="C1184" s="41" t="s">
        <v>1354</v>
      </c>
      <c r="D1184" s="34" t="s">
        <v>1035</v>
      </c>
      <c r="E1184" s="80">
        <f t="shared" si="140"/>
        <v>1.5350369537610558</v>
      </c>
      <c r="F1184" s="35">
        <f t="shared" si="146"/>
        <v>55.711377644816231</v>
      </c>
      <c r="G1184" s="42" cm="1">
        <f t="array" ref="G1184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55.265316484258847</v>
      </c>
      <c r="H1184" s="81" cm="1">
        <f t="array" ref="H11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1.5321979525889964</v>
      </c>
      <c r="I1184" s="81" cm="1">
        <f t="array" ref="I11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1.5350369537610558</v>
      </c>
      <c r="J1184" s="81" cm="1">
        <f t="array" ref="J11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1.5373247349843868</v>
      </c>
      <c r="K1184" s="81" cm="1">
        <f t="array" ref="K11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1.5418016812415554</v>
      </c>
      <c r="L1184" s="81" cm="1">
        <f t="array" ref="L1184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1.5472010011574604</v>
      </c>
      <c r="M1184" s="37">
        <f t="shared" si="141"/>
        <v>9.6037286525589849E-3</v>
      </c>
      <c r="N1184" s="43">
        <f t="shared" si="142"/>
        <v>2.8390011720593744E-3</v>
      </c>
      <c r="O1184" s="43">
        <f t="shared" si="143"/>
        <v>5.399319915905032E-3</v>
      </c>
      <c r="P1184" s="43">
        <f t="shared" si="144"/>
        <v>0.29561447170864219</v>
      </c>
      <c r="Q1184" s="37">
        <f t="shared" si="145"/>
        <v>0.56221079449869116</v>
      </c>
      <c r="R1184" s="37">
        <f t="shared" si="147"/>
        <v>1.0933180149657939E-2</v>
      </c>
      <c r="S1184" s="44" t="s">
        <v>1394</v>
      </c>
      <c r="T1184" s="45">
        <v>2.3156367800000002</v>
      </c>
      <c r="U1184" s="45">
        <v>-1.33370562E-3</v>
      </c>
      <c r="V1184" s="45">
        <v>1.32189019E-2</v>
      </c>
      <c r="W1184" s="45">
        <v>3.7200400399999998E-4</v>
      </c>
      <c r="X1184" s="45">
        <v>-1.0626844899999999E-5</v>
      </c>
      <c r="Y1184" s="45">
        <v>1.2552942499999999E-7</v>
      </c>
      <c r="Z1184" s="36">
        <v>1.01</v>
      </c>
      <c r="AA1184" s="38">
        <v>143</v>
      </c>
      <c r="AB1184" s="38">
        <v>132</v>
      </c>
      <c r="AC1184" s="39" t="s">
        <v>508</v>
      </c>
      <c r="AD1184" s="49" t="s">
        <v>506</v>
      </c>
      <c r="AE1184" s="48" t="s">
        <v>1038</v>
      </c>
    </row>
    <row r="1185" spans="1:31" ht="15" thickBot="1">
      <c r="A1185" s="34">
        <v>1183</v>
      </c>
      <c r="B1185" s="34" t="s">
        <v>1029</v>
      </c>
      <c r="C1185" s="41" t="s">
        <v>1354</v>
      </c>
      <c r="D1185" s="34" t="s">
        <v>1036</v>
      </c>
      <c r="E1185" s="80">
        <f t="shared" si="140"/>
        <v>1.5350369537610558</v>
      </c>
      <c r="F1185" s="35">
        <f t="shared" si="146"/>
        <v>55.711377644816231</v>
      </c>
      <c r="G1185" s="42" cm="1">
        <f t="array" ref="G1185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55.265316484258847</v>
      </c>
      <c r="H1185" s="81" cm="1">
        <f t="array" ref="H11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1.5321979525889964</v>
      </c>
      <c r="I1185" s="81" cm="1">
        <f t="array" ref="I11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1.5350369537610558</v>
      </c>
      <c r="J1185" s="81" cm="1">
        <f t="array" ref="J11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1.5373247349843868</v>
      </c>
      <c r="K1185" s="81" cm="1">
        <f t="array" ref="K11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1.5418016812415554</v>
      </c>
      <c r="L1185" s="81" cm="1">
        <f t="array" ref="L1185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1.5472010011574604</v>
      </c>
      <c r="M1185" s="37">
        <f t="shared" si="141"/>
        <v>9.6037286525589849E-3</v>
      </c>
      <c r="N1185" s="43">
        <f t="shared" si="142"/>
        <v>2.8390011720593744E-3</v>
      </c>
      <c r="O1185" s="43">
        <f t="shared" si="143"/>
        <v>5.399319915905032E-3</v>
      </c>
      <c r="P1185" s="43">
        <f t="shared" si="144"/>
        <v>0.29561447170864219</v>
      </c>
      <c r="Q1185" s="37">
        <f t="shared" si="145"/>
        <v>0.56221079449869116</v>
      </c>
      <c r="R1185" s="37">
        <f t="shared" si="147"/>
        <v>1.0933180149657939E-2</v>
      </c>
      <c r="S1185" s="44" t="s">
        <v>1394</v>
      </c>
      <c r="T1185" s="45">
        <v>2.3156367800000002</v>
      </c>
      <c r="U1185" s="45">
        <v>-1.33370562E-3</v>
      </c>
      <c r="V1185" s="45">
        <v>1.32189019E-2</v>
      </c>
      <c r="W1185" s="45">
        <v>3.7200400399999998E-4</v>
      </c>
      <c r="X1185" s="45">
        <v>-1.0626844899999999E-5</v>
      </c>
      <c r="Y1185" s="45">
        <v>1.2552942499999999E-7</v>
      </c>
      <c r="Z1185" s="36">
        <v>1.01</v>
      </c>
      <c r="AA1185" s="38">
        <v>143</v>
      </c>
      <c r="AB1185" s="38"/>
      <c r="AC1185" s="39" t="s">
        <v>508</v>
      </c>
      <c r="AD1185" s="49" t="s">
        <v>506</v>
      </c>
      <c r="AE1185" s="48" t="s">
        <v>1038</v>
      </c>
    </row>
    <row r="1186" spans="1:31" ht="15" thickBot="1">
      <c r="A1186" s="34">
        <v>1184</v>
      </c>
      <c r="B1186" s="34" t="s">
        <v>1029</v>
      </c>
      <c r="C1186" s="41" t="s">
        <v>1354</v>
      </c>
      <c r="D1186" s="34" t="s">
        <v>1037</v>
      </c>
      <c r="E1186" s="80">
        <f t="shared" si="140"/>
        <v>1.5364967972133177</v>
      </c>
      <c r="F1186" s="35">
        <f t="shared" si="146"/>
        <v>55.981367519343223</v>
      </c>
      <c r="G1186" s="42" cm="1">
        <f t="array" ref="G1186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55.546234768594701</v>
      </c>
      <c r="H1186" s="81" cm="1">
        <f t="array" ref="H11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1.5336567922501976</v>
      </c>
      <c r="I1186" s="81" cm="1">
        <f t="array" ref="I11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1.5364967972133177</v>
      </c>
      <c r="J1186" s="81" cm="1">
        <f t="array" ref="J11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1.5387788944309524</v>
      </c>
      <c r="K1186" s="81" cm="1">
        <f t="array" ref="K11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1.5432402808462549</v>
      </c>
      <c r="L1186" s="81" cm="1">
        <f t="array" ref="L1186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1.5486269513286988</v>
      </c>
      <c r="M1186" s="37">
        <f t="shared" si="141"/>
        <v>9.583488596057288E-3</v>
      </c>
      <c r="N1186" s="43">
        <f t="shared" si="142"/>
        <v>2.8400049631200908E-3</v>
      </c>
      <c r="O1186" s="43">
        <f t="shared" si="143"/>
        <v>5.3866704824439005E-3</v>
      </c>
      <c r="P1186" s="43">
        <f t="shared" si="144"/>
        <v>0.29634354281889458</v>
      </c>
      <c r="Q1186" s="37">
        <f t="shared" si="145"/>
        <v>0.56207824827589536</v>
      </c>
      <c r="R1186" s="37">
        <f t="shared" si="147"/>
        <v>1.123877719751154E-2</v>
      </c>
      <c r="S1186" s="44" t="s">
        <v>1394</v>
      </c>
      <c r="T1186" s="45">
        <v>2.31802625</v>
      </c>
      <c r="U1186" s="45">
        <v>-5.4794898100000002E-4</v>
      </c>
      <c r="V1186" s="45">
        <v>1.48220131E-2</v>
      </c>
      <c r="W1186" s="45">
        <v>-1.44792903E-4</v>
      </c>
      <c r="X1186" s="45">
        <v>6.2978829600000003E-5</v>
      </c>
      <c r="Y1186" s="45">
        <v>-3.7544266400000001E-6</v>
      </c>
      <c r="Z1186" s="36">
        <v>1.03</v>
      </c>
      <c r="AA1186" s="38">
        <v>154</v>
      </c>
      <c r="AB1186" s="38"/>
      <c r="AC1186" s="39" t="s">
        <v>508</v>
      </c>
      <c r="AD1186" s="49" t="s">
        <v>506</v>
      </c>
      <c r="AE1186" s="48" t="s">
        <v>1038</v>
      </c>
    </row>
    <row r="1187" spans="1:31" ht="15" thickBot="1">
      <c r="A1187" s="34">
        <v>1185</v>
      </c>
      <c r="B1187" s="40" t="s">
        <v>255</v>
      </c>
      <c r="C1187" s="41" t="s">
        <v>1355</v>
      </c>
      <c r="D1187" s="34" t="s">
        <v>1151</v>
      </c>
      <c r="E1187" s="80">
        <f t="shared" si="140"/>
        <v>1.5111205878146017</v>
      </c>
      <c r="F1187" s="35">
        <f t="shared" si="146"/>
        <v>60.486507898120884</v>
      </c>
      <c r="G1187" s="42" cm="1">
        <f t="array" ref="G1187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60.217278663699808</v>
      </c>
      <c r="H1187" s="81" cm="1">
        <f t="array" ref="H11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1.5085477111231396</v>
      </c>
      <c r="I1187" s="81" cm="1">
        <f t="array" ref="I11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1.5111205878146017</v>
      </c>
      <c r="J1187" s="81" cm="1">
        <f t="array" ref="J11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1.5131351560597428</v>
      </c>
      <c r="K1187" s="81" cm="1">
        <f t="array" ref="K11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1.5169978697713375</v>
      </c>
      <c r="L1187" s="81" cm="1">
        <f t="array" ref="L1187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1.5215907715514776</v>
      </c>
      <c r="M1187" s="37">
        <f t="shared" si="141"/>
        <v>8.4501586481979807E-3</v>
      </c>
      <c r="N1187" s="43">
        <f t="shared" si="142"/>
        <v>2.5728766914621115E-3</v>
      </c>
      <c r="O1187" s="43">
        <f t="shared" si="143"/>
        <v>4.5929017801400462E-3</v>
      </c>
      <c r="P1187" s="43">
        <f t="shared" si="144"/>
        <v>0.30447673216298543</v>
      </c>
      <c r="Q1187" s="37">
        <f t="shared" si="145"/>
        <v>0.54352846749445294</v>
      </c>
      <c r="R1187" s="37">
        <f t="shared" si="147"/>
        <v>0</v>
      </c>
      <c r="S1187" s="44" t="s">
        <v>1394</v>
      </c>
      <c r="T1187" s="45">
        <v>2.2524156999999998</v>
      </c>
      <c r="U1187" s="45">
        <v>-8.6261949999999997E-3</v>
      </c>
      <c r="V1187" s="45">
        <v>1.1155352E-2</v>
      </c>
      <c r="W1187" s="45">
        <v>2.0721564999999999E-4</v>
      </c>
      <c r="X1187" s="45">
        <v>-2.6893014999999998E-7</v>
      </c>
      <c r="Y1187" s="45">
        <v>3.8724966E-8</v>
      </c>
      <c r="Z1187" s="36">
        <v>2.4900000000000002</v>
      </c>
      <c r="AA1187" s="38"/>
      <c r="AB1187" s="38"/>
      <c r="AC1187" s="49" t="s">
        <v>506</v>
      </c>
      <c r="AD1187" s="49" t="s">
        <v>506</v>
      </c>
      <c r="AE1187" s="48" t="s">
        <v>1155</v>
      </c>
    </row>
    <row r="1188" spans="1:31" ht="15" thickBot="1">
      <c r="A1188" s="34">
        <v>1186</v>
      </c>
      <c r="B1188" s="40" t="s">
        <v>255</v>
      </c>
      <c r="C1188" s="41" t="s">
        <v>1356</v>
      </c>
      <c r="D1188" s="34" t="s">
        <v>1152</v>
      </c>
      <c r="E1188" s="80">
        <f t="shared" si="140"/>
        <v>1.6200408725688971</v>
      </c>
      <c r="F1188" s="35">
        <f t="shared" si="146"/>
        <v>36.257106442327824</v>
      </c>
      <c r="G1188" s="42" cm="1">
        <f t="array" ref="G1188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35.995857153996639</v>
      </c>
      <c r="H1188" s="81" cm="1">
        <f t="array" ref="H11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1.6150228900828876</v>
      </c>
      <c r="I1188" s="81" cm="1">
        <f t="array" ref="I11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1.6200408725688971</v>
      </c>
      <c r="J1188" s="81" cm="1">
        <f t="array" ref="J11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1.6240942324536067</v>
      </c>
      <c r="K1188" s="81" cm="1">
        <f t="array" ref="K11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1.6321241133577002</v>
      </c>
      <c r="L1188" s="81" cm="1">
        <f t="array" ref="L1188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1.6420915317997848</v>
      </c>
      <c r="M1188" s="37">
        <f t="shared" si="141"/>
        <v>1.7101223274812671E-2</v>
      </c>
      <c r="N1188" s="43">
        <f t="shared" si="142"/>
        <v>5.0179824860094868E-3</v>
      </c>
      <c r="O1188" s="43">
        <f t="shared" si="143"/>
        <v>9.9674184420845968E-3</v>
      </c>
      <c r="P1188" s="43">
        <f t="shared" si="144"/>
        <v>0.29342827734435589</v>
      </c>
      <c r="Q1188" s="37">
        <f t="shared" si="145"/>
        <v>0.58284827242534087</v>
      </c>
      <c r="R1188" s="37">
        <f t="shared" si="147"/>
        <v>0</v>
      </c>
      <c r="S1188" s="44" t="s">
        <v>1394</v>
      </c>
      <c r="T1188" s="45">
        <v>2.5569657000000001</v>
      </c>
      <c r="U1188" s="45">
        <v>-9.7056299000000002E-3</v>
      </c>
      <c r="V1188" s="45">
        <v>2.1342509999999999E-2</v>
      </c>
      <c r="W1188" s="45">
        <v>1.2399367000000001E-3</v>
      </c>
      <c r="X1188" s="45">
        <v>-7.4499334E-5</v>
      </c>
      <c r="Y1188" s="45">
        <v>7.1456440000000002E-6</v>
      </c>
      <c r="Z1188" s="36">
        <v>3.61</v>
      </c>
      <c r="AA1188" s="38">
        <v>434</v>
      </c>
      <c r="AB1188" s="38">
        <v>580</v>
      </c>
      <c r="AC1188" s="49" t="s">
        <v>506</v>
      </c>
      <c r="AD1188" s="49" t="s">
        <v>506</v>
      </c>
      <c r="AE1188" s="48" t="s">
        <v>1156</v>
      </c>
    </row>
    <row r="1189" spans="1:31" ht="15" thickBot="1">
      <c r="A1189" s="34">
        <v>1187</v>
      </c>
      <c r="B1189" s="40" t="s">
        <v>255</v>
      </c>
      <c r="C1189" s="41" t="s">
        <v>1355</v>
      </c>
      <c r="D1189" s="34" t="s">
        <v>1151</v>
      </c>
      <c r="E1189" s="80">
        <f t="shared" si="140"/>
        <v>1.5111209584188627</v>
      </c>
      <c r="F1189" s="35">
        <f t="shared" si="146"/>
        <v>60.40691255611619</v>
      </c>
      <c r="G1189" s="42" cm="1">
        <f t="array" ref="G1189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60.150943200384496</v>
      </c>
      <c r="H1189" s="81" cm="1">
        <f t="array" ref="H11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1.5085408201387001</v>
      </c>
      <c r="I1189" s="81" cm="1">
        <f t="array" ref="I11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1.5111209584188627</v>
      </c>
      <c r="J1189" s="81" cm="1">
        <f t="array" ref="J11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1.5131387778957901</v>
      </c>
      <c r="K1189" s="81" cm="1">
        <f t="array" ref="K11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1.5170021192978658</v>
      </c>
      <c r="L1189" s="81" cm="1">
        <f t="array" ref="L1189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1.5215903334529421</v>
      </c>
      <c r="M1189" s="37">
        <f t="shared" si="141"/>
        <v>8.4612991591657138E-3</v>
      </c>
      <c r="N1189" s="43">
        <f t="shared" si="142"/>
        <v>2.5801382801626804E-3</v>
      </c>
      <c r="O1189" s="43">
        <f t="shared" si="143"/>
        <v>4.5882141550763755E-3</v>
      </c>
      <c r="P1189" s="43">
        <f t="shared" si="144"/>
        <v>0.3049340570079882</v>
      </c>
      <c r="Q1189" s="37">
        <f t="shared" si="145"/>
        <v>0.54225882677912252</v>
      </c>
      <c r="R1189" s="37">
        <f>_xlfn.LET(
  _xlpm.vd_K7,  $F$1189,
  _xlpm.PgF_K7, $Q$1189,
  _xlpm.vd_F2,  $F$1190,
  _xlpm.PgF_F2, $Q$1190,
  _xlpm.NormalLine, _xlpm.PgF_K7 + ((_xlpm.PgF_F2 - _xlpm.PgF_K7) / (_xlpm.vd_F2 - _xlpm.vd_K7)) * (F1189 - _xlpm.vd_K7),
  O1189/M1189 - _xlpm.NormalLine
)</f>
        <v>0</v>
      </c>
      <c r="S1189" s="44" t="s">
        <v>1393</v>
      </c>
      <c r="T1189" s="45">
        <v>1.1273555</v>
      </c>
      <c r="U1189" s="45">
        <v>0.124412303</v>
      </c>
      <c r="V1189" s="45">
        <v>0.82710053100000003</v>
      </c>
      <c r="W1189" s="45">
        <v>7.2034170699999999E-3</v>
      </c>
      <c r="X1189" s="45">
        <v>2.6983591599999999E-2</v>
      </c>
      <c r="Y1189" s="45">
        <v>100.38458799999999</v>
      </c>
      <c r="Z1189" s="36">
        <v>2.5299999999999998</v>
      </c>
      <c r="AA1189" s="38">
        <v>513</v>
      </c>
      <c r="AB1189" s="38">
        <v>712</v>
      </c>
      <c r="AC1189" s="49" t="s">
        <v>506</v>
      </c>
      <c r="AD1189" s="49" t="s">
        <v>506</v>
      </c>
      <c r="AE1189" s="48" t="s">
        <v>1153</v>
      </c>
    </row>
    <row r="1190" spans="1:31" ht="15" thickBot="1">
      <c r="A1190" s="34">
        <v>1188</v>
      </c>
      <c r="B1190" s="40" t="s">
        <v>255</v>
      </c>
      <c r="C1190" s="41" t="s">
        <v>1356</v>
      </c>
      <c r="D1190" s="34" t="s">
        <v>1152</v>
      </c>
      <c r="E1190" s="80">
        <f t="shared" si="140"/>
        <v>1.6200401372462678</v>
      </c>
      <c r="F1190" s="35">
        <f t="shared" si="146"/>
        <v>36.366941342628344</v>
      </c>
      <c r="G1190" s="42" cm="1">
        <f t="array" ref="G1190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36.108244799674267</v>
      </c>
      <c r="H1190" s="81" cm="1">
        <f t="array" ref="H11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1.6150316915761365</v>
      </c>
      <c r="I1190" s="81" cm="1">
        <f t="array" ref="I11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1.6200401372462678</v>
      </c>
      <c r="J1190" s="81" cm="1">
        <f t="array" ref="J11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1.6240804698157827</v>
      </c>
      <c r="K1190" s="81" cm="1">
        <f t="array" ref="K11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1.632081245768902</v>
      </c>
      <c r="L1190" s="81" cm="1">
        <f t="array" ref="L1190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1.6420182783764179</v>
      </c>
      <c r="M1190" s="37">
        <f t="shared" si="141"/>
        <v>1.7049554192765548E-2</v>
      </c>
      <c r="N1190" s="43">
        <f t="shared" si="142"/>
        <v>5.0084456701313673E-3</v>
      </c>
      <c r="O1190" s="43">
        <f t="shared" si="143"/>
        <v>9.9370326075158832E-3</v>
      </c>
      <c r="P1190" s="43">
        <f t="shared" si="144"/>
        <v>0.2937581600964409</v>
      </c>
      <c r="Q1190" s="37">
        <f t="shared" si="145"/>
        <v>0.58283240108016177</v>
      </c>
      <c r="R1190" s="37">
        <f>_xlfn.LET(
  _xlpm.vd_K7,  $F$1189,
  _xlpm.PgF_K7, $Q$1189,
  _xlpm.vd_F2,  $F$1190,
  _xlpm.PgF_F2, $Q$1190,
  _xlpm.NormalLine, _xlpm.PgF_K7 + ((_xlpm.PgF_F2 - _xlpm.PgF_K7) / (_xlpm.vd_F2 - _xlpm.vd_K7)) * (F1190 - _xlpm.vd_K7),
  O1190/M1190 - _xlpm.NormalLine
)</f>
        <v>0</v>
      </c>
      <c r="S1190" s="44" t="s">
        <v>1393</v>
      </c>
      <c r="T1190" s="45">
        <v>1.3453335900000001</v>
      </c>
      <c r="U1190" s="45">
        <v>0.209073176</v>
      </c>
      <c r="V1190" s="45">
        <v>0.93735716199999997</v>
      </c>
      <c r="W1190" s="45">
        <v>9.9774387099999997E-3</v>
      </c>
      <c r="X1190" s="45">
        <v>4.7045076700000001E-2</v>
      </c>
      <c r="Y1190" s="45">
        <v>111.886764</v>
      </c>
      <c r="Z1190" s="36">
        <v>3.6</v>
      </c>
      <c r="AA1190" s="38">
        <v>434</v>
      </c>
      <c r="AB1190" s="38">
        <v>594</v>
      </c>
      <c r="AC1190" s="49" t="s">
        <v>506</v>
      </c>
      <c r="AD1190" s="49" t="s">
        <v>506</v>
      </c>
      <c r="AE1190" s="48" t="s">
        <v>1154</v>
      </c>
    </row>
    <row r="1191" spans="1:31" ht="15" thickBot="1">
      <c r="A1191" s="34">
        <v>1189</v>
      </c>
      <c r="B1191" s="40" t="s">
        <v>255</v>
      </c>
      <c r="C1191" s="41" t="s">
        <v>1353</v>
      </c>
      <c r="D1191" s="34" t="s">
        <v>254</v>
      </c>
      <c r="E1191" s="80">
        <f t="shared" si="140"/>
        <v>1.4585665330566437</v>
      </c>
      <c r="F1191" s="35">
        <f t="shared" si="146"/>
        <v>67.838028290999688</v>
      </c>
      <c r="G1191" s="42" cm="1">
        <f t="array" ref="G1191">_xlfn.LET(
    _xlpm.λe, Addendum!$A$47/1000,
    _xlpm.λF, Addendum!$A$63/1000,
    _xlpm.λC, Addendum!$A$38/1000,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_xlpm.RefrIndex, _xlfn.LAMBDA(_xlpm.λ,
        IF(ISNUMBER(SEARCH("Sellmeier", _xlpm.EqName)),
            IF(ISNUMBER(SEARCH("Mod", _xlpm.EqName)),
                SQRT((2*_xlpm.Sellmeier(_xlpm.λ)+1)/(1-_xlpm.Sellmeier(_xlpm.λ))),
                SQRT(1+_xlpm.Sellmeier(_xlpm.λ))
            ),
            IF(ISNUMBER(SEARCH("Schott", _xlpm.EqName)),
                SQRT(_xlpm.Schott(_xlpm.λ)),
                NA()
            )
        )
    ),
    _xlpm.ne, _xlpm.RefrIndex(_xlpm.λe),
    _xlpm.nF, _xlpm.RefrIndex(_xlpm.λF),
    _xlpm.nC, _xlpm.RefrIndex(_xlpm.λC),
    (_xlpm.ne - 1)/(_xlpm.nF - _xlpm.nC)
)</f>
        <v>67.686590666297064</v>
      </c>
      <c r="H1191" s="81" cm="1">
        <f t="array" ref="H11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1.4564696986001058</v>
      </c>
      <c r="I1191" s="81" cm="1">
        <f t="array" ref="I11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1.4585665330566437</v>
      </c>
      <c r="J1191" s="81" cm="1">
        <f t="array" ref="J11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1.4601809750421872</v>
      </c>
      <c r="K1191" s="81" cm="1">
        <f t="array" ref="K11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1.4632294253287419</v>
      </c>
      <c r="L1191" s="81" cm="1">
        <f t="array" ref="L1191">_xlfn.LET(
    _xlpm.λX, _xlfn.SWITCH(INDEX($2:$2, COLUMN()),
        "nC", Addendum!$A$37/1000,
        "nd", Addendum!$A$46/1000,
        "ne", Addendum!$A$47/1000,
        "nF", Addendum!$A$62/1000,
        "ng", Addendum!$A$69/1000,
    ),
    _xlpm.EqName, INDEX($S:$S, ROW()),
    _xlpm.a_1, INDEX($T:$T, ROW()),
    _xlpm.a_2, INDEX($U:$U, ROW()),
    _xlpm.a_3, INDEX($V:$V, ROW()),
    _xlpm.a_4, INDEX($W:$W, ROW()),
    _xlpm.a_5, INDEX($X:$X, ROW()),
    _xlpm.a_6, INDEX($Y:$Y, ROW()),
    _xlpm.b_1, IF(ISNUMBER(SEARCH("Schott 3/4", _xlpm.EqName)), IFERROR(_xlfn.TEXTAFTER(INDEX($AE:$AE, ROW()), "="), 0), 0),
    _xlpm.Sellmeier, _xlfn.LAMBDA(_xlpm.λ, _xlpm.a_1*_xlpm.λ^2/(_xlpm.λ^2-_xlpm.a_4) + _xlpm.a_2*_xlpm.λ^2/(_xlpm.λ^2-_xlpm.a_5) + _xlpm.a_3*_xlpm.λ^2/(_xlpm.λ^2-_xlpm.a_6)),
    _xlpm.Schott, _xlfn.LAMBDA(_xlpm.λ, _xlpm.a_1 + _xlpm.a_2*(_xlpm.λ^2) + _xlpm.b_1*(_xlpm.λ^4) + _xlpm.a_3*(_xlpm.λ^-2) + _xlpm.a_4*(_xlpm.λ^-4) + _xlpm.a_5*(_xlpm.λ^-6) + _xlpm.a_6*(_xlpm.λ^-8)),
    IF(ISNUMBER(SEARCH("Sellmeier", _xlpm.EqName)),
        IF(ISNUMBER(SEARCH("Mod", _xlpm.EqName)),
            SQRT((2*_xlpm.Sellmeier(_xlpm.λX)+1)/(1-_xlpm.Sellmeier(_xlpm.λX))),
            SQRT(1+_xlpm.Sellmeier(_xlpm.λX))
        ),
        IF(ISNUMBER(SEARCH("Schott", _xlpm.EqName)),
            SQRT(_xlpm.Schott(_xlpm.λX)),
            NA()
        )
    )
)</f>
        <v>1.4667967317807122</v>
      </c>
      <c r="M1191" s="37">
        <f t="shared" si="141"/>
        <v>6.7597267286361173E-3</v>
      </c>
      <c r="N1191" s="43">
        <f t="shared" si="142"/>
        <v>2.096834456537966E-3</v>
      </c>
      <c r="O1191" s="43">
        <f t="shared" si="143"/>
        <v>3.5673064519703424E-3</v>
      </c>
      <c r="P1191" s="43">
        <f t="shared" si="144"/>
        <v>0.31019515147782251</v>
      </c>
      <c r="Q1191" s="37">
        <f t="shared" si="145"/>
        <v>0.52772938835799699</v>
      </c>
      <c r="R1191" s="37">
        <v>-4.0000000000000002E-4</v>
      </c>
      <c r="S1191" s="44" t="s">
        <v>1393</v>
      </c>
      <c r="T1191" s="45">
        <v>0.79212219699999997</v>
      </c>
      <c r="U1191" s="45">
        <v>0.31228168899999997</v>
      </c>
      <c r="V1191" s="45">
        <v>0.91436812099999998</v>
      </c>
      <c r="W1191" s="45">
        <v>5.2642873299999999E-3</v>
      </c>
      <c r="X1191" s="45">
        <v>1.4730178E-2</v>
      </c>
      <c r="Y1191" s="45">
        <v>99.872010000000003</v>
      </c>
      <c r="Z1191" s="36">
        <v>2.1960000000000002</v>
      </c>
      <c r="AA1191" s="38"/>
      <c r="AB1191" s="38">
        <v>1600</v>
      </c>
      <c r="AC1191" s="49" t="s">
        <v>506</v>
      </c>
      <c r="AD1191" s="39" t="s">
        <v>1371</v>
      </c>
      <c r="AE1191" s="48" t="s">
        <v>1395</v>
      </c>
    </row>
    <row r="1192" spans="1:31" ht="15" thickBot="1">
      <c r="A1192" s="34">
        <v>1190</v>
      </c>
      <c r="B1192" s="40" t="s">
        <v>255</v>
      </c>
      <c r="C1192" s="41" t="s">
        <v>1353</v>
      </c>
      <c r="D1192" s="34" t="s">
        <v>254</v>
      </c>
      <c r="E1192" s="80">
        <f t="shared" si="140"/>
        <v>1.4584999999999999</v>
      </c>
      <c r="F1192" s="35">
        <v>67.83</v>
      </c>
      <c r="G1192" s="42">
        <v>67.680000000000007</v>
      </c>
      <c r="H1192" s="81">
        <v>1.45641</v>
      </c>
      <c r="I1192" s="81">
        <v>1.4584999999999999</v>
      </c>
      <c r="J1192" s="81">
        <v>1.4601200000000001</v>
      </c>
      <c r="K1192" s="81">
        <v>1.4631700000000001</v>
      </c>
      <c r="L1192" s="81">
        <v>1.4667399999999999</v>
      </c>
      <c r="M1192" s="37">
        <f t="shared" si="141"/>
        <v>6.7600000000000993E-3</v>
      </c>
      <c r="N1192" s="43">
        <f t="shared" si="142"/>
        <v>2.0899999999999253E-3</v>
      </c>
      <c r="O1192" s="43">
        <f t="shared" si="143"/>
        <v>3.5699999999998511E-3</v>
      </c>
      <c r="P1192" s="43">
        <f t="shared" si="144"/>
        <v>0.30917159763312052</v>
      </c>
      <c r="Q1192" s="37">
        <f t="shared" si="145"/>
        <v>0.52810650887570987</v>
      </c>
      <c r="R1192" s="37">
        <v>-2.0999999999999999E-3</v>
      </c>
      <c r="S1192" s="44" t="s">
        <v>1393</v>
      </c>
      <c r="T1192" s="45">
        <v>0.56516976299999999</v>
      </c>
      <c r="U1192" s="45">
        <v>0.42209278700000002</v>
      </c>
      <c r="V1192" s="45">
        <v>0.1689465</v>
      </c>
      <c r="W1192" s="45">
        <v>3.8231559999999999E-3</v>
      </c>
      <c r="X1192" s="45">
        <v>1.1444418E-2</v>
      </c>
      <c r="Y1192" s="45">
        <v>1.5169703999999999E-2</v>
      </c>
      <c r="Z1192" s="36">
        <v>2.1960000000000002</v>
      </c>
      <c r="AA1192" s="38"/>
      <c r="AB1192" s="38">
        <v>1600</v>
      </c>
      <c r="AC1192" s="49" t="s">
        <v>506</v>
      </c>
      <c r="AD1192" s="39" t="s">
        <v>1371</v>
      </c>
      <c r="AE1192" s="48" t="s">
        <v>1397</v>
      </c>
    </row>
    <row r="1193" spans="1:31" ht="15" thickBot="1">
      <c r="A1193" s="34">
        <v>1191</v>
      </c>
      <c r="B1193" s="40" t="s">
        <v>255</v>
      </c>
      <c r="C1193" s="41" t="s">
        <v>1353</v>
      </c>
      <c r="D1193" s="34" t="s">
        <v>254</v>
      </c>
      <c r="E1193" s="80">
        <f t="shared" si="140"/>
        <v>1.45844</v>
      </c>
      <c r="F1193" s="35">
        <v>67.87</v>
      </c>
      <c r="G1193" s="42">
        <v>67.709999999999994</v>
      </c>
      <c r="H1193" s="81">
        <v>1.45635</v>
      </c>
      <c r="I1193" s="81">
        <v>1.45844</v>
      </c>
      <c r="J1193" s="81">
        <v>1.4600599999999999</v>
      </c>
      <c r="K1193" s="81">
        <v>1.4631000000000001</v>
      </c>
      <c r="L1193" s="81">
        <v>1.4666699999999999</v>
      </c>
      <c r="M1193" s="37">
        <f t="shared" si="141"/>
        <v>6.7500000000000338E-3</v>
      </c>
      <c r="N1193" s="43">
        <f t="shared" si="142"/>
        <v>2.0899999999999253E-3</v>
      </c>
      <c r="O1193" s="43">
        <f t="shared" si="143"/>
        <v>3.5699999999998511E-3</v>
      </c>
      <c r="P1193" s="43">
        <f t="shared" si="144"/>
        <v>0.30962962962961699</v>
      </c>
      <c r="Q1193" s="37">
        <f t="shared" si="145"/>
        <v>0.52888888888886421</v>
      </c>
      <c r="R1193" s="37">
        <v>-1.9E-3</v>
      </c>
      <c r="S1193" s="44" t="s">
        <v>1393</v>
      </c>
      <c r="T1193" s="45">
        <v>0.59011886800000002</v>
      </c>
      <c r="U1193" s="45">
        <v>0.51396831600000004</v>
      </c>
      <c r="V1193" s="45">
        <v>0.89913751600000003</v>
      </c>
      <c r="W1193" s="45">
        <v>3.8094088699999998E-3</v>
      </c>
      <c r="X1193" s="45">
        <v>1.26591572E-2</v>
      </c>
      <c r="Y1193" s="45">
        <v>98.087667499999995</v>
      </c>
      <c r="Z1193" s="36">
        <v>2.1960000000000002</v>
      </c>
      <c r="AA1193" s="38">
        <v>980</v>
      </c>
      <c r="AB1193" s="38">
        <v>1713</v>
      </c>
      <c r="AC1193" s="49" t="s">
        <v>506</v>
      </c>
      <c r="AD1193" s="39" t="s">
        <v>1371</v>
      </c>
      <c r="AE1193" s="48" t="s">
        <v>1396</v>
      </c>
    </row>
    <row r="1194" spans="1:31" ht="15" thickBot="1">
      <c r="A1194" s="34">
        <v>1192</v>
      </c>
      <c r="B1194" s="40" t="s">
        <v>255</v>
      </c>
      <c r="C1194" s="41" t="s">
        <v>1353</v>
      </c>
      <c r="D1194" s="34" t="s">
        <v>256</v>
      </c>
      <c r="E1194" s="80">
        <f t="shared" si="140"/>
        <v>1.43384</v>
      </c>
      <c r="F1194" s="35">
        <v>95.23</v>
      </c>
      <c r="G1194" s="42">
        <v>94.69</v>
      </c>
      <c r="H1194" s="81">
        <v>1.43245</v>
      </c>
      <c r="I1194" s="81">
        <v>1.43384</v>
      </c>
      <c r="J1194" s="81">
        <v>1.43493</v>
      </c>
      <c r="K1194" s="81">
        <v>1.4370099999999999</v>
      </c>
      <c r="L1194" s="81">
        <v>1.43946</v>
      </c>
      <c r="M1194" s="37">
        <f t="shared" si="141"/>
        <v>4.5599999999998975E-3</v>
      </c>
      <c r="N1194" s="43">
        <f t="shared" si="142"/>
        <v>1.3900000000000023E-3</v>
      </c>
      <c r="O1194" s="43">
        <f t="shared" si="143"/>
        <v>2.4500000000000632E-3</v>
      </c>
      <c r="P1194" s="43">
        <f t="shared" si="144"/>
        <v>0.30482456140351616</v>
      </c>
      <c r="Q1194" s="37">
        <f t="shared" si="145"/>
        <v>0.53728070175441189</v>
      </c>
      <c r="R1194" s="37">
        <v>5.5199999999999999E-2</v>
      </c>
      <c r="S1194" s="44" t="s">
        <v>1393</v>
      </c>
      <c r="T1194" s="45">
        <v>0.61881399999999998</v>
      </c>
      <c r="U1194" s="45">
        <v>0.41989369999999998</v>
      </c>
      <c r="V1194" s="45">
        <v>3.4262990000000002</v>
      </c>
      <c r="W1194" s="45">
        <v>2.7598660000000001E-3</v>
      </c>
      <c r="X1194" s="45">
        <v>1.061251E-2</v>
      </c>
      <c r="Y1194" s="45">
        <v>1.068123E-3</v>
      </c>
      <c r="Z1194" s="36">
        <v>3.18</v>
      </c>
      <c r="AA1194" s="38"/>
      <c r="AB1194" s="38">
        <v>1418</v>
      </c>
      <c r="AC1194" s="49" t="s">
        <v>506</v>
      </c>
      <c r="AD1194" s="39" t="s">
        <v>1371</v>
      </c>
      <c r="AE1194" s="48" t="s">
        <v>510</v>
      </c>
    </row>
    <row r="1195" spans="1:31" ht="15" thickBot="1">
      <c r="A1195" s="34">
        <v>1193</v>
      </c>
      <c r="B1195" s="40" t="s">
        <v>255</v>
      </c>
      <c r="C1195" s="41" t="s">
        <v>1353</v>
      </c>
      <c r="D1195" s="34" t="s">
        <v>256</v>
      </c>
      <c r="E1195" s="80">
        <f t="shared" si="140"/>
        <v>1.43384</v>
      </c>
      <c r="F1195" s="35">
        <v>95.26</v>
      </c>
      <c r="G1195" s="42">
        <v>94.72</v>
      </c>
      <c r="H1195" s="81">
        <v>1.4324600000000001</v>
      </c>
      <c r="I1195" s="81">
        <v>1.43384</v>
      </c>
      <c r="J1195" s="81">
        <v>1.43493</v>
      </c>
      <c r="K1195" s="81">
        <v>1.4370099999999999</v>
      </c>
      <c r="L1195" s="81">
        <v>1.43947</v>
      </c>
      <c r="M1195" s="37">
        <f t="shared" si="141"/>
        <v>4.549999999999832E-3</v>
      </c>
      <c r="N1195" s="43">
        <f t="shared" si="142"/>
        <v>1.3799999999999368E-3</v>
      </c>
      <c r="O1195" s="43">
        <f t="shared" si="143"/>
        <v>2.4600000000001288E-3</v>
      </c>
      <c r="P1195" s="43">
        <f t="shared" si="144"/>
        <v>0.30329670329670061</v>
      </c>
      <c r="Q1195" s="37">
        <f t="shared" si="145"/>
        <v>0.54065934065938892</v>
      </c>
      <c r="R1195" s="37">
        <v>5.5300000000000002E-2</v>
      </c>
      <c r="S1195" s="44" t="s">
        <v>1393</v>
      </c>
      <c r="T1195" s="45">
        <v>0.58179796500000003</v>
      </c>
      <c r="U1195" s="45">
        <v>0.37323234199999999</v>
      </c>
      <c r="V1195" s="45">
        <v>8.3677195999999995E-2</v>
      </c>
      <c r="W1195" s="45">
        <v>2.4774419999999998E-3</v>
      </c>
      <c r="X1195" s="45">
        <v>1.032026E-2</v>
      </c>
      <c r="Y1195" s="45">
        <v>1.0323473E-2</v>
      </c>
      <c r="Z1195" s="36">
        <v>3.18</v>
      </c>
      <c r="AA1195" s="38"/>
      <c r="AB1195" s="38">
        <v>1360</v>
      </c>
      <c r="AC1195" s="49" t="s">
        <v>506</v>
      </c>
      <c r="AD1195" s="39" t="s">
        <v>1371</v>
      </c>
      <c r="AE1195" s="48" t="s">
        <v>511</v>
      </c>
    </row>
    <row r="1196" spans="1:31" ht="15" thickBot="1">
      <c r="A1196" s="34">
        <v>1194</v>
      </c>
      <c r="B1196" s="40" t="s">
        <v>255</v>
      </c>
      <c r="C1196" s="41" t="s">
        <v>1353</v>
      </c>
      <c r="D1196" s="34" t="s">
        <v>256</v>
      </c>
      <c r="E1196" s="80">
        <f t="shared" si="140"/>
        <v>1.4338489999999999</v>
      </c>
      <c r="F1196" s="35">
        <v>95.17</v>
      </c>
      <c r="G1196" s="42">
        <v>94.63</v>
      </c>
      <c r="H1196" s="81">
        <v>1.4324809999999999</v>
      </c>
      <c r="I1196" s="81">
        <v>1.4338489999999999</v>
      </c>
      <c r="J1196" s="81">
        <v>1.4350400000000001</v>
      </c>
      <c r="K1196" s="81">
        <v>1.437084</v>
      </c>
      <c r="L1196" s="81">
        <v>1.439813</v>
      </c>
      <c r="M1196" s="37">
        <f t="shared" si="141"/>
        <v>4.6030000000001348E-3</v>
      </c>
      <c r="N1196" s="43">
        <f t="shared" si="142"/>
        <v>1.3680000000000359E-3</v>
      </c>
      <c r="O1196" s="43">
        <f t="shared" si="143"/>
        <v>2.7289999999999814E-3</v>
      </c>
      <c r="P1196" s="43">
        <f t="shared" si="144"/>
        <v>0.29719747990440926</v>
      </c>
      <c r="Q1196" s="37">
        <f t="shared" si="145"/>
        <v>0.59287421247010674</v>
      </c>
      <c r="R1196" s="37">
        <v>5.5199999999999999E-2</v>
      </c>
      <c r="S1196" s="44" t="s">
        <v>1393</v>
      </c>
      <c r="T1196" s="45">
        <v>0.63004819999999995</v>
      </c>
      <c r="U1196" s="45">
        <v>0.40864709999999999</v>
      </c>
      <c r="V1196" s="45">
        <v>0.58648319999999998</v>
      </c>
      <c r="W1196" s="45">
        <v>2.8507239999999998E-3</v>
      </c>
      <c r="X1196" s="45">
        <v>1.069618E-2</v>
      </c>
      <c r="Y1196" s="45">
        <v>184.3724</v>
      </c>
      <c r="Z1196" s="36">
        <v>3.18</v>
      </c>
      <c r="AA1196" s="38"/>
      <c r="AB1196" s="38">
        <v>1420</v>
      </c>
      <c r="AC1196" s="49" t="s">
        <v>506</v>
      </c>
      <c r="AD1196" s="39" t="s">
        <v>1371</v>
      </c>
      <c r="AE1196" s="48" t="s">
        <v>1387</v>
      </c>
    </row>
  </sheetData>
  <autoFilter ref="A2:AE1196" xr:uid="{E534F4FD-BD09-4A2B-BB36-1936305A192A}">
    <sortState xmlns:xlrd2="http://schemas.microsoft.com/office/spreadsheetml/2017/richdata2" ref="A4:AE1196">
      <sortCondition ref="A2:A1196"/>
    </sortState>
  </autoFilter>
  <mergeCells count="10">
    <mergeCell ref="A1:A2"/>
    <mergeCell ref="B1:B2"/>
    <mergeCell ref="C1:C2"/>
    <mergeCell ref="D1:D2"/>
    <mergeCell ref="S1:Y1"/>
    <mergeCell ref="Z1:AB1"/>
    <mergeCell ref="AC1:AE1"/>
    <mergeCell ref="H1:L1"/>
    <mergeCell ref="M1:R1"/>
    <mergeCell ref="E1:G1"/>
  </mergeCells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77A9-4812-42D5-9922-C3D817496E84}">
  <sheetPr codeName="Sheet2"/>
  <dimension ref="A1:J114"/>
  <sheetViews>
    <sheetView topLeftCell="A75" zoomScaleNormal="100" workbookViewId="0">
      <selection activeCell="A93" sqref="A93"/>
    </sheetView>
  </sheetViews>
  <sheetFormatPr defaultColWidth="8.69140625" defaultRowHeight="14.6"/>
  <cols>
    <col min="1" max="4" width="20.53515625" style="11" customWidth="1"/>
    <col min="5" max="6" width="24.61328125" style="11" customWidth="1"/>
    <col min="7" max="7" width="28.61328125" style="11" customWidth="1"/>
    <col min="8" max="8" width="60.61328125" style="11" customWidth="1"/>
    <col min="9" max="9" width="80.53515625" style="11" customWidth="1"/>
    <col min="10" max="10" width="36.53515625" style="11" customWidth="1"/>
    <col min="11" max="16384" width="8.69140625" style="11"/>
  </cols>
  <sheetData>
    <row r="1" spans="1:10" ht="24" customHeight="1" thickBot="1">
      <c r="A1" s="75" t="s">
        <v>844</v>
      </c>
      <c r="B1" s="76"/>
      <c r="C1" s="76"/>
      <c r="D1" s="76"/>
      <c r="E1" s="77"/>
      <c r="F1" s="10"/>
      <c r="G1" s="75" t="s">
        <v>847</v>
      </c>
      <c r="H1" s="76"/>
      <c r="I1" s="76"/>
      <c r="J1" s="77"/>
    </row>
    <row r="2" spans="1:10" s="15" customFormat="1" ht="20.25" customHeight="1" thickBot="1">
      <c r="A2" s="12" t="s">
        <v>814</v>
      </c>
      <c r="B2" s="13" t="s">
        <v>257</v>
      </c>
      <c r="C2" s="13" t="s">
        <v>854</v>
      </c>
      <c r="D2" s="13" t="s">
        <v>795</v>
      </c>
      <c r="E2" s="13" t="s">
        <v>119</v>
      </c>
      <c r="F2" s="14"/>
      <c r="G2" s="12"/>
      <c r="H2" s="13" t="s">
        <v>848</v>
      </c>
      <c r="I2" s="13" t="s">
        <v>852</v>
      </c>
      <c r="J2" s="13" t="s">
        <v>119</v>
      </c>
    </row>
    <row r="3" spans="1:10" ht="15" thickBot="1">
      <c r="A3" s="16">
        <v>88400</v>
      </c>
      <c r="B3" s="17"/>
      <c r="C3" s="17" t="s">
        <v>867</v>
      </c>
      <c r="D3" s="17" t="s">
        <v>842</v>
      </c>
      <c r="E3" s="17"/>
      <c r="F3" s="18"/>
      <c r="G3" s="72" t="s">
        <v>853</v>
      </c>
      <c r="H3" s="69"/>
      <c r="I3" s="69"/>
      <c r="J3" s="66" t="s">
        <v>855</v>
      </c>
    </row>
    <row r="4" spans="1:10" ht="15" thickBot="1">
      <c r="A4" s="16">
        <v>51800</v>
      </c>
      <c r="B4" s="17"/>
      <c r="C4" s="17" t="s">
        <v>867</v>
      </c>
      <c r="D4" s="17" t="s">
        <v>842</v>
      </c>
      <c r="E4" s="17"/>
      <c r="F4" s="18"/>
      <c r="G4" s="73"/>
      <c r="H4" s="70"/>
      <c r="I4" s="70"/>
      <c r="J4" s="67"/>
    </row>
    <row r="5" spans="1:10" ht="15" thickBot="1">
      <c r="A5" s="16">
        <v>32700</v>
      </c>
      <c r="B5" s="17"/>
      <c r="C5" s="17" t="s">
        <v>867</v>
      </c>
      <c r="D5" s="17" t="s">
        <v>842</v>
      </c>
      <c r="E5" s="17"/>
      <c r="F5" s="18"/>
      <c r="G5" s="73"/>
      <c r="H5" s="70"/>
      <c r="I5" s="70"/>
      <c r="J5" s="67"/>
    </row>
    <row r="6" spans="1:10" ht="15" thickBot="1">
      <c r="A6" s="16">
        <v>10600</v>
      </c>
      <c r="B6" s="17"/>
      <c r="C6" s="17" t="s">
        <v>841</v>
      </c>
      <c r="D6" s="17" t="s">
        <v>842</v>
      </c>
      <c r="E6" s="17"/>
      <c r="F6" s="18"/>
      <c r="G6" s="73"/>
      <c r="H6" s="70"/>
      <c r="I6" s="70"/>
      <c r="J6" s="67"/>
    </row>
    <row r="7" spans="1:10" ht="15" thickBot="1">
      <c r="A7" s="16">
        <v>9400</v>
      </c>
      <c r="B7" s="17"/>
      <c r="C7" s="17" t="s">
        <v>841</v>
      </c>
      <c r="D7" s="17" t="s">
        <v>842</v>
      </c>
      <c r="E7" s="17"/>
      <c r="F7" s="18"/>
      <c r="G7" s="74"/>
      <c r="H7" s="71"/>
      <c r="I7" s="71"/>
      <c r="J7" s="68"/>
    </row>
    <row r="8" spans="1:10" ht="15" customHeight="1" thickBot="1">
      <c r="A8" s="16">
        <v>8300</v>
      </c>
      <c r="B8" s="17"/>
      <c r="C8" s="17" t="s">
        <v>843</v>
      </c>
      <c r="D8" s="17" t="s">
        <v>842</v>
      </c>
      <c r="E8" s="17"/>
      <c r="F8" s="18"/>
      <c r="G8" s="72" t="s">
        <v>849</v>
      </c>
      <c r="H8" s="69"/>
      <c r="I8" s="69"/>
      <c r="J8" s="66" t="s">
        <v>855</v>
      </c>
    </row>
    <row r="9" spans="1:10" ht="15" customHeight="1" thickBot="1">
      <c r="A9" s="16">
        <v>4800</v>
      </c>
      <c r="B9" s="17"/>
      <c r="C9" s="17" t="s">
        <v>843</v>
      </c>
      <c r="D9" s="17" t="s">
        <v>838</v>
      </c>
      <c r="E9" s="17"/>
      <c r="F9" s="18"/>
      <c r="G9" s="73"/>
      <c r="H9" s="70"/>
      <c r="I9" s="70"/>
      <c r="J9" s="67"/>
    </row>
    <row r="10" spans="1:10" ht="15" customHeight="1" thickBot="1">
      <c r="A10" s="16">
        <v>4000</v>
      </c>
      <c r="B10" s="17"/>
      <c r="C10" s="17" t="s">
        <v>843</v>
      </c>
      <c r="D10" s="17" t="s">
        <v>838</v>
      </c>
      <c r="E10" s="17"/>
      <c r="F10" s="18"/>
      <c r="G10" s="73"/>
      <c r="H10" s="70"/>
      <c r="I10" s="70"/>
      <c r="J10" s="67"/>
    </row>
    <row r="11" spans="1:10" ht="15" customHeight="1" thickBot="1">
      <c r="A11" s="16">
        <v>3391.3</v>
      </c>
      <c r="B11" s="17"/>
      <c r="C11" s="17" t="s">
        <v>797</v>
      </c>
      <c r="D11" s="17" t="s">
        <v>838</v>
      </c>
      <c r="E11" s="17"/>
      <c r="F11" s="18"/>
      <c r="G11" s="73"/>
      <c r="H11" s="70"/>
      <c r="I11" s="70"/>
      <c r="J11" s="67"/>
    </row>
    <row r="12" spans="1:10" ht="15" customHeight="1" thickBot="1">
      <c r="A12" s="16">
        <v>2600</v>
      </c>
      <c r="B12" s="17"/>
      <c r="C12" s="17" t="s">
        <v>843</v>
      </c>
      <c r="D12" s="17" t="s">
        <v>838</v>
      </c>
      <c r="E12" s="17"/>
      <c r="F12" s="18"/>
      <c r="G12" s="73"/>
      <c r="H12" s="70"/>
      <c r="I12" s="71"/>
      <c r="J12" s="68"/>
    </row>
    <row r="13" spans="1:10" ht="15" customHeight="1" thickBot="1">
      <c r="A13" s="16">
        <v>2325.42</v>
      </c>
      <c r="B13" s="17"/>
      <c r="C13" s="17" t="s">
        <v>279</v>
      </c>
      <c r="D13" s="17" t="s">
        <v>796</v>
      </c>
      <c r="E13" s="17"/>
      <c r="F13" s="18"/>
      <c r="G13" s="72" t="s">
        <v>870</v>
      </c>
      <c r="H13" s="69"/>
      <c r="I13" s="69"/>
      <c r="J13" s="69"/>
    </row>
    <row r="14" spans="1:10" ht="15" thickBot="1">
      <c r="A14" s="16">
        <v>1875</v>
      </c>
      <c r="B14" s="17"/>
      <c r="C14" s="17" t="s">
        <v>270</v>
      </c>
      <c r="D14" s="17" t="s">
        <v>796</v>
      </c>
      <c r="E14" s="17" t="s">
        <v>820</v>
      </c>
      <c r="F14" s="18"/>
      <c r="G14" s="73"/>
      <c r="H14" s="70"/>
      <c r="I14" s="70"/>
      <c r="J14" s="70"/>
    </row>
    <row r="15" spans="1:10" ht="15" thickBot="1">
      <c r="A15" s="16">
        <v>1970.09</v>
      </c>
      <c r="B15" s="17"/>
      <c r="C15" s="17" t="s">
        <v>279</v>
      </c>
      <c r="D15" s="17" t="s">
        <v>796</v>
      </c>
      <c r="E15" s="17"/>
      <c r="F15" s="18"/>
      <c r="G15" s="73"/>
      <c r="H15" s="70"/>
      <c r="I15" s="70"/>
      <c r="J15" s="70"/>
    </row>
    <row r="16" spans="1:10" ht="15" thickBot="1">
      <c r="A16" s="16">
        <v>1552.52</v>
      </c>
      <c r="B16" s="17"/>
      <c r="C16" s="17" t="s">
        <v>839</v>
      </c>
      <c r="D16" s="17" t="s">
        <v>796</v>
      </c>
      <c r="E16" s="17" t="s">
        <v>856</v>
      </c>
      <c r="F16" s="18"/>
      <c r="G16" s="73"/>
      <c r="H16" s="71"/>
      <c r="I16" s="71"/>
      <c r="J16" s="71"/>
    </row>
    <row r="17" spans="1:10" ht="15" thickBot="1">
      <c r="A17" s="16">
        <v>1539.5820000000001</v>
      </c>
      <c r="B17" s="17"/>
      <c r="C17" s="17" t="s">
        <v>279</v>
      </c>
      <c r="D17" s="17" t="s">
        <v>796</v>
      </c>
      <c r="E17" s="17"/>
      <c r="F17" s="18"/>
      <c r="G17" s="63" t="s">
        <v>851</v>
      </c>
      <c r="H17" s="69"/>
      <c r="I17" s="69"/>
      <c r="J17" s="69"/>
    </row>
    <row r="18" spans="1:10" ht="15" thickBot="1">
      <c r="A18" s="16">
        <v>1523</v>
      </c>
      <c r="B18" s="17"/>
      <c r="C18" s="17" t="s">
        <v>797</v>
      </c>
      <c r="D18" s="17" t="s">
        <v>796</v>
      </c>
      <c r="E18" s="17"/>
      <c r="F18" s="18"/>
      <c r="G18" s="64"/>
      <c r="H18" s="70"/>
      <c r="I18" s="70"/>
      <c r="J18" s="70"/>
    </row>
    <row r="19" spans="1:10" ht="15" thickBot="1">
      <c r="A19" s="16">
        <v>1302.1679999999999</v>
      </c>
      <c r="B19" s="17"/>
      <c r="C19" s="17" t="s">
        <v>867</v>
      </c>
      <c r="D19" s="17" t="s">
        <v>804</v>
      </c>
      <c r="E19" s="17"/>
      <c r="F19" s="18"/>
      <c r="G19" s="64"/>
      <c r="H19" s="70"/>
      <c r="I19" s="70"/>
      <c r="J19" s="70"/>
    </row>
    <row r="20" spans="1:10" ht="15" thickBot="1">
      <c r="A20" s="16">
        <v>1282</v>
      </c>
      <c r="B20" s="17"/>
      <c r="C20" s="17" t="s">
        <v>270</v>
      </c>
      <c r="D20" s="17" t="s">
        <v>804</v>
      </c>
      <c r="E20" s="17" t="s">
        <v>821</v>
      </c>
      <c r="F20" s="18"/>
      <c r="G20" s="65"/>
      <c r="H20" s="71"/>
      <c r="I20" s="71"/>
      <c r="J20" s="71"/>
    </row>
    <row r="21" spans="1:10" ht="15" customHeight="1" thickBot="1">
      <c r="A21" s="16">
        <v>1094</v>
      </c>
      <c r="B21" s="17"/>
      <c r="C21" s="17" t="s">
        <v>270</v>
      </c>
      <c r="D21" s="17" t="s">
        <v>804</v>
      </c>
      <c r="E21" s="17" t="s">
        <v>822</v>
      </c>
      <c r="F21" s="18"/>
      <c r="G21" s="63" t="s">
        <v>850</v>
      </c>
      <c r="H21" s="63"/>
      <c r="I21" s="63"/>
      <c r="J21" s="63" t="s">
        <v>1360</v>
      </c>
    </row>
    <row r="22" spans="1:10" ht="15" customHeight="1" thickBot="1">
      <c r="A22" s="16">
        <v>1062</v>
      </c>
      <c r="B22" s="17"/>
      <c r="C22" s="17" t="s">
        <v>845</v>
      </c>
      <c r="D22" s="17" t="s">
        <v>804</v>
      </c>
      <c r="E22" s="17"/>
      <c r="F22" s="18"/>
      <c r="G22" s="64"/>
      <c r="H22" s="64"/>
      <c r="I22" s="64"/>
      <c r="J22" s="64"/>
    </row>
    <row r="23" spans="1:10" ht="15" customHeight="1" thickBot="1">
      <c r="A23" s="16">
        <v>1054</v>
      </c>
      <c r="B23" s="17"/>
      <c r="C23" s="17" t="s">
        <v>846</v>
      </c>
      <c r="D23" s="17" t="s">
        <v>804</v>
      </c>
      <c r="E23" s="17"/>
      <c r="F23" s="18"/>
      <c r="G23" s="64"/>
      <c r="H23" s="64"/>
      <c r="I23" s="64"/>
      <c r="J23" s="64"/>
    </row>
    <row r="24" spans="1:10" ht="15" customHeight="1" thickBot="1">
      <c r="A24" s="16">
        <v>1152.3</v>
      </c>
      <c r="B24" s="17"/>
      <c r="C24" s="17" t="s">
        <v>797</v>
      </c>
      <c r="D24" s="17" t="s">
        <v>804</v>
      </c>
      <c r="E24" s="17"/>
      <c r="F24" s="18"/>
      <c r="G24" s="64"/>
      <c r="H24" s="64"/>
      <c r="I24" s="64"/>
      <c r="J24" s="64"/>
    </row>
    <row r="25" spans="1:10" ht="15" customHeight="1" thickBot="1">
      <c r="A25" s="19">
        <v>1013.976</v>
      </c>
      <c r="B25" s="20" t="s">
        <v>276</v>
      </c>
      <c r="C25" s="20" t="s">
        <v>279</v>
      </c>
      <c r="D25" s="17" t="s">
        <v>804</v>
      </c>
      <c r="E25" s="17"/>
      <c r="F25" s="18"/>
      <c r="G25" s="64"/>
      <c r="H25" s="64"/>
      <c r="I25" s="64"/>
      <c r="J25" s="64"/>
    </row>
    <row r="26" spans="1:10" ht="15" customHeight="1" thickBot="1">
      <c r="A26" s="16">
        <v>1005</v>
      </c>
      <c r="B26" s="17"/>
      <c r="C26" s="17" t="s">
        <v>270</v>
      </c>
      <c r="D26" s="17" t="s">
        <v>804</v>
      </c>
      <c r="E26" s="17" t="s">
        <v>823</v>
      </c>
      <c r="F26" s="18"/>
      <c r="G26" s="64"/>
      <c r="H26" s="64"/>
      <c r="I26" s="64"/>
      <c r="J26" s="64"/>
    </row>
    <row r="27" spans="1:10" ht="15" customHeight="1" thickBot="1">
      <c r="A27" s="16">
        <v>954.6</v>
      </c>
      <c r="B27" s="17"/>
      <c r="C27" s="17" t="s">
        <v>270</v>
      </c>
      <c r="D27" s="17" t="s">
        <v>804</v>
      </c>
      <c r="E27" s="17" t="s">
        <v>828</v>
      </c>
      <c r="F27" s="18"/>
      <c r="G27" s="64"/>
      <c r="H27" s="64"/>
      <c r="I27" s="64"/>
      <c r="J27" s="64"/>
    </row>
    <row r="28" spans="1:10" ht="15" customHeight="1" thickBot="1">
      <c r="A28" s="16">
        <v>898.76499999999999</v>
      </c>
      <c r="B28" s="17" t="s">
        <v>258</v>
      </c>
      <c r="C28" s="17" t="s">
        <v>494</v>
      </c>
      <c r="D28" s="17" t="s">
        <v>804</v>
      </c>
      <c r="E28" s="17"/>
      <c r="F28" s="18"/>
      <c r="G28" s="65"/>
      <c r="H28" s="65"/>
      <c r="I28" s="65"/>
      <c r="J28" s="65"/>
    </row>
    <row r="29" spans="1:10" ht="15" customHeight="1" thickBot="1">
      <c r="A29" s="16">
        <v>852.11300000000006</v>
      </c>
      <c r="B29" s="17" t="s">
        <v>285</v>
      </c>
      <c r="C29" s="17" t="s">
        <v>286</v>
      </c>
      <c r="D29" s="17" t="s">
        <v>804</v>
      </c>
      <c r="E29" s="17"/>
      <c r="F29" s="18"/>
      <c r="G29" s="72" t="s">
        <v>860</v>
      </c>
      <c r="H29" s="72"/>
      <c r="I29" s="72"/>
      <c r="J29" s="63"/>
    </row>
    <row r="30" spans="1:10" ht="15" customHeight="1" thickBot="1">
      <c r="A30" s="16">
        <v>834.46550000000002</v>
      </c>
      <c r="B30" s="17"/>
      <c r="C30" s="17" t="s">
        <v>867</v>
      </c>
      <c r="D30" s="17" t="s">
        <v>804</v>
      </c>
      <c r="E30" s="17"/>
      <c r="F30" s="21"/>
      <c r="G30" s="73"/>
      <c r="H30" s="73"/>
      <c r="I30" s="73"/>
      <c r="J30" s="64"/>
    </row>
    <row r="31" spans="1:10" ht="15" customHeight="1" thickBot="1">
      <c r="A31" s="16">
        <v>822.69600000000003</v>
      </c>
      <c r="B31" s="17" t="s">
        <v>259</v>
      </c>
      <c r="C31" s="17" t="s">
        <v>494</v>
      </c>
      <c r="D31" s="17" t="s">
        <v>804</v>
      </c>
      <c r="E31" s="17"/>
      <c r="F31" s="21"/>
      <c r="G31" s="73"/>
      <c r="H31" s="73"/>
      <c r="I31" s="73"/>
      <c r="J31" s="64"/>
    </row>
    <row r="32" spans="1:10" ht="15" customHeight="1" thickBot="1">
      <c r="A32" s="16">
        <v>820.4</v>
      </c>
      <c r="B32" s="17"/>
      <c r="C32" s="17" t="s">
        <v>270</v>
      </c>
      <c r="D32" s="17" t="s">
        <v>804</v>
      </c>
      <c r="E32" s="17" t="s">
        <v>829</v>
      </c>
      <c r="F32" s="21"/>
      <c r="G32" s="73"/>
      <c r="H32" s="73"/>
      <c r="I32" s="73"/>
      <c r="J32" s="64"/>
    </row>
    <row r="33" spans="1:10" ht="15" customHeight="1" thickBot="1">
      <c r="A33" s="16">
        <v>768.2</v>
      </c>
      <c r="B33" s="17" t="s">
        <v>858</v>
      </c>
      <c r="C33" s="17" t="s">
        <v>271</v>
      </c>
      <c r="D33" s="17" t="s">
        <v>804</v>
      </c>
      <c r="E33" s="17"/>
      <c r="F33" s="18"/>
      <c r="G33" s="73"/>
      <c r="H33" s="73"/>
      <c r="I33" s="73"/>
      <c r="J33" s="64"/>
    </row>
    <row r="34" spans="1:10" ht="15" customHeight="1" thickBot="1">
      <c r="A34" s="16">
        <v>759.37</v>
      </c>
      <c r="B34" s="17" t="s">
        <v>260</v>
      </c>
      <c r="C34" s="17" t="s">
        <v>494</v>
      </c>
      <c r="D34" s="17" t="s">
        <v>804</v>
      </c>
      <c r="E34" s="17"/>
      <c r="F34" s="18"/>
      <c r="G34" s="74"/>
      <c r="H34" s="74"/>
      <c r="I34" s="74"/>
      <c r="J34" s="65"/>
    </row>
    <row r="35" spans="1:10" ht="15" customHeight="1" thickBot="1">
      <c r="A35" s="16">
        <v>706.52</v>
      </c>
      <c r="B35" s="17" t="s">
        <v>859</v>
      </c>
      <c r="C35" s="17" t="s">
        <v>278</v>
      </c>
      <c r="D35" s="17" t="s">
        <v>803</v>
      </c>
      <c r="E35" s="17"/>
      <c r="F35" s="18"/>
      <c r="G35" s="72" t="s">
        <v>861</v>
      </c>
      <c r="H35" s="60"/>
      <c r="I35" s="60"/>
      <c r="J35" s="60"/>
    </row>
    <row r="36" spans="1:10" ht="15" customHeight="1" thickBot="1">
      <c r="A36" s="16">
        <v>686.71900000000005</v>
      </c>
      <c r="B36" s="17" t="s">
        <v>261</v>
      </c>
      <c r="C36" s="17" t="s">
        <v>494</v>
      </c>
      <c r="D36" s="17" t="s">
        <v>803</v>
      </c>
      <c r="E36" s="17"/>
      <c r="F36" s="18"/>
      <c r="G36" s="73"/>
      <c r="H36" s="61"/>
      <c r="I36" s="61"/>
      <c r="J36" s="61"/>
    </row>
    <row r="37" spans="1:10" ht="15" customHeight="1" thickBot="1">
      <c r="A37" s="22">
        <v>656.27250000000004</v>
      </c>
      <c r="B37" s="23" t="s">
        <v>262</v>
      </c>
      <c r="C37" s="23" t="s">
        <v>270</v>
      </c>
      <c r="D37" s="17" t="s">
        <v>803</v>
      </c>
      <c r="E37" s="23" t="s">
        <v>816</v>
      </c>
      <c r="F37" s="18"/>
      <c r="G37" s="73"/>
      <c r="H37" s="61"/>
      <c r="I37" s="61"/>
      <c r="J37" s="61"/>
    </row>
    <row r="38" spans="1:10" ht="15" customHeight="1" thickBot="1">
      <c r="A38" s="16">
        <v>643.84690000000001</v>
      </c>
      <c r="B38" s="17" t="s">
        <v>811</v>
      </c>
      <c r="C38" s="17" t="s">
        <v>812</v>
      </c>
      <c r="D38" s="17" t="s">
        <v>803</v>
      </c>
      <c r="E38" s="23"/>
      <c r="F38" s="18"/>
      <c r="G38" s="73"/>
      <c r="H38" s="61"/>
      <c r="I38" s="61"/>
      <c r="J38" s="61"/>
    </row>
    <row r="39" spans="1:10" ht="15" customHeight="1" thickBot="1">
      <c r="A39" s="22">
        <v>632.81600000000003</v>
      </c>
      <c r="B39" s="23"/>
      <c r="C39" s="23" t="s">
        <v>797</v>
      </c>
      <c r="D39" s="17" t="s">
        <v>803</v>
      </c>
      <c r="E39" s="23"/>
      <c r="F39" s="18"/>
      <c r="G39" s="73"/>
      <c r="H39" s="61"/>
      <c r="I39" s="61"/>
      <c r="J39" s="61"/>
    </row>
    <row r="40" spans="1:10" ht="15" customHeight="1" thickBot="1">
      <c r="A40" s="16">
        <v>627.66099999999994</v>
      </c>
      <c r="B40" s="17" t="s">
        <v>263</v>
      </c>
      <c r="C40" s="17" t="s">
        <v>494</v>
      </c>
      <c r="D40" s="17" t="s">
        <v>803</v>
      </c>
      <c r="E40" s="17"/>
      <c r="F40" s="18"/>
      <c r="G40" s="63" t="s">
        <v>863</v>
      </c>
      <c r="H40" s="60"/>
      <c r="I40" s="60"/>
      <c r="J40" s="60"/>
    </row>
    <row r="41" spans="1:10" ht="15" customHeight="1" thickBot="1">
      <c r="A41" s="16">
        <v>611.79999999999995</v>
      </c>
      <c r="B41" s="17"/>
      <c r="C41" s="17" t="s">
        <v>797</v>
      </c>
      <c r="D41" s="17" t="s">
        <v>803</v>
      </c>
      <c r="E41" s="17"/>
      <c r="F41" s="18"/>
      <c r="G41" s="64"/>
      <c r="H41" s="61"/>
      <c r="I41" s="61"/>
      <c r="J41" s="61"/>
    </row>
    <row r="42" spans="1:10" ht="15" customHeight="1" thickBot="1">
      <c r="A42" s="16">
        <v>593.9</v>
      </c>
      <c r="B42" s="17"/>
      <c r="C42" s="17" t="s">
        <v>797</v>
      </c>
      <c r="D42" s="17" t="s">
        <v>803</v>
      </c>
      <c r="E42" s="17"/>
      <c r="F42" s="18"/>
      <c r="G42" s="64"/>
      <c r="H42" s="61"/>
      <c r="I42" s="61"/>
      <c r="J42" s="61"/>
    </row>
    <row r="43" spans="1:10" ht="15" customHeight="1" thickBot="1">
      <c r="A43" s="16">
        <v>589.59199999999998</v>
      </c>
      <c r="B43" s="17" t="s">
        <v>495</v>
      </c>
      <c r="C43" s="17" t="s">
        <v>277</v>
      </c>
      <c r="D43" s="17" t="s">
        <v>803</v>
      </c>
      <c r="E43" s="17"/>
      <c r="F43" s="18"/>
      <c r="G43" s="64"/>
      <c r="H43" s="61"/>
      <c r="I43" s="61"/>
      <c r="J43" s="61"/>
    </row>
    <row r="44" spans="1:10" ht="15" customHeight="1" thickBot="1">
      <c r="A44" s="16">
        <v>589.29380000000003</v>
      </c>
      <c r="B44" s="17" t="s">
        <v>813</v>
      </c>
      <c r="C44" s="17" t="s">
        <v>277</v>
      </c>
      <c r="D44" s="17" t="s">
        <v>803</v>
      </c>
      <c r="E44" s="17" t="s">
        <v>857</v>
      </c>
      <c r="F44" s="18"/>
      <c r="G44" s="65"/>
      <c r="H44" s="62"/>
      <c r="I44" s="62"/>
      <c r="J44" s="62"/>
    </row>
    <row r="45" spans="1:10" ht="15" customHeight="1" thickBot="1">
      <c r="A45" s="22">
        <v>588.995</v>
      </c>
      <c r="B45" s="23" t="s">
        <v>502</v>
      </c>
      <c r="C45" s="23" t="s">
        <v>277</v>
      </c>
      <c r="D45" s="17" t="s">
        <v>803</v>
      </c>
      <c r="E45" s="17"/>
      <c r="F45" s="18"/>
      <c r="G45" s="63" t="s">
        <v>864</v>
      </c>
      <c r="H45" s="60"/>
      <c r="I45" s="60"/>
      <c r="J45" s="66" t="s">
        <v>865</v>
      </c>
    </row>
    <row r="46" spans="1:10" ht="15" customHeight="1" thickBot="1">
      <c r="A46" s="22">
        <v>587.56179999999995</v>
      </c>
      <c r="B46" s="23" t="s">
        <v>501</v>
      </c>
      <c r="C46" s="23" t="s">
        <v>278</v>
      </c>
      <c r="D46" s="17" t="s">
        <v>803</v>
      </c>
      <c r="E46" s="17"/>
      <c r="F46" s="18"/>
      <c r="G46" s="64"/>
      <c r="H46" s="61"/>
      <c r="I46" s="61"/>
      <c r="J46" s="67"/>
    </row>
    <row r="47" spans="1:10" ht="15" thickBot="1">
      <c r="A47" s="22">
        <v>546.07299999999998</v>
      </c>
      <c r="B47" s="23" t="s">
        <v>264</v>
      </c>
      <c r="C47" s="23" t="s">
        <v>279</v>
      </c>
      <c r="D47" s="17" t="s">
        <v>803</v>
      </c>
      <c r="E47" s="17"/>
      <c r="F47" s="18"/>
      <c r="G47" s="64"/>
      <c r="H47" s="61"/>
      <c r="I47" s="61"/>
      <c r="J47" s="67"/>
    </row>
    <row r="48" spans="1:10" ht="16.5" customHeight="1" thickBot="1">
      <c r="A48" s="16">
        <v>543.79999999999995</v>
      </c>
      <c r="B48" s="17"/>
      <c r="C48" s="16" t="s">
        <v>797</v>
      </c>
      <c r="D48" s="17" t="s">
        <v>803</v>
      </c>
      <c r="E48" s="17"/>
      <c r="F48" s="18"/>
      <c r="G48" s="64"/>
      <c r="H48" s="61"/>
      <c r="I48" s="61"/>
      <c r="J48" s="67"/>
    </row>
    <row r="49" spans="1:10" ht="15" thickBot="1">
      <c r="A49" s="16">
        <v>538.2636</v>
      </c>
      <c r="B49" s="17"/>
      <c r="C49" s="16" t="s">
        <v>867</v>
      </c>
      <c r="D49" s="17" t="s">
        <v>803</v>
      </c>
      <c r="E49" s="17"/>
      <c r="F49" s="18"/>
      <c r="G49" s="65"/>
      <c r="H49" s="62"/>
      <c r="I49" s="62"/>
      <c r="J49" s="68"/>
    </row>
    <row r="50" spans="1:10" ht="15" thickBot="1">
      <c r="A50" s="16">
        <v>537.83190000000002</v>
      </c>
      <c r="B50" s="17"/>
      <c r="C50" s="16" t="s">
        <v>867</v>
      </c>
      <c r="D50" s="17" t="s">
        <v>803</v>
      </c>
      <c r="E50" s="17"/>
      <c r="F50" s="21"/>
      <c r="G50" s="72" t="s">
        <v>862</v>
      </c>
      <c r="H50" s="60"/>
      <c r="I50" s="60"/>
      <c r="J50" s="60"/>
    </row>
    <row r="51" spans="1:10" ht="15" thickBot="1">
      <c r="A51" s="16">
        <v>527.03899999999999</v>
      </c>
      <c r="B51" s="17" t="s">
        <v>496</v>
      </c>
      <c r="C51" s="17" t="s">
        <v>280</v>
      </c>
      <c r="D51" s="17" t="s">
        <v>803</v>
      </c>
      <c r="E51" s="17"/>
      <c r="F51" s="21"/>
      <c r="G51" s="73"/>
      <c r="H51" s="61"/>
      <c r="I51" s="61"/>
      <c r="J51" s="61"/>
    </row>
    <row r="52" spans="1:10" ht="15" thickBot="1">
      <c r="A52" s="16">
        <v>518.36199999999997</v>
      </c>
      <c r="B52" s="17" t="s">
        <v>497</v>
      </c>
      <c r="C52" s="17" t="s">
        <v>281</v>
      </c>
      <c r="D52" s="17" t="s">
        <v>803</v>
      </c>
      <c r="E52" s="17"/>
      <c r="F52" s="18"/>
      <c r="G52" s="73"/>
      <c r="H52" s="61"/>
      <c r="I52" s="61"/>
      <c r="J52" s="61"/>
    </row>
    <row r="53" spans="1:10" ht="15" thickBot="1">
      <c r="A53" s="16">
        <v>517.27</v>
      </c>
      <c r="B53" s="17" t="s">
        <v>498</v>
      </c>
      <c r="C53" s="17" t="s">
        <v>281</v>
      </c>
      <c r="D53" s="17" t="s">
        <v>803</v>
      </c>
      <c r="E53" s="17"/>
      <c r="F53" s="18"/>
      <c r="G53" s="73"/>
      <c r="H53" s="61"/>
      <c r="I53" s="61"/>
      <c r="J53" s="61"/>
    </row>
    <row r="54" spans="1:10" ht="15" thickBot="1">
      <c r="A54" s="16">
        <v>516.89099999999996</v>
      </c>
      <c r="B54" s="17" t="s">
        <v>499</v>
      </c>
      <c r="C54" s="17" t="s">
        <v>280</v>
      </c>
      <c r="D54" s="17" t="s">
        <v>803</v>
      </c>
      <c r="E54" s="17"/>
      <c r="F54" s="18"/>
      <c r="G54" s="74"/>
      <c r="H54" s="62"/>
      <c r="I54" s="62"/>
      <c r="J54" s="62"/>
    </row>
    <row r="55" spans="1:10" ht="15" thickBot="1">
      <c r="A55" s="16">
        <v>516.73299999999995</v>
      </c>
      <c r="B55" s="17" t="s">
        <v>500</v>
      </c>
      <c r="C55" s="17" t="s">
        <v>281</v>
      </c>
      <c r="D55" s="17" t="s">
        <v>803</v>
      </c>
      <c r="E55" s="17"/>
      <c r="F55" s="18"/>
      <c r="G55" s="12"/>
      <c r="H55" s="12"/>
      <c r="I55" s="12"/>
      <c r="J55" s="12"/>
    </row>
    <row r="56" spans="1:10" ht="15" thickBot="1">
      <c r="A56" s="16">
        <v>514.5</v>
      </c>
      <c r="B56" s="17"/>
      <c r="C56" s="17" t="s">
        <v>802</v>
      </c>
      <c r="D56" s="17" t="s">
        <v>803</v>
      </c>
      <c r="E56" s="17"/>
      <c r="F56" s="18"/>
      <c r="G56" s="12"/>
      <c r="H56" s="12"/>
      <c r="I56" s="12"/>
      <c r="J56" s="12"/>
    </row>
    <row r="57" spans="1:10" ht="15" thickBot="1">
      <c r="A57" s="16">
        <v>500.69</v>
      </c>
      <c r="B57" s="17"/>
      <c r="C57" s="17" t="s">
        <v>867</v>
      </c>
      <c r="D57" s="17" t="s">
        <v>803</v>
      </c>
      <c r="E57" s="17"/>
      <c r="F57" s="18"/>
      <c r="G57" s="12"/>
      <c r="H57" s="12"/>
      <c r="I57" s="12"/>
      <c r="J57" s="12"/>
    </row>
    <row r="58" spans="1:10" ht="15" thickBot="1">
      <c r="A58" s="16">
        <v>495.89</v>
      </c>
      <c r="B58" s="17"/>
      <c r="C58" s="17" t="s">
        <v>867</v>
      </c>
      <c r="D58" s="17" t="s">
        <v>803</v>
      </c>
      <c r="E58" s="17"/>
      <c r="F58" s="18"/>
      <c r="G58" s="12"/>
      <c r="H58" s="12"/>
      <c r="I58" s="12"/>
      <c r="J58" s="12"/>
    </row>
    <row r="59" spans="1:10" ht="15" thickBot="1">
      <c r="A59" s="16">
        <v>495.76100000000002</v>
      </c>
      <c r="B59" s="17" t="s">
        <v>265</v>
      </c>
      <c r="C59" s="17" t="s">
        <v>280</v>
      </c>
      <c r="D59" s="17" t="s">
        <v>803</v>
      </c>
      <c r="E59" s="17"/>
      <c r="F59" s="18"/>
      <c r="G59" s="12"/>
      <c r="H59" s="12"/>
      <c r="I59" s="12"/>
      <c r="J59" s="12"/>
    </row>
    <row r="60" spans="1:10" ht="15" thickBot="1">
      <c r="A60" s="16">
        <v>493.1</v>
      </c>
      <c r="B60" s="17"/>
      <c r="C60" s="17" t="s">
        <v>867</v>
      </c>
      <c r="D60" s="17" t="s">
        <v>803</v>
      </c>
      <c r="E60" s="17"/>
      <c r="F60" s="18"/>
      <c r="G60" s="12"/>
      <c r="H60" s="12"/>
      <c r="I60" s="12"/>
      <c r="J60" s="12"/>
    </row>
    <row r="61" spans="1:10" ht="15" thickBot="1">
      <c r="A61" s="16">
        <v>488</v>
      </c>
      <c r="B61" s="17"/>
      <c r="C61" s="17" t="s">
        <v>802</v>
      </c>
      <c r="D61" s="17" t="s">
        <v>803</v>
      </c>
      <c r="E61" s="17"/>
      <c r="F61" s="18"/>
      <c r="G61" s="12"/>
      <c r="H61" s="12"/>
      <c r="I61" s="12"/>
      <c r="J61" s="12"/>
    </row>
    <row r="62" spans="1:10" ht="15" thickBot="1">
      <c r="A62" s="22">
        <v>486.13400000000001</v>
      </c>
      <c r="B62" s="23" t="s">
        <v>266</v>
      </c>
      <c r="C62" s="23" t="s">
        <v>270</v>
      </c>
      <c r="D62" s="17" t="s">
        <v>803</v>
      </c>
      <c r="E62" s="23" t="s">
        <v>817</v>
      </c>
      <c r="F62" s="18"/>
      <c r="G62" s="24"/>
      <c r="H62" s="24"/>
      <c r="I62" s="24"/>
      <c r="J62" s="24"/>
    </row>
    <row r="63" spans="1:10" ht="15" thickBot="1">
      <c r="A63" s="16">
        <v>479.9914</v>
      </c>
      <c r="B63" s="16" t="s">
        <v>815</v>
      </c>
      <c r="C63" s="16" t="s">
        <v>812</v>
      </c>
      <c r="D63" s="17" t="s">
        <v>803</v>
      </c>
      <c r="E63" s="17"/>
      <c r="F63" s="18"/>
      <c r="G63" s="24"/>
      <c r="H63" s="24"/>
      <c r="I63" s="24"/>
      <c r="J63" s="24"/>
    </row>
    <row r="64" spans="1:10" ht="15" thickBot="1">
      <c r="A64" s="16">
        <v>466.81400000000002</v>
      </c>
      <c r="B64" s="16" t="s">
        <v>267</v>
      </c>
      <c r="C64" s="16" t="s">
        <v>280</v>
      </c>
      <c r="D64" s="17" t="s">
        <v>803</v>
      </c>
      <c r="E64" s="17"/>
      <c r="F64" s="18"/>
      <c r="G64" s="24"/>
      <c r="H64" s="24"/>
      <c r="I64" s="24"/>
      <c r="J64" s="24"/>
    </row>
    <row r="65" spans="1:10" ht="15" thickBot="1">
      <c r="A65" s="16">
        <v>454.6</v>
      </c>
      <c r="B65" s="17"/>
      <c r="C65" s="17" t="s">
        <v>802</v>
      </c>
      <c r="D65" s="17" t="s">
        <v>803</v>
      </c>
      <c r="E65" s="17"/>
      <c r="F65" s="18"/>
      <c r="G65" s="24"/>
      <c r="H65" s="24"/>
      <c r="I65" s="24"/>
      <c r="J65" s="24"/>
    </row>
    <row r="66" spans="1:10" ht="15" thickBot="1">
      <c r="A66" s="16">
        <v>441.57</v>
      </c>
      <c r="B66" s="17"/>
      <c r="C66" s="17" t="s">
        <v>1028</v>
      </c>
      <c r="D66" s="17" t="s">
        <v>803</v>
      </c>
      <c r="E66" s="17"/>
      <c r="F66" s="18"/>
      <c r="G66" s="24"/>
      <c r="H66" s="24"/>
      <c r="I66" s="24"/>
      <c r="J66" s="24"/>
    </row>
    <row r="67" spans="1:10" ht="15" thickBot="1">
      <c r="A67" s="16">
        <v>438.35500000000002</v>
      </c>
      <c r="B67" s="17" t="s">
        <v>264</v>
      </c>
      <c r="C67" s="17" t="s">
        <v>280</v>
      </c>
      <c r="D67" s="17" t="s">
        <v>803</v>
      </c>
      <c r="E67" s="17"/>
      <c r="F67" s="18"/>
      <c r="G67" s="24"/>
      <c r="H67" s="24"/>
      <c r="I67" s="24"/>
      <c r="J67" s="24"/>
    </row>
    <row r="68" spans="1:10" ht="15" thickBot="1">
      <c r="A68" s="16">
        <v>436.32</v>
      </c>
      <c r="B68" s="17"/>
      <c r="C68" s="17" t="s">
        <v>867</v>
      </c>
      <c r="D68" s="17" t="s">
        <v>803</v>
      </c>
      <c r="E68" s="17"/>
      <c r="F68" s="18"/>
      <c r="G68" s="24"/>
      <c r="H68" s="24"/>
      <c r="I68" s="24"/>
      <c r="J68" s="24"/>
    </row>
    <row r="69" spans="1:10" ht="15" thickBot="1">
      <c r="A69" s="22">
        <v>435.83280000000002</v>
      </c>
      <c r="B69" s="23" t="s">
        <v>288</v>
      </c>
      <c r="C69" s="23" t="s">
        <v>279</v>
      </c>
      <c r="D69" s="17" t="s">
        <v>803</v>
      </c>
      <c r="E69" s="17"/>
      <c r="F69" s="18"/>
      <c r="G69" s="24"/>
      <c r="H69" s="24"/>
      <c r="I69" s="24"/>
      <c r="J69" s="24"/>
    </row>
    <row r="70" spans="1:10" ht="15" thickBot="1">
      <c r="A70" s="16">
        <v>434.04719999999998</v>
      </c>
      <c r="B70" s="17" t="s">
        <v>268</v>
      </c>
      <c r="C70" s="17" t="s">
        <v>270</v>
      </c>
      <c r="D70" s="17" t="s">
        <v>803</v>
      </c>
      <c r="E70" s="17" t="s">
        <v>818</v>
      </c>
      <c r="F70" s="18"/>
      <c r="G70" s="24"/>
      <c r="H70" s="24"/>
      <c r="I70" s="24"/>
      <c r="J70" s="24"/>
    </row>
    <row r="71" spans="1:10" ht="15" thickBot="1">
      <c r="A71" s="16">
        <v>430.79</v>
      </c>
      <c r="B71" s="17" t="s">
        <v>284</v>
      </c>
      <c r="C71" s="17" t="s">
        <v>280</v>
      </c>
      <c r="D71" s="17" t="s">
        <v>803</v>
      </c>
      <c r="E71" s="17"/>
      <c r="F71" s="18"/>
      <c r="G71" s="24"/>
      <c r="H71" s="24"/>
      <c r="I71" s="24"/>
      <c r="J71" s="24"/>
    </row>
    <row r="72" spans="1:10" ht="15" thickBot="1">
      <c r="A72" s="16">
        <v>430.774</v>
      </c>
      <c r="B72" s="17" t="s">
        <v>284</v>
      </c>
      <c r="C72" s="17" t="s">
        <v>282</v>
      </c>
      <c r="D72" s="17" t="s">
        <v>803</v>
      </c>
      <c r="E72" s="17"/>
      <c r="F72" s="18"/>
      <c r="G72" s="24"/>
      <c r="H72" s="24"/>
      <c r="I72" s="24"/>
      <c r="J72" s="24"/>
    </row>
    <row r="73" spans="1:10" ht="15" thickBot="1">
      <c r="A73" s="16">
        <v>430.17700000000002</v>
      </c>
      <c r="B73" s="17"/>
      <c r="C73" s="17" t="s">
        <v>867</v>
      </c>
      <c r="D73" s="17" t="s">
        <v>803</v>
      </c>
      <c r="E73" s="17"/>
      <c r="F73" s="18"/>
      <c r="G73" s="24"/>
      <c r="H73" s="24"/>
      <c r="I73" s="24"/>
      <c r="J73" s="24"/>
    </row>
    <row r="74" spans="1:10" ht="15" thickBot="1">
      <c r="A74" s="16">
        <v>410.17340000000002</v>
      </c>
      <c r="B74" s="17" t="s">
        <v>269</v>
      </c>
      <c r="C74" s="17" t="s">
        <v>270</v>
      </c>
      <c r="D74" s="17" t="s">
        <v>805</v>
      </c>
      <c r="E74" s="17" t="s">
        <v>819</v>
      </c>
      <c r="F74" s="18"/>
      <c r="G74" s="24"/>
      <c r="H74" s="24"/>
      <c r="I74" s="24"/>
      <c r="J74" s="24"/>
    </row>
    <row r="75" spans="1:10" ht="15" thickBot="1">
      <c r="A75" s="22">
        <v>404.65609999999998</v>
      </c>
      <c r="B75" s="23" t="s">
        <v>269</v>
      </c>
      <c r="C75" s="23" t="s">
        <v>279</v>
      </c>
      <c r="D75" s="17" t="s">
        <v>805</v>
      </c>
      <c r="E75" s="17"/>
      <c r="F75" s="18"/>
      <c r="G75" s="24"/>
      <c r="H75" s="24"/>
      <c r="I75" s="24"/>
      <c r="J75" s="24"/>
    </row>
    <row r="76" spans="1:10" ht="15" thickBot="1">
      <c r="A76" s="16">
        <v>397.00749999999999</v>
      </c>
      <c r="B76" s="17"/>
      <c r="C76" s="17" t="s">
        <v>270</v>
      </c>
      <c r="D76" s="17" t="s">
        <v>805</v>
      </c>
      <c r="E76" s="17" t="s">
        <v>824</v>
      </c>
      <c r="F76" s="18"/>
      <c r="G76" s="24"/>
      <c r="H76" s="24"/>
      <c r="I76" s="24"/>
      <c r="J76" s="24"/>
    </row>
    <row r="77" spans="1:10" ht="15" thickBot="1">
      <c r="A77" s="19">
        <v>396.84699999999998</v>
      </c>
      <c r="B77" s="20" t="s">
        <v>270</v>
      </c>
      <c r="C77" s="20" t="s">
        <v>282</v>
      </c>
      <c r="D77" s="17" t="s">
        <v>805</v>
      </c>
      <c r="E77" s="17"/>
      <c r="F77" s="18"/>
      <c r="G77" s="24"/>
      <c r="H77" s="24"/>
      <c r="I77" s="24"/>
      <c r="J77" s="24"/>
    </row>
    <row r="78" spans="1:10" ht="15" thickBot="1">
      <c r="A78" s="19">
        <v>393.36599999999999</v>
      </c>
      <c r="B78" s="20" t="s">
        <v>271</v>
      </c>
      <c r="C78" s="20" t="s">
        <v>282</v>
      </c>
      <c r="D78" s="17" t="s">
        <v>805</v>
      </c>
      <c r="E78" s="17"/>
      <c r="F78" s="18"/>
      <c r="G78" s="24"/>
      <c r="H78" s="24"/>
      <c r="I78" s="24"/>
      <c r="J78" s="24"/>
    </row>
    <row r="79" spans="1:10" ht="15" thickBot="1">
      <c r="A79" s="16">
        <v>388.90640000000002</v>
      </c>
      <c r="B79" s="17"/>
      <c r="C79" s="17" t="s">
        <v>270</v>
      </c>
      <c r="D79" s="17" t="s">
        <v>805</v>
      </c>
      <c r="E79" s="17" t="s">
        <v>825</v>
      </c>
      <c r="F79" s="18"/>
      <c r="G79" s="24"/>
      <c r="H79" s="24"/>
      <c r="I79" s="24"/>
      <c r="J79" s="24"/>
    </row>
    <row r="80" spans="1:10" ht="15" thickBot="1">
      <c r="A80" s="16">
        <v>383.53570000000002</v>
      </c>
      <c r="B80" s="17"/>
      <c r="C80" s="17" t="s">
        <v>270</v>
      </c>
      <c r="D80" s="17" t="s">
        <v>805</v>
      </c>
      <c r="E80" s="17" t="s">
        <v>826</v>
      </c>
      <c r="F80" s="18"/>
      <c r="G80" s="24"/>
      <c r="H80" s="24"/>
      <c r="I80" s="24"/>
      <c r="J80" s="24"/>
    </row>
    <row r="81" spans="1:10" ht="15" thickBot="1">
      <c r="A81" s="16">
        <v>382.04399999999998</v>
      </c>
      <c r="B81" s="17" t="s">
        <v>272</v>
      </c>
      <c r="C81" s="17" t="s">
        <v>280</v>
      </c>
      <c r="D81" s="17" t="s">
        <v>805</v>
      </c>
      <c r="E81" s="17"/>
      <c r="F81" s="18"/>
      <c r="G81" s="24"/>
      <c r="H81" s="24"/>
      <c r="I81" s="24"/>
      <c r="J81" s="24"/>
    </row>
    <row r="82" spans="1:10" ht="15" thickBot="1">
      <c r="A82" s="22">
        <v>365.01530000000002</v>
      </c>
      <c r="B82" s="23" t="s">
        <v>287</v>
      </c>
      <c r="C82" s="23" t="s">
        <v>279</v>
      </c>
      <c r="D82" s="17" t="s">
        <v>805</v>
      </c>
      <c r="E82" s="17"/>
      <c r="F82" s="18"/>
      <c r="G82" s="24"/>
      <c r="H82" s="24"/>
      <c r="I82" s="24"/>
      <c r="J82" s="24"/>
    </row>
    <row r="83" spans="1:10" ht="15" thickBot="1">
      <c r="A83" s="16">
        <v>364.50599999999997</v>
      </c>
      <c r="B83" s="16"/>
      <c r="C83" s="16" t="s">
        <v>270</v>
      </c>
      <c r="D83" s="17" t="s">
        <v>805</v>
      </c>
      <c r="E83" s="17" t="s">
        <v>827</v>
      </c>
      <c r="F83" s="18"/>
      <c r="G83" s="24"/>
      <c r="H83" s="24"/>
      <c r="I83" s="24"/>
      <c r="J83" s="24"/>
    </row>
    <row r="84" spans="1:10" ht="15" thickBot="1">
      <c r="A84" s="16">
        <v>358.12099999999998</v>
      </c>
      <c r="B84" s="17" t="s">
        <v>273</v>
      </c>
      <c r="C84" s="17" t="s">
        <v>280</v>
      </c>
      <c r="D84" s="17" t="s">
        <v>805</v>
      </c>
      <c r="E84" s="17"/>
      <c r="F84" s="18"/>
      <c r="G84" s="24"/>
      <c r="H84" s="24"/>
      <c r="I84" s="24"/>
      <c r="J84" s="24"/>
    </row>
    <row r="85" spans="1:10" ht="15" thickBot="1">
      <c r="A85" s="16">
        <v>351</v>
      </c>
      <c r="B85" s="17"/>
      <c r="C85" s="17" t="s">
        <v>800</v>
      </c>
      <c r="D85" s="17" t="s">
        <v>805</v>
      </c>
      <c r="E85" s="17"/>
      <c r="F85" s="18"/>
      <c r="G85" s="24"/>
      <c r="H85" s="24"/>
      <c r="I85" s="24"/>
      <c r="J85" s="24"/>
    </row>
    <row r="86" spans="1:10" ht="15" thickBot="1">
      <c r="A86" s="16">
        <v>337.1</v>
      </c>
      <c r="B86" s="17"/>
      <c r="C86" s="17" t="s">
        <v>840</v>
      </c>
      <c r="D86" s="17" t="s">
        <v>805</v>
      </c>
      <c r="E86" s="17"/>
      <c r="F86" s="18"/>
      <c r="G86" s="24"/>
      <c r="H86" s="24"/>
      <c r="I86" s="24"/>
      <c r="J86" s="24"/>
    </row>
    <row r="87" spans="1:10" ht="15" thickBot="1">
      <c r="A87" s="16">
        <v>336.11200000000002</v>
      </c>
      <c r="B87" s="17" t="s">
        <v>274</v>
      </c>
      <c r="C87" s="17" t="s">
        <v>810</v>
      </c>
      <c r="D87" s="17" t="s">
        <v>805</v>
      </c>
      <c r="E87" s="17"/>
      <c r="F87" s="18"/>
      <c r="G87" s="24"/>
      <c r="H87" s="24"/>
      <c r="I87" s="24"/>
      <c r="J87" s="24"/>
    </row>
    <row r="88" spans="1:10" ht="15" thickBot="1">
      <c r="A88" s="16">
        <v>334.14780000000002</v>
      </c>
      <c r="B88" s="17"/>
      <c r="C88" s="17" t="s">
        <v>279</v>
      </c>
      <c r="D88" s="17" t="s">
        <v>805</v>
      </c>
      <c r="E88" s="17"/>
      <c r="F88" s="18"/>
      <c r="G88" s="24"/>
      <c r="H88" s="24"/>
      <c r="I88" s="24"/>
      <c r="J88" s="24"/>
    </row>
    <row r="89" spans="1:10" ht="15" thickBot="1">
      <c r="A89" s="16">
        <v>312.56630000000001</v>
      </c>
      <c r="B89" s="17"/>
      <c r="C89" s="17" t="s">
        <v>279</v>
      </c>
      <c r="D89" s="17" t="s">
        <v>805</v>
      </c>
      <c r="E89" s="17"/>
      <c r="F89" s="18"/>
      <c r="G89" s="24"/>
      <c r="H89" s="24"/>
      <c r="I89" s="24"/>
      <c r="J89" s="24"/>
    </row>
    <row r="90" spans="1:10" ht="15" thickBot="1">
      <c r="A90" s="16">
        <v>308</v>
      </c>
      <c r="B90" s="17"/>
      <c r="C90" s="17" t="s">
        <v>801</v>
      </c>
      <c r="D90" s="17" t="s">
        <v>805</v>
      </c>
      <c r="E90" s="17"/>
      <c r="F90" s="18"/>
      <c r="G90" s="24"/>
      <c r="H90" s="24"/>
      <c r="I90" s="24"/>
      <c r="J90" s="24"/>
    </row>
    <row r="91" spans="1:10" ht="15" thickBot="1">
      <c r="A91" s="16">
        <v>302.108</v>
      </c>
      <c r="B91" s="17" t="s">
        <v>275</v>
      </c>
      <c r="C91" s="17" t="s">
        <v>280</v>
      </c>
      <c r="D91" s="17" t="s">
        <v>805</v>
      </c>
      <c r="E91" s="17"/>
      <c r="F91" s="18"/>
      <c r="G91" s="24"/>
      <c r="H91" s="24"/>
      <c r="I91" s="24"/>
      <c r="J91" s="24"/>
    </row>
    <row r="92" spans="1:10" ht="15" thickBot="1">
      <c r="A92" s="16">
        <v>299.44400000000002</v>
      </c>
      <c r="B92" s="17" t="s">
        <v>276</v>
      </c>
      <c r="C92" s="17" t="s">
        <v>283</v>
      </c>
      <c r="D92" s="17" t="s">
        <v>807</v>
      </c>
      <c r="E92" s="17"/>
      <c r="F92" s="18"/>
      <c r="G92" s="24"/>
      <c r="H92" s="24"/>
      <c r="I92" s="24"/>
      <c r="J92" s="24"/>
    </row>
    <row r="93" spans="1:10" ht="15" thickBot="1">
      <c r="A93" s="16">
        <v>296.7278</v>
      </c>
      <c r="B93" s="17"/>
      <c r="C93" s="17" t="s">
        <v>279</v>
      </c>
      <c r="D93" s="17" t="s">
        <v>807</v>
      </c>
      <c r="E93" s="17"/>
      <c r="F93" s="18"/>
      <c r="G93" s="24"/>
      <c r="H93" s="24"/>
      <c r="I93" s="24"/>
      <c r="J93" s="24"/>
    </row>
    <row r="94" spans="1:10" ht="15" thickBot="1">
      <c r="A94" s="16">
        <v>280.39999999999998</v>
      </c>
      <c r="B94" s="17"/>
      <c r="C94" s="17" t="s">
        <v>279</v>
      </c>
      <c r="D94" s="17" t="s">
        <v>807</v>
      </c>
      <c r="E94" s="17"/>
      <c r="F94" s="18"/>
    </row>
    <row r="95" spans="1:10" ht="15" thickBot="1">
      <c r="A95" s="16">
        <v>248.3</v>
      </c>
      <c r="B95" s="17"/>
      <c r="C95" s="17" t="s">
        <v>279</v>
      </c>
      <c r="D95" s="17" t="s">
        <v>807</v>
      </c>
      <c r="E95" s="17"/>
    </row>
    <row r="96" spans="1:10" ht="15" thickBot="1">
      <c r="A96" s="16">
        <v>248</v>
      </c>
      <c r="B96" s="17"/>
      <c r="C96" s="17" t="s">
        <v>799</v>
      </c>
      <c r="D96" s="17" t="s">
        <v>807</v>
      </c>
      <c r="E96" s="17"/>
    </row>
    <row r="97" spans="1:5" ht="15" thickBot="1">
      <c r="A97" s="16">
        <v>233.14</v>
      </c>
      <c r="B97" s="17"/>
      <c r="C97" s="17" t="s">
        <v>867</v>
      </c>
      <c r="D97" s="17" t="s">
        <v>807</v>
      </c>
      <c r="E97" s="17"/>
    </row>
    <row r="98" spans="1:5" ht="15" thickBot="1">
      <c r="A98" s="16">
        <v>232.1</v>
      </c>
      <c r="B98" s="17"/>
      <c r="C98" s="17" t="s">
        <v>867</v>
      </c>
      <c r="D98" s="17" t="s">
        <v>807</v>
      </c>
      <c r="E98" s="17"/>
    </row>
    <row r="99" spans="1:5" ht="15" thickBot="1">
      <c r="A99" s="16">
        <v>222</v>
      </c>
      <c r="B99" s="17"/>
      <c r="C99" s="17" t="s">
        <v>809</v>
      </c>
      <c r="D99" s="17" t="s">
        <v>807</v>
      </c>
      <c r="E99" s="17"/>
    </row>
    <row r="100" spans="1:5" ht="15" thickBot="1">
      <c r="A100" s="19">
        <v>193.3</v>
      </c>
      <c r="B100" s="20"/>
      <c r="C100" s="20" t="s">
        <v>798</v>
      </c>
      <c r="D100" s="17" t="s">
        <v>806</v>
      </c>
      <c r="E100" s="17"/>
    </row>
    <row r="101" spans="1:5" ht="15" thickBot="1">
      <c r="A101" s="16">
        <v>171.07300000000001</v>
      </c>
      <c r="B101" s="17"/>
      <c r="C101" s="17" t="s">
        <v>280</v>
      </c>
      <c r="D101" s="17" t="s">
        <v>806</v>
      </c>
      <c r="E101" s="17"/>
    </row>
    <row r="102" spans="1:5" ht="15" thickBot="1">
      <c r="A102" s="16">
        <v>157.63</v>
      </c>
      <c r="B102" s="17"/>
      <c r="C102" s="17" t="s">
        <v>866</v>
      </c>
      <c r="D102" s="17" t="s">
        <v>806</v>
      </c>
      <c r="E102" s="17"/>
    </row>
    <row r="103" spans="1:5" ht="15" thickBot="1">
      <c r="A103" s="16">
        <v>146</v>
      </c>
      <c r="B103" s="17"/>
      <c r="C103" s="17" t="s">
        <v>808</v>
      </c>
      <c r="D103" s="17" t="s">
        <v>806</v>
      </c>
      <c r="E103" s="17"/>
    </row>
    <row r="104" spans="1:5" ht="15" thickBot="1">
      <c r="A104" s="16">
        <v>134</v>
      </c>
      <c r="B104" s="17"/>
      <c r="C104" s="17" t="s">
        <v>900</v>
      </c>
      <c r="D104" s="17" t="s">
        <v>806</v>
      </c>
      <c r="E104" s="17"/>
    </row>
    <row r="105" spans="1:5" ht="15" thickBot="1">
      <c r="A105" s="16">
        <v>126</v>
      </c>
      <c r="B105" s="17"/>
      <c r="C105" s="17" t="s">
        <v>802</v>
      </c>
      <c r="D105" s="17" t="s">
        <v>806</v>
      </c>
      <c r="E105" s="17"/>
    </row>
    <row r="106" spans="1:5" ht="15" thickBot="1">
      <c r="A106" s="16">
        <v>121.56699999999999</v>
      </c>
      <c r="B106" s="17"/>
      <c r="C106" s="17" t="s">
        <v>270</v>
      </c>
      <c r="D106" s="17" t="s">
        <v>830</v>
      </c>
      <c r="E106" s="17" t="s">
        <v>832</v>
      </c>
    </row>
    <row r="107" spans="1:5" ht="15" thickBot="1">
      <c r="A107" s="16">
        <v>109</v>
      </c>
      <c r="B107" s="17"/>
      <c r="C107" s="17" t="s">
        <v>901</v>
      </c>
      <c r="D107" s="17" t="s">
        <v>830</v>
      </c>
      <c r="E107" s="17"/>
    </row>
    <row r="108" spans="1:5" ht="15" thickBot="1">
      <c r="A108" s="16">
        <v>102.57</v>
      </c>
      <c r="B108" s="17"/>
      <c r="C108" s="17" t="s">
        <v>270</v>
      </c>
      <c r="D108" s="17" t="s">
        <v>830</v>
      </c>
      <c r="E108" s="17" t="s">
        <v>831</v>
      </c>
    </row>
    <row r="109" spans="1:5" ht="15" thickBot="1">
      <c r="A109" s="16">
        <v>97.254000000000005</v>
      </c>
      <c r="B109" s="17"/>
      <c r="C109" s="17" t="s">
        <v>270</v>
      </c>
      <c r="D109" s="17" t="s">
        <v>830</v>
      </c>
      <c r="E109" s="17" t="s">
        <v>833</v>
      </c>
    </row>
    <row r="110" spans="1:5" ht="15" thickBot="1">
      <c r="A110" s="16">
        <v>94.974000000000004</v>
      </c>
      <c r="B110" s="17"/>
      <c r="C110" s="17" t="s">
        <v>270</v>
      </c>
      <c r="D110" s="17" t="s">
        <v>830</v>
      </c>
      <c r="E110" s="17" t="s">
        <v>834</v>
      </c>
    </row>
    <row r="111" spans="1:5" ht="15" thickBot="1">
      <c r="A111" s="16">
        <v>93.78</v>
      </c>
      <c r="B111" s="17"/>
      <c r="C111" s="17" t="s">
        <v>270</v>
      </c>
      <c r="D111" s="17" t="s">
        <v>830</v>
      </c>
      <c r="E111" s="17" t="s">
        <v>835</v>
      </c>
    </row>
    <row r="112" spans="1:5" ht="15" thickBot="1">
      <c r="A112" s="16">
        <v>91.174999999999997</v>
      </c>
      <c r="B112" s="17"/>
      <c r="C112" s="17" t="s">
        <v>270</v>
      </c>
      <c r="D112" s="17" t="s">
        <v>830</v>
      </c>
      <c r="E112" s="17" t="s">
        <v>836</v>
      </c>
    </row>
    <row r="113" spans="1:5" ht="15" thickBot="1">
      <c r="A113" s="16">
        <v>12.37</v>
      </c>
      <c r="B113" s="17"/>
      <c r="C113" s="17" t="s">
        <v>270</v>
      </c>
      <c r="D113" s="17" t="s">
        <v>830</v>
      </c>
      <c r="E113" s="17" t="s">
        <v>837</v>
      </c>
    </row>
    <row r="114" spans="1:5">
      <c r="A114" s="25"/>
      <c r="B114" s="18"/>
      <c r="C114" s="18"/>
    </row>
  </sheetData>
  <autoFilter ref="A2:E112" xr:uid="{F7164C8F-52A0-4EC0-951D-45DA561AF9C4}"/>
  <mergeCells count="42">
    <mergeCell ref="J35:J39"/>
    <mergeCell ref="G8:G12"/>
    <mergeCell ref="H8:H12"/>
    <mergeCell ref="G13:G16"/>
    <mergeCell ref="I8:I12"/>
    <mergeCell ref="J8:J12"/>
    <mergeCell ref="H13:H16"/>
    <mergeCell ref="I13:I16"/>
    <mergeCell ref="J13:J16"/>
    <mergeCell ref="J17:J20"/>
    <mergeCell ref="G21:G28"/>
    <mergeCell ref="H21:H28"/>
    <mergeCell ref="I21:I28"/>
    <mergeCell ref="J29:J34"/>
    <mergeCell ref="J21:J28"/>
    <mergeCell ref="G17:G20"/>
    <mergeCell ref="A1:E1"/>
    <mergeCell ref="G1:J1"/>
    <mergeCell ref="H3:H7"/>
    <mergeCell ref="G3:G7"/>
    <mergeCell ref="I3:I7"/>
    <mergeCell ref="J3:J7"/>
    <mergeCell ref="H17:H20"/>
    <mergeCell ref="I17:I20"/>
    <mergeCell ref="G50:G54"/>
    <mergeCell ref="H50:H54"/>
    <mergeCell ref="I50:I54"/>
    <mergeCell ref="G29:G34"/>
    <mergeCell ref="H29:H34"/>
    <mergeCell ref="I29:I34"/>
    <mergeCell ref="G35:G39"/>
    <mergeCell ref="H35:H39"/>
    <mergeCell ref="I35:I39"/>
    <mergeCell ref="J50:J54"/>
    <mergeCell ref="G40:G44"/>
    <mergeCell ref="H40:H44"/>
    <mergeCell ref="I40:I44"/>
    <mergeCell ref="J40:J44"/>
    <mergeCell ref="H45:H49"/>
    <mergeCell ref="G45:G49"/>
    <mergeCell ref="I45:I49"/>
    <mergeCell ref="J45:J49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Typecode Reference</vt:lpstr>
      <vt:lpstr>Addendum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Wavechaser X</dc:creator>
  <cp:lastModifiedBy>Wavechaser X</cp:lastModifiedBy>
  <cp:lastPrinted>2024-09-16T00:12:55Z</cp:lastPrinted>
  <dcterms:created xsi:type="dcterms:W3CDTF">2019-12-08T09:51:20Z</dcterms:created>
  <dcterms:modified xsi:type="dcterms:W3CDTF">2026-09-10T15:43:36Z</dcterms:modified>
</cp:coreProperties>
</file>